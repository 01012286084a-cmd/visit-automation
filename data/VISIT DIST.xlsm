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drawings/drawing3.xml" ContentType="application/vnd.openxmlformats-officedocument.drawing+xml"/>
  <Override PartName="/xl/activeX/activeX3.xml" ContentType="application/vnd.ms-office.activeX+xml"/>
  <Override PartName="/xl/drawings/drawing4.xml" ContentType="application/vnd.openxmlformats-officedocument.drawing+xml"/>
  <Override PartName="/xl/activeX/activeX4.xml" ContentType="application/vnd.ms-office.activeX+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updateLinks="always" codeName="ThisWorkbook" hidePivotFieldList="1" defaultThemeVersion="202300"/>
  <mc:AlternateContent xmlns:mc="http://schemas.openxmlformats.org/markup-compatibility/2006">
    <mc:Choice Requires="x15">
      <x15ac:absPath xmlns:x15ac="http://schemas.microsoft.com/office/spreadsheetml/2010/11/ac" url="https://savolagroup-my.sharepoint.com/personal/aelsamnoudi_savola_com/Documents/visits/"/>
    </mc:Choice>
  </mc:AlternateContent>
  <xr:revisionPtr revIDLastSave="248" documentId="13_ncr:1_{36D379F3-7561-4684-9783-CD73F150A9BE}" xr6:coauthVersionLast="47" xr6:coauthVersionMax="47" xr10:uidLastSave="{776D042E-167A-4413-8D3A-38333BFA950C}"/>
  <bookViews>
    <workbookView xWindow="-120" yWindow="-120" windowWidth="20730" windowHeight="11040" tabRatio="737" activeTab="5" xr2:uid="{139CFEE8-D734-41AB-9D50-51B3C8AD6EC4}"/>
  </bookViews>
  <sheets>
    <sheet name="Schedule" sheetId="8" r:id="rId1"/>
    <sheet name="DAM" sheetId="6" r:id="rId2"/>
    <sheet name="BLQ" sheetId="9" r:id="rId3"/>
    <sheet name="AGA" sheetId="5" r:id="rId4"/>
    <sheet name="Dakahlia" sheetId="3" state="hidden" r:id="rId5"/>
    <sheet name="مديونية" sheetId="4" r:id="rId6"/>
    <sheet name="M.C" sheetId="2" r:id="rId7"/>
  </sheets>
  <externalReferences>
    <externalReference r:id="rId8"/>
    <externalReference r:id="rId9"/>
    <externalReference r:id="rId10"/>
    <externalReference r:id="rId11"/>
  </externalReferences>
  <definedNames>
    <definedName name="______k13">#REF!</definedName>
    <definedName name="_____hay1">#REF!</definedName>
    <definedName name="_____k13">#REF!</definedName>
    <definedName name="____hay1">#REF!</definedName>
    <definedName name="____k13">#REF!</definedName>
    <definedName name="____ww1">#REF!</definedName>
    <definedName name="___hay1">#REF!</definedName>
    <definedName name="___k13">#REF!</definedName>
    <definedName name="__hay1">#REF!</definedName>
    <definedName name="__k13">#REF!</definedName>
    <definedName name="__ww1">#REF!</definedName>
    <definedName name="_1_Jul_2008">#REF!</definedName>
    <definedName name="_xlnm._FilterDatabase" localSheetId="3" hidden="1">AGA!$A$3:$L$279</definedName>
    <definedName name="_xlnm._FilterDatabase" localSheetId="2" hidden="1">BLQ!$A$3:$L$279</definedName>
    <definedName name="_xlnm._FilterDatabase" localSheetId="4" hidden="1">Dakahlia!$A$3:$D$278</definedName>
    <definedName name="_xlnm._FilterDatabase" localSheetId="1" hidden="1">DAM!$A$1:$J$425</definedName>
    <definedName name="_xlnm._FilterDatabase" localSheetId="6" hidden="1">M.C!$A$1:$AG$816</definedName>
    <definedName name="_hay1">#REF!</definedName>
    <definedName name="_k13">#REF!</definedName>
    <definedName name="aa">#REF!</definedName>
    <definedName name="AB">#REF!</definedName>
    <definedName name="as" localSheetId="2">DATE(YEAR([0]!Loan_Start),MONTH([0]!Loan_Start)+Payment_Number,DAY([0]!Loan_Start))</definedName>
    <definedName name="as">DATE(YEAR(#REF!),MONTH(#REF!)+Payment_Number,DAY(#REF!))</definedName>
    <definedName name="asd">#REF!</definedName>
    <definedName name="ayman1">#N/A</definedName>
    <definedName name="bb">#REF!</definedName>
    <definedName name="Beg_Bal">#REF!</definedName>
    <definedName name="cc">#REF!</definedName>
    <definedName name="code">#REF!</definedName>
    <definedName name="comp2" localSheetId="2">MATCH(0.01,End_Bal,-1)+1</definedName>
    <definedName name="comp2">MATCH(0.01,End_Bal,-1)+1</definedName>
    <definedName name="countday">#N/A</definedName>
    <definedName name="d">#REF!</definedName>
    <definedName name="Data">#REF!</definedName>
    <definedName name="date">#REF!</definedName>
    <definedName name="dd">#REF!</definedName>
    <definedName name="dis">#REF!</definedName>
    <definedName name="End_Bal">#REF!</definedName>
    <definedName name="Extra_Pay">#REF!</definedName>
    <definedName name="Full_Print">#REF!</definedName>
    <definedName name="h" localSheetId="2">IF(BLQ!Values_Entered,[0]!Header_Row+BLQ!Number_of_Payments,[0]!Header_Row)</definedName>
    <definedName name="h">IF(Values_Entered,#REF!+Number_of_Payments,#REF!)</definedName>
    <definedName name="Header_Row">ROW(#REF!)</definedName>
    <definedName name="hg" localSheetId="2">Scheduled_Payment+Extra_Payment</definedName>
    <definedName name="hg">Scheduled_Payment+Extra_Payment</definedName>
    <definedName name="hgh" localSheetId="2">DATE(YEAR([0]!Loan_Start),MONTH([0]!Loan_Start)+Payment_Number,DAY([0]!Loan_Start))</definedName>
    <definedName name="hgh">DATE(YEAR(#REF!),MONTH(#REF!)+Payment_Number,DAY(#REF!))</definedName>
    <definedName name="Int">#REF!</definedName>
    <definedName name="Interest_Rate">#REF!</definedName>
    <definedName name="IP">#REF!</definedName>
    <definedName name="items">#REF!</definedName>
    <definedName name="jh" localSheetId="2">IF(Loan_Amount*Interest_Rate*Loan_Years*Loan_Start&gt;0,1,0)</definedName>
    <definedName name="jh">IF(Loan_Amount*Interest_Rate*Loan_Years*Loan_Start&gt;0,1,0)</definedName>
    <definedName name="jkkl" localSheetId="2">DATE(YEAR([0]!Loan_Start),MONTH([0]!Loan_Start)+Payment_Number,DAY([0]!Loan_Start))</definedName>
    <definedName name="jkkl">DATE(YEAR(#REF!),MONTH(#REF!)+Payment_Number,DAY(#REF!))</definedName>
    <definedName name="jo">#REF!</definedName>
    <definedName name="k" localSheetId="2">IF(BLQ!Values_Entered,Header_Row+BLQ!Number_of_Payments,Header_Row)</definedName>
    <definedName name="k">IF(#REF!,Header_Row+#REF!,Header_Row)</definedName>
    <definedName name="kjhj">IF([0]!Loan_Amount*[0]!Interest_Rate*[0]!Loan_Years*[0]!Loan_Start&gt;0,1,0)</definedName>
    <definedName name="Last_Row" localSheetId="2">IF(BLQ!Values_Entered,Header_Row+BLQ!Number_of_Payments,Header_Row)</definedName>
    <definedName name="Last_Row">IF(Values_Entered,Header_Row+Number_of_Payments,Header_Row)</definedName>
    <definedName name="Loan_Amount">#REF!</definedName>
    <definedName name="Loan_Start">#REF!</definedName>
    <definedName name="Loan_Years">#REF!</definedName>
    <definedName name="mmm" localSheetId="2">DATE(YEAR([0]!Loan_Start),MONTH([0]!Loan_Start)+Payment_Number,DAY([0]!Loan_Start))</definedName>
    <definedName name="mmm">DATE(YEAR(#REF!),MONTH(#REF!)+Payment_Number,DAY(#REF!))</definedName>
    <definedName name="Num">#REF!</definedName>
    <definedName name="Num_Pmt_Per_Year">#REF!</definedName>
    <definedName name="Number_of_Payments" localSheetId="2">MATCH(0.01,End_Bal,-1)+1</definedName>
    <definedName name="Number_of_Payments">MATCH(0.01,End_Bal,-1)+1</definedName>
    <definedName name="Pay_Date">#REF!</definedName>
    <definedName name="Pay_Num">#REF!</definedName>
    <definedName name="Payment_Date" localSheetId="2">DATE(YEAR([0]!Loan_Start),MONTH([0]!Loan_Start)+Payment_Number,DAY([0]!Loan_Start))</definedName>
    <definedName name="Payment_Date">DATE(YEAR(Loan_Start),MONTH(Loan_Start)+Payment_Number,DAY(Loan_Start))</definedName>
    <definedName name="Princ">#REF!</definedName>
    <definedName name="Print_Area_0">#REF!</definedName>
    <definedName name="Print_Area_1">#REF!</definedName>
    <definedName name="Print_Area_2">#REF!</definedName>
    <definedName name="Print_Area_3">#REF!</definedName>
    <definedName name="Print_Area_4">#REF!</definedName>
    <definedName name="Print_Area_5">#REF!</definedName>
    <definedName name="Print_Area_6">#REF!</definedName>
    <definedName name="Print_Area_Reset" localSheetId="2">OFFSET(Full_Print,0,0,BLQ!Last_Row)</definedName>
    <definedName name="Print_Area_Reset">OFFSET(Full_Print,0,0,Last_Row)</definedName>
    <definedName name="rfhx1">#REF!</definedName>
    <definedName name="rrr" localSheetId="2">OFFSET([0]!Full_Print,0,0,سسس)</definedName>
    <definedName name="rrr">OFFSET(#REF!,0,0,سسس)</definedName>
    <definedName name="s" localSheetId="2">DATE(YEAR([0]!Loan_Start),MONTH([0]!Loan_Start)+Payment_Number,DAY([0]!Loan_Start))</definedName>
    <definedName name="s">DATE(YEAR(Loan_Start),MONTH(Loan_Start)+Payment_Number,DAY(Loan_Start))</definedName>
    <definedName name="salary">#REF!</definedName>
    <definedName name="Sched_Pay">#REF!</definedName>
    <definedName name="Scheduled_Extra_Payments">#REF!</definedName>
    <definedName name="Scheduled_Interest_Rate">#REF!</definedName>
    <definedName name="Scheduled_Monthly_Payment">#REF!</definedName>
    <definedName name="SFIC" localSheetId="2">DATE(YEAR([0]!Loan_Start),MONTH([0]!Loan_Start)+Payment_Number,DAY([0]!Loan_Start))</definedName>
    <definedName name="SFIC">DATE(YEAR(#REF!),MONTH(#REF!)+Payment_Number,DAY(#REF!))</definedName>
    <definedName name="sr" localSheetId="2">DATE(YEAR([0]!Loan_Start),MONTH([0]!Loan_Start)+Payment_Number,DAY([0]!Loan_Start))</definedName>
    <definedName name="sr">DATE(YEAR(#REF!),MONTH(#REF!)+Payment_Number,DAY(#REF!))</definedName>
    <definedName name="ss" localSheetId="2">DATE(YEAR([0]!Loan_Start),MONTH([0]!Loan_Start)+Payment_Number,DAY([0]!Loan_Start))</definedName>
    <definedName name="ss">DATE(YEAR(Loan_Start),MONTH(Loan_Start)+Payment_Number,DAY(Loan_Start))</definedName>
    <definedName name="sss" localSheetId="2">DATE(YEAR([0]!Loan_Start),MONTH([0]!Loan_Start)+Payment_Number,DAY([0]!Loan_Start))</definedName>
    <definedName name="sss">DATE(YEAR(Loan_Start),MONTH(Loan_Start)+Payment_Number,DAY(Loan_Start))</definedName>
    <definedName name="ssss" localSheetId="2">DATE(YEAR([0]!Loan_Start),MONTH([0]!Loan_Start)+Payment_Number,DAY([0]!Loan_Start))</definedName>
    <definedName name="ssss">DATE(YEAR(#REF!),MONTH(#REF!)+Payment_Number,DAY(#REF!))</definedName>
    <definedName name="th" localSheetId="2">IF(Loan_Amount*Interest_Rate*Loan_Years*Loan_Start&gt;0,1,0)</definedName>
    <definedName name="th">IF(Loan_Amount*Interest_Rate*Loan_Years*Loan_Start&gt;0,1,0)</definedName>
    <definedName name="Total_Interest">#REF!</definedName>
    <definedName name="Total_Pay">#REF!</definedName>
    <definedName name="Total_Payment" localSheetId="2">Scheduled_Payment+Extra_Payment</definedName>
    <definedName name="Total_Payment">Scheduled_Payment+Extra_Payment</definedName>
    <definedName name="Values_Entered" localSheetId="2">IF(Loan_Amount*Interest_Rate*Loan_Years*Loan_Start&gt;0,1,0)</definedName>
    <definedName name="Values_Entered">IF(Loan_Amount*Interest_Rate*Loan_Years*Loan_Start&gt;0,1,0)</definedName>
    <definedName name="ww">#REF!</definedName>
    <definedName name="االل" localSheetId="2">Scheduled_Payment+Extra_Payment</definedName>
    <definedName name="االل">Scheduled_Payment+Extra_Payment</definedName>
    <definedName name="استعواض">IF([0]!Loan_Amount*[0]!Interest_Rate*[0]!Loan_Years*[0]!Loan_Start&gt;0,1,0)</definedName>
    <definedName name="استعواضات" localSheetId="2">Scheduled_Payment+Extra_Payment</definedName>
    <definedName name="استعواضات">Scheduled_Payment+Extra_Payment</definedName>
    <definedName name="أكتوبر" localSheetId="2">OFFSET([0]!Full_Print,0,0,سسس)</definedName>
    <definedName name="أكتوبر">OFFSET(#REF!,0,0,سسس)</definedName>
    <definedName name="الاستثمار" localSheetId="2">Scheduled_Payment+Extra_Payment</definedName>
    <definedName name="الاستثمار">Scheduled_Payment+Extra_Payment</definedName>
    <definedName name="الائتمان2" localSheetId="2">DATE(YEAR([0]!Loan_Start),MONTH([0]!Loan_Start)+Payment_Number,DAY([0]!Loan_Start))</definedName>
    <definedName name="الائتمان2">DATE(YEAR(Loan_Start),MONTH(Loan_Start)+Payment_Number,DAY(Loan_Start))</definedName>
    <definedName name="العربية" localSheetId="2">Scheduled_Payment+Extra_Payment</definedName>
    <definedName name="العربية">Scheduled_Payment+Extra_Payment</definedName>
    <definedName name="الكفاءة">#N/A</definedName>
    <definedName name="الل">#N/A</definedName>
    <definedName name="ايمن">1979</definedName>
    <definedName name="ائتمان2" localSheetId="2">MATCH(0.01,End_Bal,-1)+1</definedName>
    <definedName name="ائتمان2">MATCH(0.01,End_Bal,-1)+1</definedName>
    <definedName name="ةة" localSheetId="2">DATE(YEAR([0]!Loan_Start),MONTH([0]!Loan_Start)+Payment_Number,DAY([0]!Loan_Start))</definedName>
    <definedName name="ةة">DATE(YEAR(#REF!),MONTH(#REF!)+Payment_Number,DAY(#REF!))</definedName>
    <definedName name="ةةة" localSheetId="2">DATE(YEAR([0]!Loan_Start),MONTH([0]!Loan_Start)+Payment_Number,DAY([0]!Loan_Start))</definedName>
    <definedName name="ةةة">DATE(YEAR(#REF!),MONTH(#REF!)+Payment_Number,DAY(#REF!))</definedName>
    <definedName name="ةهةخ" localSheetId="2">DATE(YEAR([0]!Loan_Start),MONTH([0]!Loan_Start)+Payment_Number,DAY([0]!Loan_Start))</definedName>
    <definedName name="ةهةخ">DATE(YEAR(#REF!),MONTH(#REF!)+Payment_Number,DAY(#REF!))</definedName>
    <definedName name="تتتتتتتتتت">#REF!</definedName>
    <definedName name="تقييم" localSheetId="2">OFFSET(Full_Print,0,0,ززززز)</definedName>
    <definedName name="تقييم">OFFSET(Full_Print,0,0,ززززز)</definedName>
    <definedName name="حوافزح">#REF!</definedName>
    <definedName name="دمياط">#N/A</definedName>
    <definedName name="دمياطG" localSheetId="2">DATE(YEAR([0]!Loan_Start),MONTH([0]!Loan_Start)+Payment_Number,DAY([0]!Loan_Start))</definedName>
    <definedName name="دمياطG">DATE(YEAR(Loan_Start),MONTH(Loan_Start)+Payment_Number,DAY(Loan_Start))</definedName>
    <definedName name="ريهام">#N/A</definedName>
    <definedName name="زززز" localSheetId="2">MATCH(0.01,End_Bal,-1)+1</definedName>
    <definedName name="زززز">MATCH(0.01,End_Bal,-1)+1</definedName>
    <definedName name="ززززز">#N/A</definedName>
    <definedName name="سث">#N/A</definedName>
    <definedName name="سسس">IF(BLQ!Values_Entered,[0]!Header_Row+BLQ!Number_of_Payments,[0]!Header_Row)</definedName>
    <definedName name="سيشسيش" localSheetId="2">IF(Loan_Amount*Interest_Rate*Loan_Years*Loan_Start&gt;0,1,0)</definedName>
    <definedName name="سيشسيش">IF(Loan_Amount*Interest_Rate*Loan_Years*Loan_Start&gt;0,1,0)</definedName>
    <definedName name="ش">#N/A</definedName>
    <definedName name="شس">#N/A</definedName>
    <definedName name="شش" localSheetId="2">DATE(YEAR([0]!Loan_Start),MONTH([0]!Loan_Start)+Payment_Number,DAY([0]!Loan_Start))</definedName>
    <definedName name="شش">DATE(YEAR(Loan_Start),MONTH(Loan_Start)+Payment_Number,DAY(Loan_Start))</definedName>
    <definedName name="قباء1">MATCH(0.01,[0]!End_Bal,-1)+1</definedName>
    <definedName name="كشف">#REF!</definedName>
    <definedName name="محمد" localSheetId="2">IF(Loan_Amount*Interest_Rate*Loan_Years*Loan_Start&gt;0,1,0)</definedName>
    <definedName name="محمد">IF(Loan_Amount*Interest_Rate*Loan_Years*Loan_Start&gt;0,1,0)</definedName>
    <definedName name="مم">#N/A</definedName>
    <definedName name="ممم">IF(BLQ!سيشسيش,[0]!Header_Row+BLQ!Number_of_Payments,[0]!Header_Row)</definedName>
    <definedName name="نوفمبر" localSheetId="2">DATE(YEAR([0]!Loan_Start),MONTH([0]!Loan_Start)+Payment_Number,DAY([0]!Loan_Start))</definedName>
    <definedName name="نوفمبر">DATE(YEAR(#REF!),MONTH(#REF!)+Payment_Number,DAY(#REF!))</definedName>
  </definedNames>
  <calcPr calcId="191029"/>
  <pivotCaches>
    <pivotCache cacheId="50" r:id="rId12"/>
    <pivotCache cacheId="74"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4" i="5" l="1"/>
  <c r="D205" i="5"/>
  <c r="D206" i="5"/>
  <c r="D207" i="5"/>
  <c r="D208" i="5"/>
  <c r="D209" i="5"/>
  <c r="D210" i="5"/>
  <c r="D211" i="5"/>
  <c r="D212" i="5"/>
  <c r="D213" i="5"/>
  <c r="D253" i="5"/>
  <c r="D255" i="5"/>
  <c r="D256" i="5"/>
  <c r="D257" i="5"/>
  <c r="D258" i="5"/>
  <c r="D259" i="5"/>
  <c r="D260" i="5"/>
  <c r="D261" i="5"/>
  <c r="D262" i="5"/>
  <c r="D263" i="5"/>
  <c r="D279" i="9"/>
  <c r="D276" i="9"/>
  <c r="D277" i="9"/>
  <c r="D278" i="9"/>
  <c r="D253" i="9"/>
  <c r="D263" i="9"/>
  <c r="D80" i="9"/>
  <c r="D261" i="9" s="1"/>
  <c r="D81" i="9"/>
  <c r="D262" i="9" s="1"/>
  <c r="D278" i="6"/>
  <c r="D279" i="6"/>
  <c r="D253" i="6"/>
  <c r="D254" i="6"/>
  <c r="D263" i="6"/>
  <c r="D252" i="6"/>
  <c r="D209" i="6"/>
  <c r="D212" i="6"/>
  <c r="D213" i="6"/>
  <c r="D150" i="6"/>
  <c r="D151" i="6"/>
  <c r="D152" i="6"/>
  <c r="D153" i="6"/>
  <c r="D154" i="6"/>
  <c r="D155" i="6"/>
  <c r="D156" i="6"/>
  <c r="D157" i="6"/>
  <c r="D149" i="6"/>
  <c r="D277" i="6"/>
  <c r="D272" i="6"/>
  <c r="D273" i="6"/>
  <c r="D274" i="6"/>
  <c r="D110" i="6"/>
  <c r="D111" i="6"/>
  <c r="D112" i="6"/>
  <c r="D113" i="6"/>
  <c r="D114" i="6"/>
  <c r="D115" i="6"/>
  <c r="D116" i="6"/>
  <c r="D117" i="6"/>
  <c r="D118" i="6"/>
  <c r="D119" i="6"/>
  <c r="D120" i="6"/>
  <c r="D121" i="6"/>
  <c r="D122" i="6"/>
  <c r="D123" i="6"/>
  <c r="D124" i="6"/>
  <c r="D125" i="6"/>
  <c r="D126" i="6"/>
  <c r="D127" i="6"/>
  <c r="D109" i="6"/>
  <c r="A510" i="2"/>
  <c r="B510" i="2"/>
  <c r="C510" i="2"/>
  <c r="D510" i="2"/>
  <c r="E510" i="2"/>
  <c r="F510" i="2"/>
  <c r="G510" i="2"/>
  <c r="H510" i="2"/>
  <c r="I510" i="2"/>
  <c r="J510" i="2"/>
  <c r="K510" i="2"/>
  <c r="L510" i="2"/>
  <c r="M510" i="2"/>
  <c r="N510" i="2"/>
  <c r="O510" i="2"/>
  <c r="A511" i="2"/>
  <c r="B511" i="2"/>
  <c r="C511" i="2"/>
  <c r="D511" i="2"/>
  <c r="E511" i="2"/>
  <c r="F511" i="2"/>
  <c r="G511" i="2"/>
  <c r="H511" i="2"/>
  <c r="I511" i="2"/>
  <c r="J511" i="2"/>
  <c r="K511" i="2"/>
  <c r="L511" i="2"/>
  <c r="M511" i="2"/>
  <c r="N511" i="2"/>
  <c r="O511" i="2"/>
  <c r="A512" i="2"/>
  <c r="B512" i="2"/>
  <c r="C512" i="2"/>
  <c r="D512" i="2"/>
  <c r="E512" i="2"/>
  <c r="F512" i="2"/>
  <c r="G512" i="2"/>
  <c r="H512" i="2"/>
  <c r="I512" i="2"/>
  <c r="J512" i="2"/>
  <c r="K512" i="2"/>
  <c r="L512" i="2"/>
  <c r="M512" i="2"/>
  <c r="N512" i="2"/>
  <c r="O512" i="2"/>
  <c r="A513" i="2"/>
  <c r="B513" i="2"/>
  <c r="C513" i="2"/>
  <c r="D513" i="2"/>
  <c r="E513" i="2"/>
  <c r="F513" i="2"/>
  <c r="G513" i="2"/>
  <c r="H513" i="2"/>
  <c r="I513" i="2"/>
  <c r="J513" i="2"/>
  <c r="K513" i="2"/>
  <c r="L513" i="2"/>
  <c r="M513" i="2"/>
  <c r="N513" i="2"/>
  <c r="O513" i="2"/>
  <c r="A514" i="2"/>
  <c r="B514" i="2"/>
  <c r="C514" i="2"/>
  <c r="D514" i="2"/>
  <c r="E514" i="2"/>
  <c r="F514" i="2"/>
  <c r="G514" i="2"/>
  <c r="H514" i="2"/>
  <c r="I514" i="2"/>
  <c r="J514" i="2"/>
  <c r="K514" i="2"/>
  <c r="L514" i="2"/>
  <c r="M514" i="2"/>
  <c r="N514" i="2"/>
  <c r="O514" i="2"/>
  <c r="A515" i="2"/>
  <c r="B515" i="2"/>
  <c r="C515" i="2"/>
  <c r="D515" i="2"/>
  <c r="E515" i="2"/>
  <c r="F515" i="2"/>
  <c r="G515" i="2"/>
  <c r="H515" i="2"/>
  <c r="I515" i="2"/>
  <c r="J515" i="2"/>
  <c r="K515" i="2"/>
  <c r="L515" i="2"/>
  <c r="M515" i="2"/>
  <c r="N515" i="2"/>
  <c r="O515" i="2"/>
  <c r="A516" i="2"/>
  <c r="B516" i="2"/>
  <c r="C516" i="2"/>
  <c r="D516" i="2"/>
  <c r="E516" i="2"/>
  <c r="F516" i="2"/>
  <c r="G516" i="2"/>
  <c r="H516" i="2"/>
  <c r="I516" i="2"/>
  <c r="J516" i="2"/>
  <c r="K516" i="2"/>
  <c r="L516" i="2"/>
  <c r="M516" i="2"/>
  <c r="N516" i="2"/>
  <c r="O516" i="2"/>
  <c r="A517" i="2"/>
  <c r="B517" i="2"/>
  <c r="C517" i="2"/>
  <c r="D517" i="2"/>
  <c r="E517" i="2"/>
  <c r="F517" i="2"/>
  <c r="G517" i="2"/>
  <c r="H517" i="2"/>
  <c r="I517" i="2"/>
  <c r="J517" i="2"/>
  <c r="K517" i="2"/>
  <c r="L517" i="2"/>
  <c r="M517" i="2"/>
  <c r="N517" i="2"/>
  <c r="O517" i="2"/>
  <c r="A518" i="2"/>
  <c r="B518" i="2"/>
  <c r="C518" i="2"/>
  <c r="D518" i="2"/>
  <c r="E518" i="2"/>
  <c r="F518" i="2"/>
  <c r="G518" i="2"/>
  <c r="H518" i="2"/>
  <c r="I518" i="2"/>
  <c r="J518" i="2"/>
  <c r="K518" i="2"/>
  <c r="L518" i="2"/>
  <c r="M518" i="2"/>
  <c r="N518" i="2"/>
  <c r="O518" i="2"/>
  <c r="A519" i="2"/>
  <c r="B519" i="2"/>
  <c r="C519" i="2"/>
  <c r="D519" i="2"/>
  <c r="E519" i="2"/>
  <c r="F519" i="2"/>
  <c r="G519" i="2"/>
  <c r="H519" i="2"/>
  <c r="I519" i="2"/>
  <c r="J519" i="2"/>
  <c r="K519" i="2"/>
  <c r="L519" i="2"/>
  <c r="M519" i="2"/>
  <c r="N519" i="2"/>
  <c r="O519" i="2"/>
  <c r="A520" i="2"/>
  <c r="B520" i="2"/>
  <c r="C520" i="2"/>
  <c r="D520" i="2"/>
  <c r="E520" i="2"/>
  <c r="F520" i="2"/>
  <c r="G520" i="2"/>
  <c r="H520" i="2"/>
  <c r="I520" i="2"/>
  <c r="J520" i="2"/>
  <c r="K520" i="2"/>
  <c r="L520" i="2"/>
  <c r="M520" i="2"/>
  <c r="N520" i="2"/>
  <c r="O520" i="2"/>
  <c r="A521" i="2"/>
  <c r="B521" i="2"/>
  <c r="C521" i="2"/>
  <c r="D521" i="2"/>
  <c r="E521" i="2"/>
  <c r="F521" i="2"/>
  <c r="G521" i="2"/>
  <c r="H521" i="2"/>
  <c r="I521" i="2"/>
  <c r="J521" i="2"/>
  <c r="K521" i="2"/>
  <c r="L521" i="2"/>
  <c r="M521" i="2"/>
  <c r="N521" i="2"/>
  <c r="O521" i="2"/>
  <c r="A522" i="2"/>
  <c r="B522" i="2"/>
  <c r="C522" i="2"/>
  <c r="D522" i="2"/>
  <c r="E522" i="2"/>
  <c r="F522" i="2"/>
  <c r="G522" i="2"/>
  <c r="H522" i="2"/>
  <c r="I522" i="2"/>
  <c r="J522" i="2"/>
  <c r="K522" i="2"/>
  <c r="L522" i="2"/>
  <c r="M522" i="2"/>
  <c r="N522" i="2"/>
  <c r="O522" i="2"/>
  <c r="A523" i="2"/>
  <c r="B523" i="2"/>
  <c r="C523" i="2"/>
  <c r="D523" i="2"/>
  <c r="E523" i="2"/>
  <c r="F523" i="2"/>
  <c r="G523" i="2"/>
  <c r="H523" i="2"/>
  <c r="I523" i="2"/>
  <c r="J523" i="2"/>
  <c r="K523" i="2"/>
  <c r="L523" i="2"/>
  <c r="M523" i="2"/>
  <c r="N523" i="2"/>
  <c r="O523" i="2"/>
  <c r="A524" i="2"/>
  <c r="B524" i="2"/>
  <c r="C524" i="2"/>
  <c r="D524" i="2"/>
  <c r="E524" i="2"/>
  <c r="F524" i="2"/>
  <c r="G524" i="2"/>
  <c r="H524" i="2"/>
  <c r="I524" i="2"/>
  <c r="J524" i="2"/>
  <c r="K524" i="2"/>
  <c r="L524" i="2"/>
  <c r="M524" i="2"/>
  <c r="N524" i="2"/>
  <c r="O524" i="2"/>
  <c r="A525" i="2"/>
  <c r="B525" i="2"/>
  <c r="C525" i="2"/>
  <c r="D525" i="2"/>
  <c r="E525" i="2"/>
  <c r="F525" i="2"/>
  <c r="G525" i="2"/>
  <c r="H525" i="2"/>
  <c r="I525" i="2"/>
  <c r="J525" i="2"/>
  <c r="K525" i="2"/>
  <c r="L525" i="2"/>
  <c r="M525" i="2"/>
  <c r="N525" i="2"/>
  <c r="O525" i="2"/>
  <c r="A526" i="2"/>
  <c r="B526" i="2"/>
  <c r="C526" i="2"/>
  <c r="D526" i="2"/>
  <c r="E526" i="2"/>
  <c r="F526" i="2"/>
  <c r="G526" i="2"/>
  <c r="H526" i="2"/>
  <c r="I526" i="2"/>
  <c r="J526" i="2"/>
  <c r="K526" i="2"/>
  <c r="L526" i="2"/>
  <c r="M526" i="2"/>
  <c r="N526" i="2"/>
  <c r="O526" i="2"/>
  <c r="A527" i="2"/>
  <c r="B527" i="2"/>
  <c r="C527" i="2"/>
  <c r="D527" i="2"/>
  <c r="E527" i="2"/>
  <c r="F527" i="2"/>
  <c r="G527" i="2"/>
  <c r="H527" i="2"/>
  <c r="I527" i="2"/>
  <c r="J527" i="2"/>
  <c r="K527" i="2"/>
  <c r="L527" i="2"/>
  <c r="M527" i="2"/>
  <c r="N527" i="2"/>
  <c r="O527" i="2"/>
  <c r="A528" i="2"/>
  <c r="B528" i="2"/>
  <c r="C528" i="2"/>
  <c r="D528" i="2"/>
  <c r="E528" i="2"/>
  <c r="F528" i="2"/>
  <c r="G528" i="2"/>
  <c r="H528" i="2"/>
  <c r="I528" i="2"/>
  <c r="J528" i="2"/>
  <c r="K528" i="2"/>
  <c r="L528" i="2"/>
  <c r="M528" i="2"/>
  <c r="N528" i="2"/>
  <c r="O528" i="2"/>
  <c r="A529" i="2"/>
  <c r="B529" i="2"/>
  <c r="C529" i="2"/>
  <c r="D529" i="2"/>
  <c r="E529" i="2"/>
  <c r="F529" i="2"/>
  <c r="G529" i="2"/>
  <c r="H529" i="2"/>
  <c r="I529" i="2"/>
  <c r="J529" i="2"/>
  <c r="K529" i="2"/>
  <c r="L529" i="2"/>
  <c r="M529" i="2"/>
  <c r="N529" i="2"/>
  <c r="O529" i="2"/>
  <c r="A530" i="2"/>
  <c r="B530" i="2"/>
  <c r="C530" i="2"/>
  <c r="D530" i="2"/>
  <c r="E530" i="2"/>
  <c r="F530" i="2"/>
  <c r="G530" i="2"/>
  <c r="H530" i="2"/>
  <c r="I530" i="2"/>
  <c r="J530" i="2"/>
  <c r="K530" i="2"/>
  <c r="L530" i="2"/>
  <c r="M530" i="2"/>
  <c r="N530" i="2"/>
  <c r="O530" i="2"/>
  <c r="A531" i="2"/>
  <c r="B531" i="2"/>
  <c r="C531" i="2"/>
  <c r="D531" i="2"/>
  <c r="E531" i="2"/>
  <c r="F531" i="2"/>
  <c r="G531" i="2"/>
  <c r="H531" i="2"/>
  <c r="I531" i="2"/>
  <c r="J531" i="2"/>
  <c r="K531" i="2"/>
  <c r="L531" i="2"/>
  <c r="M531" i="2"/>
  <c r="N531" i="2"/>
  <c r="O531" i="2"/>
  <c r="A532" i="2"/>
  <c r="B532" i="2"/>
  <c r="C532" i="2"/>
  <c r="D532" i="2"/>
  <c r="E532" i="2"/>
  <c r="F532" i="2"/>
  <c r="G532" i="2"/>
  <c r="H532" i="2"/>
  <c r="I532" i="2"/>
  <c r="J532" i="2"/>
  <c r="K532" i="2"/>
  <c r="L532" i="2"/>
  <c r="M532" i="2"/>
  <c r="N532" i="2"/>
  <c r="O532" i="2"/>
  <c r="A533" i="2"/>
  <c r="B533" i="2"/>
  <c r="C533" i="2"/>
  <c r="D533" i="2"/>
  <c r="E533" i="2"/>
  <c r="F533" i="2"/>
  <c r="G533" i="2"/>
  <c r="H533" i="2"/>
  <c r="I533" i="2"/>
  <c r="J533" i="2"/>
  <c r="K533" i="2"/>
  <c r="L533" i="2"/>
  <c r="M533" i="2"/>
  <c r="N533" i="2"/>
  <c r="O533" i="2"/>
  <c r="A534" i="2"/>
  <c r="B534" i="2"/>
  <c r="C534" i="2"/>
  <c r="D534" i="2"/>
  <c r="E534" i="2"/>
  <c r="F534" i="2"/>
  <c r="G534" i="2"/>
  <c r="H534" i="2"/>
  <c r="I534" i="2"/>
  <c r="J534" i="2"/>
  <c r="K534" i="2"/>
  <c r="L534" i="2"/>
  <c r="M534" i="2"/>
  <c r="N534" i="2"/>
  <c r="O534" i="2"/>
  <c r="A535" i="2"/>
  <c r="B535" i="2"/>
  <c r="C535" i="2"/>
  <c r="D535" i="2"/>
  <c r="E535" i="2"/>
  <c r="F535" i="2"/>
  <c r="G535" i="2"/>
  <c r="H535" i="2"/>
  <c r="I535" i="2"/>
  <c r="J535" i="2"/>
  <c r="K535" i="2"/>
  <c r="L535" i="2"/>
  <c r="M535" i="2"/>
  <c r="N535" i="2"/>
  <c r="O535" i="2"/>
  <c r="A536" i="2"/>
  <c r="B536" i="2"/>
  <c r="C536" i="2"/>
  <c r="D536" i="2"/>
  <c r="E536" i="2"/>
  <c r="F536" i="2"/>
  <c r="G536" i="2"/>
  <c r="H536" i="2"/>
  <c r="I536" i="2"/>
  <c r="J536" i="2"/>
  <c r="K536" i="2"/>
  <c r="L536" i="2"/>
  <c r="M536" i="2"/>
  <c r="N536" i="2"/>
  <c r="O536" i="2"/>
  <c r="A537" i="2"/>
  <c r="B537" i="2"/>
  <c r="C537" i="2"/>
  <c r="D537" i="2"/>
  <c r="E537" i="2"/>
  <c r="F537" i="2"/>
  <c r="G537" i="2"/>
  <c r="H537" i="2"/>
  <c r="I537" i="2"/>
  <c r="J537" i="2"/>
  <c r="K537" i="2"/>
  <c r="L537" i="2"/>
  <c r="M537" i="2"/>
  <c r="N537" i="2"/>
  <c r="O537" i="2"/>
  <c r="A538" i="2"/>
  <c r="B538" i="2"/>
  <c r="C538" i="2"/>
  <c r="D538" i="2"/>
  <c r="E538" i="2"/>
  <c r="F538" i="2"/>
  <c r="G538" i="2"/>
  <c r="H538" i="2"/>
  <c r="I538" i="2"/>
  <c r="J538" i="2"/>
  <c r="K538" i="2"/>
  <c r="L538" i="2"/>
  <c r="M538" i="2"/>
  <c r="N538" i="2"/>
  <c r="O538" i="2"/>
  <c r="A539" i="2"/>
  <c r="B539" i="2"/>
  <c r="C539" i="2"/>
  <c r="D539" i="2"/>
  <c r="E539" i="2"/>
  <c r="F539" i="2"/>
  <c r="G539" i="2"/>
  <c r="H539" i="2"/>
  <c r="I539" i="2"/>
  <c r="J539" i="2"/>
  <c r="K539" i="2"/>
  <c r="L539" i="2"/>
  <c r="M539" i="2"/>
  <c r="N539" i="2"/>
  <c r="O539" i="2"/>
  <c r="A540" i="2"/>
  <c r="B540" i="2"/>
  <c r="C540" i="2"/>
  <c r="D540" i="2"/>
  <c r="E540" i="2"/>
  <c r="F540" i="2"/>
  <c r="G540" i="2"/>
  <c r="H540" i="2"/>
  <c r="I540" i="2"/>
  <c r="J540" i="2"/>
  <c r="K540" i="2"/>
  <c r="L540" i="2"/>
  <c r="M540" i="2"/>
  <c r="N540" i="2"/>
  <c r="O540" i="2"/>
  <c r="A541" i="2"/>
  <c r="B541" i="2"/>
  <c r="C541" i="2"/>
  <c r="D541" i="2"/>
  <c r="E541" i="2"/>
  <c r="F541" i="2"/>
  <c r="G541" i="2"/>
  <c r="H541" i="2"/>
  <c r="I541" i="2"/>
  <c r="J541" i="2"/>
  <c r="K541" i="2"/>
  <c r="L541" i="2"/>
  <c r="M541" i="2"/>
  <c r="N541" i="2"/>
  <c r="O541" i="2"/>
  <c r="A542" i="2"/>
  <c r="B542" i="2"/>
  <c r="C542" i="2"/>
  <c r="D542" i="2"/>
  <c r="E542" i="2"/>
  <c r="F542" i="2"/>
  <c r="G542" i="2"/>
  <c r="H542" i="2"/>
  <c r="I542" i="2"/>
  <c r="J542" i="2"/>
  <c r="K542" i="2"/>
  <c r="L542" i="2"/>
  <c r="M542" i="2"/>
  <c r="N542" i="2"/>
  <c r="O542" i="2"/>
  <c r="A543" i="2"/>
  <c r="B543" i="2"/>
  <c r="C543" i="2"/>
  <c r="D543" i="2"/>
  <c r="E543" i="2"/>
  <c r="F543" i="2"/>
  <c r="G543" i="2"/>
  <c r="H543" i="2"/>
  <c r="I543" i="2"/>
  <c r="J543" i="2"/>
  <c r="K543" i="2"/>
  <c r="L543" i="2"/>
  <c r="M543" i="2"/>
  <c r="N543" i="2"/>
  <c r="O543" i="2"/>
  <c r="A544" i="2"/>
  <c r="B544" i="2"/>
  <c r="C544" i="2"/>
  <c r="D544" i="2"/>
  <c r="E544" i="2"/>
  <c r="F544" i="2"/>
  <c r="G544" i="2"/>
  <c r="H544" i="2"/>
  <c r="I544" i="2"/>
  <c r="J544" i="2"/>
  <c r="K544" i="2"/>
  <c r="L544" i="2"/>
  <c r="M544" i="2"/>
  <c r="N544" i="2"/>
  <c r="O544" i="2"/>
  <c r="A545" i="2"/>
  <c r="B545" i="2"/>
  <c r="C545" i="2"/>
  <c r="D545" i="2"/>
  <c r="E545" i="2"/>
  <c r="F545" i="2"/>
  <c r="G545" i="2"/>
  <c r="H545" i="2"/>
  <c r="I545" i="2"/>
  <c r="J545" i="2"/>
  <c r="K545" i="2"/>
  <c r="L545" i="2"/>
  <c r="M545" i="2"/>
  <c r="N545" i="2"/>
  <c r="O545" i="2"/>
  <c r="A546" i="2"/>
  <c r="B546" i="2"/>
  <c r="C546" i="2"/>
  <c r="D546" i="2"/>
  <c r="E546" i="2"/>
  <c r="F546" i="2"/>
  <c r="G546" i="2"/>
  <c r="H546" i="2"/>
  <c r="I546" i="2"/>
  <c r="J546" i="2"/>
  <c r="K546" i="2"/>
  <c r="L546" i="2"/>
  <c r="M546" i="2"/>
  <c r="N546" i="2"/>
  <c r="O546" i="2"/>
  <c r="A547" i="2"/>
  <c r="B547" i="2"/>
  <c r="C547" i="2"/>
  <c r="D547" i="2"/>
  <c r="E547" i="2"/>
  <c r="F547" i="2"/>
  <c r="G547" i="2"/>
  <c r="H547" i="2"/>
  <c r="I547" i="2"/>
  <c r="J547" i="2"/>
  <c r="K547" i="2"/>
  <c r="L547" i="2"/>
  <c r="M547" i="2"/>
  <c r="N547" i="2"/>
  <c r="O547" i="2"/>
  <c r="A548" i="2"/>
  <c r="B548" i="2"/>
  <c r="C548" i="2"/>
  <c r="D548" i="2"/>
  <c r="E548" i="2"/>
  <c r="F548" i="2"/>
  <c r="G548" i="2"/>
  <c r="H548" i="2"/>
  <c r="I548" i="2"/>
  <c r="J548" i="2"/>
  <c r="K548" i="2"/>
  <c r="L548" i="2"/>
  <c r="M548" i="2"/>
  <c r="N548" i="2"/>
  <c r="O548" i="2"/>
  <c r="A549" i="2"/>
  <c r="B549" i="2"/>
  <c r="C549" i="2"/>
  <c r="D549" i="2"/>
  <c r="E549" i="2"/>
  <c r="F549" i="2"/>
  <c r="G549" i="2"/>
  <c r="H549" i="2"/>
  <c r="I549" i="2"/>
  <c r="J549" i="2"/>
  <c r="K549" i="2"/>
  <c r="L549" i="2"/>
  <c r="M549" i="2"/>
  <c r="N549" i="2"/>
  <c r="O549" i="2"/>
  <c r="A550" i="2"/>
  <c r="B550" i="2"/>
  <c r="C550" i="2"/>
  <c r="D550" i="2"/>
  <c r="E550" i="2"/>
  <c r="F550" i="2"/>
  <c r="G550" i="2"/>
  <c r="H550" i="2"/>
  <c r="I550" i="2"/>
  <c r="J550" i="2"/>
  <c r="K550" i="2"/>
  <c r="L550" i="2"/>
  <c r="M550" i="2"/>
  <c r="N550" i="2"/>
  <c r="O550" i="2"/>
  <c r="A551" i="2"/>
  <c r="B551" i="2"/>
  <c r="C551" i="2"/>
  <c r="D551" i="2"/>
  <c r="E551" i="2"/>
  <c r="F551" i="2"/>
  <c r="G551" i="2"/>
  <c r="H551" i="2"/>
  <c r="I551" i="2"/>
  <c r="J551" i="2"/>
  <c r="K551" i="2"/>
  <c r="L551" i="2"/>
  <c r="M551" i="2"/>
  <c r="N551" i="2"/>
  <c r="O551" i="2"/>
  <c r="A552" i="2"/>
  <c r="B552" i="2"/>
  <c r="C552" i="2"/>
  <c r="D552" i="2"/>
  <c r="E552" i="2"/>
  <c r="F552" i="2"/>
  <c r="G552" i="2"/>
  <c r="H552" i="2"/>
  <c r="I552" i="2"/>
  <c r="J552" i="2"/>
  <c r="K552" i="2"/>
  <c r="L552" i="2"/>
  <c r="M552" i="2"/>
  <c r="N552" i="2"/>
  <c r="O552" i="2"/>
  <c r="A553" i="2"/>
  <c r="B553" i="2"/>
  <c r="C553" i="2"/>
  <c r="D553" i="2"/>
  <c r="E553" i="2"/>
  <c r="F553" i="2"/>
  <c r="G553" i="2"/>
  <c r="H553" i="2"/>
  <c r="I553" i="2"/>
  <c r="J553" i="2"/>
  <c r="K553" i="2"/>
  <c r="L553" i="2"/>
  <c r="M553" i="2"/>
  <c r="N553" i="2"/>
  <c r="O553" i="2"/>
  <c r="A554" i="2"/>
  <c r="B554" i="2"/>
  <c r="C554" i="2"/>
  <c r="D554" i="2"/>
  <c r="E554" i="2"/>
  <c r="F554" i="2"/>
  <c r="G554" i="2"/>
  <c r="H554" i="2"/>
  <c r="I554" i="2"/>
  <c r="J554" i="2"/>
  <c r="K554" i="2"/>
  <c r="L554" i="2"/>
  <c r="M554" i="2"/>
  <c r="N554" i="2"/>
  <c r="O554" i="2"/>
  <c r="A555" i="2"/>
  <c r="B555" i="2"/>
  <c r="C555" i="2"/>
  <c r="D555" i="2"/>
  <c r="E555" i="2"/>
  <c r="F555" i="2"/>
  <c r="G555" i="2"/>
  <c r="H555" i="2"/>
  <c r="I555" i="2"/>
  <c r="J555" i="2"/>
  <c r="K555" i="2"/>
  <c r="L555" i="2"/>
  <c r="M555" i="2"/>
  <c r="N555" i="2"/>
  <c r="O555" i="2"/>
  <c r="A556" i="2"/>
  <c r="B556" i="2"/>
  <c r="C556" i="2"/>
  <c r="D556" i="2"/>
  <c r="E556" i="2"/>
  <c r="F556" i="2"/>
  <c r="G556" i="2"/>
  <c r="H556" i="2"/>
  <c r="I556" i="2"/>
  <c r="J556" i="2"/>
  <c r="K556" i="2"/>
  <c r="L556" i="2"/>
  <c r="M556" i="2"/>
  <c r="N556" i="2"/>
  <c r="O556" i="2"/>
  <c r="A557" i="2"/>
  <c r="B557" i="2"/>
  <c r="C557" i="2"/>
  <c r="D557" i="2"/>
  <c r="E557" i="2"/>
  <c r="F557" i="2"/>
  <c r="G557" i="2"/>
  <c r="H557" i="2"/>
  <c r="I557" i="2"/>
  <c r="J557" i="2"/>
  <c r="K557" i="2"/>
  <c r="L557" i="2"/>
  <c r="M557" i="2"/>
  <c r="N557" i="2"/>
  <c r="O557" i="2"/>
  <c r="A558" i="2"/>
  <c r="B558" i="2"/>
  <c r="C558" i="2"/>
  <c r="D558" i="2"/>
  <c r="E558" i="2"/>
  <c r="F558" i="2"/>
  <c r="G558" i="2"/>
  <c r="H558" i="2"/>
  <c r="I558" i="2"/>
  <c r="J558" i="2"/>
  <c r="K558" i="2"/>
  <c r="L558" i="2"/>
  <c r="M558" i="2"/>
  <c r="N558" i="2"/>
  <c r="O558" i="2"/>
  <c r="A559" i="2"/>
  <c r="B559" i="2"/>
  <c r="C559" i="2"/>
  <c r="D559" i="2"/>
  <c r="E559" i="2"/>
  <c r="F559" i="2"/>
  <c r="G559" i="2"/>
  <c r="H559" i="2"/>
  <c r="I559" i="2"/>
  <c r="J559" i="2"/>
  <c r="K559" i="2"/>
  <c r="L559" i="2"/>
  <c r="M559" i="2"/>
  <c r="N559" i="2"/>
  <c r="O559" i="2"/>
  <c r="A560" i="2"/>
  <c r="B560" i="2"/>
  <c r="C560" i="2"/>
  <c r="D560" i="2"/>
  <c r="E560" i="2"/>
  <c r="F560" i="2"/>
  <c r="G560" i="2"/>
  <c r="H560" i="2"/>
  <c r="I560" i="2"/>
  <c r="J560" i="2"/>
  <c r="K560" i="2"/>
  <c r="L560" i="2"/>
  <c r="M560" i="2"/>
  <c r="N560" i="2"/>
  <c r="O560" i="2"/>
  <c r="A561" i="2"/>
  <c r="B561" i="2"/>
  <c r="C561" i="2"/>
  <c r="D561" i="2"/>
  <c r="E561" i="2"/>
  <c r="F561" i="2"/>
  <c r="G561" i="2"/>
  <c r="H561" i="2"/>
  <c r="I561" i="2"/>
  <c r="J561" i="2"/>
  <c r="K561" i="2"/>
  <c r="L561" i="2"/>
  <c r="M561" i="2"/>
  <c r="N561" i="2"/>
  <c r="O561" i="2"/>
  <c r="A562" i="2"/>
  <c r="B562" i="2"/>
  <c r="C562" i="2"/>
  <c r="D562" i="2"/>
  <c r="E562" i="2"/>
  <c r="F562" i="2"/>
  <c r="G562" i="2"/>
  <c r="H562" i="2"/>
  <c r="I562" i="2"/>
  <c r="J562" i="2"/>
  <c r="K562" i="2"/>
  <c r="L562" i="2"/>
  <c r="M562" i="2"/>
  <c r="N562" i="2"/>
  <c r="O562" i="2"/>
  <c r="A563" i="2"/>
  <c r="B563" i="2"/>
  <c r="C563" i="2"/>
  <c r="D563" i="2"/>
  <c r="E563" i="2"/>
  <c r="F563" i="2"/>
  <c r="G563" i="2"/>
  <c r="H563" i="2"/>
  <c r="I563" i="2"/>
  <c r="J563" i="2"/>
  <c r="K563" i="2"/>
  <c r="L563" i="2"/>
  <c r="M563" i="2"/>
  <c r="N563" i="2"/>
  <c r="O563" i="2"/>
  <c r="A564" i="2"/>
  <c r="B564" i="2"/>
  <c r="C564" i="2"/>
  <c r="D564" i="2"/>
  <c r="E564" i="2"/>
  <c r="F564" i="2"/>
  <c r="G564" i="2"/>
  <c r="H564" i="2"/>
  <c r="I564" i="2"/>
  <c r="J564" i="2"/>
  <c r="K564" i="2"/>
  <c r="L564" i="2"/>
  <c r="M564" i="2"/>
  <c r="N564" i="2"/>
  <c r="O564" i="2"/>
  <c r="A565" i="2"/>
  <c r="B565" i="2"/>
  <c r="C565" i="2"/>
  <c r="D565" i="2"/>
  <c r="E565" i="2"/>
  <c r="F565" i="2"/>
  <c r="G565" i="2"/>
  <c r="H565" i="2"/>
  <c r="I565" i="2"/>
  <c r="J565" i="2"/>
  <c r="K565" i="2"/>
  <c r="L565" i="2"/>
  <c r="M565" i="2"/>
  <c r="N565" i="2"/>
  <c r="O565" i="2"/>
  <c r="A566" i="2"/>
  <c r="B566" i="2"/>
  <c r="C566" i="2"/>
  <c r="D566" i="2"/>
  <c r="E566" i="2"/>
  <c r="F566" i="2"/>
  <c r="G566" i="2"/>
  <c r="H566" i="2"/>
  <c r="I566" i="2"/>
  <c r="J566" i="2"/>
  <c r="K566" i="2"/>
  <c r="L566" i="2"/>
  <c r="M566" i="2"/>
  <c r="N566" i="2"/>
  <c r="O566" i="2"/>
  <c r="A567" i="2"/>
  <c r="B567" i="2"/>
  <c r="C567" i="2"/>
  <c r="D567" i="2"/>
  <c r="E567" i="2"/>
  <c r="F567" i="2"/>
  <c r="G567" i="2"/>
  <c r="H567" i="2"/>
  <c r="I567" i="2"/>
  <c r="J567" i="2"/>
  <c r="K567" i="2"/>
  <c r="L567" i="2"/>
  <c r="M567" i="2"/>
  <c r="N567" i="2"/>
  <c r="O567" i="2"/>
  <c r="A568" i="2"/>
  <c r="B568" i="2"/>
  <c r="C568" i="2"/>
  <c r="D568" i="2"/>
  <c r="E568" i="2"/>
  <c r="F568" i="2"/>
  <c r="G568" i="2"/>
  <c r="H568" i="2"/>
  <c r="I568" i="2"/>
  <c r="J568" i="2"/>
  <c r="K568" i="2"/>
  <c r="L568" i="2"/>
  <c r="M568" i="2"/>
  <c r="N568" i="2"/>
  <c r="O568" i="2"/>
  <c r="A569" i="2"/>
  <c r="B569" i="2"/>
  <c r="C569" i="2"/>
  <c r="D569" i="2"/>
  <c r="E569" i="2"/>
  <c r="F569" i="2"/>
  <c r="G569" i="2"/>
  <c r="H569" i="2"/>
  <c r="I569" i="2"/>
  <c r="J569" i="2"/>
  <c r="K569" i="2"/>
  <c r="L569" i="2"/>
  <c r="M569" i="2"/>
  <c r="N569" i="2"/>
  <c r="O569" i="2"/>
  <c r="A570" i="2"/>
  <c r="B570" i="2"/>
  <c r="C570" i="2"/>
  <c r="D570" i="2"/>
  <c r="E570" i="2"/>
  <c r="F570" i="2"/>
  <c r="G570" i="2"/>
  <c r="H570" i="2"/>
  <c r="I570" i="2"/>
  <c r="J570" i="2"/>
  <c r="K570" i="2"/>
  <c r="L570" i="2"/>
  <c r="M570" i="2"/>
  <c r="N570" i="2"/>
  <c r="O570" i="2"/>
  <c r="A571" i="2"/>
  <c r="B571" i="2"/>
  <c r="C571" i="2"/>
  <c r="D571" i="2"/>
  <c r="E571" i="2"/>
  <c r="F571" i="2"/>
  <c r="G571" i="2"/>
  <c r="H571" i="2"/>
  <c r="I571" i="2"/>
  <c r="J571" i="2"/>
  <c r="K571" i="2"/>
  <c r="L571" i="2"/>
  <c r="M571" i="2"/>
  <c r="N571" i="2"/>
  <c r="O571" i="2"/>
  <c r="A572" i="2"/>
  <c r="B572" i="2"/>
  <c r="C572" i="2"/>
  <c r="D572" i="2"/>
  <c r="E572" i="2"/>
  <c r="F572" i="2"/>
  <c r="G572" i="2"/>
  <c r="H572" i="2"/>
  <c r="I572" i="2"/>
  <c r="J572" i="2"/>
  <c r="K572" i="2"/>
  <c r="L572" i="2"/>
  <c r="M572" i="2"/>
  <c r="N572" i="2"/>
  <c r="O572" i="2"/>
  <c r="A573" i="2"/>
  <c r="B573" i="2"/>
  <c r="C573" i="2"/>
  <c r="D573" i="2"/>
  <c r="E573" i="2"/>
  <c r="F573" i="2"/>
  <c r="G573" i="2"/>
  <c r="H573" i="2"/>
  <c r="I573" i="2"/>
  <c r="J573" i="2"/>
  <c r="K573" i="2"/>
  <c r="L573" i="2"/>
  <c r="M573" i="2"/>
  <c r="N573" i="2"/>
  <c r="O573" i="2"/>
  <c r="A574" i="2"/>
  <c r="B574" i="2"/>
  <c r="C574" i="2"/>
  <c r="D574" i="2"/>
  <c r="E574" i="2"/>
  <c r="F574" i="2"/>
  <c r="G574" i="2"/>
  <c r="H574" i="2"/>
  <c r="I574" i="2"/>
  <c r="J574" i="2"/>
  <c r="K574" i="2"/>
  <c r="L574" i="2"/>
  <c r="M574" i="2"/>
  <c r="N574" i="2"/>
  <c r="O574" i="2"/>
  <c r="A575" i="2"/>
  <c r="B575" i="2"/>
  <c r="C575" i="2"/>
  <c r="D575" i="2"/>
  <c r="E575" i="2"/>
  <c r="F575" i="2"/>
  <c r="G575" i="2"/>
  <c r="H575" i="2"/>
  <c r="I575" i="2"/>
  <c r="J575" i="2"/>
  <c r="K575" i="2"/>
  <c r="L575" i="2"/>
  <c r="M575" i="2"/>
  <c r="N575" i="2"/>
  <c r="O575" i="2"/>
  <c r="A576" i="2"/>
  <c r="B576" i="2"/>
  <c r="C576" i="2"/>
  <c r="D576" i="2"/>
  <c r="E576" i="2"/>
  <c r="F576" i="2"/>
  <c r="G576" i="2"/>
  <c r="H576" i="2"/>
  <c r="I576" i="2"/>
  <c r="J576" i="2"/>
  <c r="K576" i="2"/>
  <c r="L576" i="2"/>
  <c r="M576" i="2"/>
  <c r="N576" i="2"/>
  <c r="O576" i="2"/>
  <c r="A577" i="2"/>
  <c r="B577" i="2"/>
  <c r="C577" i="2"/>
  <c r="D577" i="2"/>
  <c r="E577" i="2"/>
  <c r="F577" i="2"/>
  <c r="G577" i="2"/>
  <c r="H577" i="2"/>
  <c r="I577" i="2"/>
  <c r="J577" i="2"/>
  <c r="K577" i="2"/>
  <c r="L577" i="2"/>
  <c r="M577" i="2"/>
  <c r="N577" i="2"/>
  <c r="O577" i="2"/>
  <c r="A578" i="2"/>
  <c r="B578" i="2"/>
  <c r="C578" i="2"/>
  <c r="D578" i="2"/>
  <c r="E578" i="2"/>
  <c r="F578" i="2"/>
  <c r="G578" i="2"/>
  <c r="H578" i="2"/>
  <c r="I578" i="2"/>
  <c r="J578" i="2"/>
  <c r="K578" i="2"/>
  <c r="L578" i="2"/>
  <c r="M578" i="2"/>
  <c r="N578" i="2"/>
  <c r="O578" i="2"/>
  <c r="A579" i="2"/>
  <c r="B579" i="2"/>
  <c r="C579" i="2"/>
  <c r="D579" i="2"/>
  <c r="E579" i="2"/>
  <c r="F579" i="2"/>
  <c r="G579" i="2"/>
  <c r="H579" i="2"/>
  <c r="I579" i="2"/>
  <c r="J579" i="2"/>
  <c r="K579" i="2"/>
  <c r="L579" i="2"/>
  <c r="M579" i="2"/>
  <c r="N579" i="2"/>
  <c r="O579" i="2"/>
  <c r="A580" i="2"/>
  <c r="B580" i="2"/>
  <c r="C580" i="2"/>
  <c r="D580" i="2"/>
  <c r="E580" i="2"/>
  <c r="F580" i="2"/>
  <c r="G580" i="2"/>
  <c r="H580" i="2"/>
  <c r="I580" i="2"/>
  <c r="J580" i="2"/>
  <c r="K580" i="2"/>
  <c r="L580" i="2"/>
  <c r="M580" i="2"/>
  <c r="N580" i="2"/>
  <c r="O580" i="2"/>
  <c r="A581" i="2"/>
  <c r="B581" i="2"/>
  <c r="C581" i="2"/>
  <c r="D581" i="2"/>
  <c r="E581" i="2"/>
  <c r="F581" i="2"/>
  <c r="G581" i="2"/>
  <c r="H581" i="2"/>
  <c r="I581" i="2"/>
  <c r="J581" i="2"/>
  <c r="K581" i="2"/>
  <c r="L581" i="2"/>
  <c r="M581" i="2"/>
  <c r="N581" i="2"/>
  <c r="O581" i="2"/>
  <c r="A582" i="2"/>
  <c r="B582" i="2"/>
  <c r="C582" i="2"/>
  <c r="D582" i="2"/>
  <c r="E582" i="2"/>
  <c r="F582" i="2"/>
  <c r="G582" i="2"/>
  <c r="H582" i="2"/>
  <c r="I582" i="2"/>
  <c r="J582" i="2"/>
  <c r="K582" i="2"/>
  <c r="L582" i="2"/>
  <c r="M582" i="2"/>
  <c r="N582" i="2"/>
  <c r="O582" i="2"/>
  <c r="A583" i="2"/>
  <c r="B583" i="2"/>
  <c r="C583" i="2"/>
  <c r="D583" i="2"/>
  <c r="E583" i="2"/>
  <c r="F583" i="2"/>
  <c r="G583" i="2"/>
  <c r="H583" i="2"/>
  <c r="I583" i="2"/>
  <c r="J583" i="2"/>
  <c r="K583" i="2"/>
  <c r="L583" i="2"/>
  <c r="M583" i="2"/>
  <c r="N583" i="2"/>
  <c r="O583" i="2"/>
  <c r="A584" i="2"/>
  <c r="B584" i="2"/>
  <c r="C584" i="2"/>
  <c r="D584" i="2"/>
  <c r="E584" i="2"/>
  <c r="F584" i="2"/>
  <c r="G584" i="2"/>
  <c r="H584" i="2"/>
  <c r="I584" i="2"/>
  <c r="J584" i="2"/>
  <c r="K584" i="2"/>
  <c r="L584" i="2"/>
  <c r="M584" i="2"/>
  <c r="N584" i="2"/>
  <c r="O584" i="2"/>
  <c r="A585" i="2"/>
  <c r="B585" i="2"/>
  <c r="C585" i="2"/>
  <c r="D585" i="2"/>
  <c r="E585" i="2"/>
  <c r="F585" i="2"/>
  <c r="G585" i="2"/>
  <c r="H585" i="2"/>
  <c r="I585" i="2"/>
  <c r="J585" i="2"/>
  <c r="K585" i="2"/>
  <c r="L585" i="2"/>
  <c r="M585" i="2"/>
  <c r="N585" i="2"/>
  <c r="O585" i="2"/>
  <c r="A586" i="2"/>
  <c r="B586" i="2"/>
  <c r="C586" i="2"/>
  <c r="D586" i="2"/>
  <c r="E586" i="2"/>
  <c r="F586" i="2"/>
  <c r="G586" i="2"/>
  <c r="H586" i="2"/>
  <c r="I586" i="2"/>
  <c r="J586" i="2"/>
  <c r="K586" i="2"/>
  <c r="L586" i="2"/>
  <c r="M586" i="2"/>
  <c r="N586" i="2"/>
  <c r="O586" i="2"/>
  <c r="A587" i="2"/>
  <c r="B587" i="2"/>
  <c r="C587" i="2"/>
  <c r="D587" i="2"/>
  <c r="E587" i="2"/>
  <c r="F587" i="2"/>
  <c r="G587" i="2"/>
  <c r="H587" i="2"/>
  <c r="I587" i="2"/>
  <c r="J587" i="2"/>
  <c r="K587" i="2"/>
  <c r="L587" i="2"/>
  <c r="M587" i="2"/>
  <c r="N587" i="2"/>
  <c r="O587" i="2"/>
  <c r="A588" i="2"/>
  <c r="B588" i="2"/>
  <c r="C588" i="2"/>
  <c r="D588" i="2"/>
  <c r="E588" i="2"/>
  <c r="F588" i="2"/>
  <c r="G588" i="2"/>
  <c r="H588" i="2"/>
  <c r="I588" i="2"/>
  <c r="J588" i="2"/>
  <c r="K588" i="2"/>
  <c r="L588" i="2"/>
  <c r="M588" i="2"/>
  <c r="N588" i="2"/>
  <c r="O588" i="2"/>
  <c r="A589" i="2"/>
  <c r="B589" i="2"/>
  <c r="C589" i="2"/>
  <c r="D589" i="2"/>
  <c r="E589" i="2"/>
  <c r="F589" i="2"/>
  <c r="G589" i="2"/>
  <c r="H589" i="2"/>
  <c r="I589" i="2"/>
  <c r="J589" i="2"/>
  <c r="K589" i="2"/>
  <c r="L589" i="2"/>
  <c r="M589" i="2"/>
  <c r="N589" i="2"/>
  <c r="O589" i="2"/>
  <c r="A590" i="2"/>
  <c r="B590" i="2"/>
  <c r="C590" i="2"/>
  <c r="D590" i="2"/>
  <c r="E590" i="2"/>
  <c r="F590" i="2"/>
  <c r="G590" i="2"/>
  <c r="H590" i="2"/>
  <c r="I590" i="2"/>
  <c r="J590" i="2"/>
  <c r="K590" i="2"/>
  <c r="L590" i="2"/>
  <c r="M590" i="2"/>
  <c r="N590" i="2"/>
  <c r="O590" i="2"/>
  <c r="A591" i="2"/>
  <c r="B591" i="2"/>
  <c r="C591" i="2"/>
  <c r="D591" i="2"/>
  <c r="E591" i="2"/>
  <c r="F591" i="2"/>
  <c r="G591" i="2"/>
  <c r="H591" i="2"/>
  <c r="I591" i="2"/>
  <c r="J591" i="2"/>
  <c r="K591" i="2"/>
  <c r="L591" i="2"/>
  <c r="M591" i="2"/>
  <c r="N591" i="2"/>
  <c r="O591" i="2"/>
  <c r="A592" i="2"/>
  <c r="B592" i="2"/>
  <c r="C592" i="2"/>
  <c r="D592" i="2"/>
  <c r="E592" i="2"/>
  <c r="F592" i="2"/>
  <c r="G592" i="2"/>
  <c r="H592" i="2"/>
  <c r="I592" i="2"/>
  <c r="J592" i="2"/>
  <c r="K592" i="2"/>
  <c r="L592" i="2"/>
  <c r="M592" i="2"/>
  <c r="N592" i="2"/>
  <c r="O592" i="2"/>
  <c r="A593" i="2"/>
  <c r="B593" i="2"/>
  <c r="C593" i="2"/>
  <c r="D593" i="2"/>
  <c r="E593" i="2"/>
  <c r="F593" i="2"/>
  <c r="G593" i="2"/>
  <c r="H593" i="2"/>
  <c r="I593" i="2"/>
  <c r="J593" i="2"/>
  <c r="K593" i="2"/>
  <c r="L593" i="2"/>
  <c r="M593" i="2"/>
  <c r="N593" i="2"/>
  <c r="O593" i="2"/>
  <c r="A594" i="2"/>
  <c r="B594" i="2"/>
  <c r="C594" i="2"/>
  <c r="D594" i="2"/>
  <c r="E594" i="2"/>
  <c r="F594" i="2"/>
  <c r="G594" i="2"/>
  <c r="H594" i="2"/>
  <c r="I594" i="2"/>
  <c r="J594" i="2"/>
  <c r="K594" i="2"/>
  <c r="L594" i="2"/>
  <c r="M594" i="2"/>
  <c r="N594" i="2"/>
  <c r="O594" i="2"/>
  <c r="A595" i="2"/>
  <c r="B595" i="2"/>
  <c r="C595" i="2"/>
  <c r="D595" i="2"/>
  <c r="E595" i="2"/>
  <c r="F595" i="2"/>
  <c r="G595" i="2"/>
  <c r="H595" i="2"/>
  <c r="I595" i="2"/>
  <c r="J595" i="2"/>
  <c r="K595" i="2"/>
  <c r="L595" i="2"/>
  <c r="M595" i="2"/>
  <c r="N595" i="2"/>
  <c r="O595" i="2"/>
  <c r="A596" i="2"/>
  <c r="B596" i="2"/>
  <c r="C596" i="2"/>
  <c r="D596" i="2"/>
  <c r="E596" i="2"/>
  <c r="F596" i="2"/>
  <c r="G596" i="2"/>
  <c r="H596" i="2"/>
  <c r="I596" i="2"/>
  <c r="J596" i="2"/>
  <c r="K596" i="2"/>
  <c r="L596" i="2"/>
  <c r="M596" i="2"/>
  <c r="N596" i="2"/>
  <c r="O596" i="2"/>
  <c r="A597" i="2"/>
  <c r="B597" i="2"/>
  <c r="C597" i="2"/>
  <c r="D597" i="2"/>
  <c r="E597" i="2"/>
  <c r="F597" i="2"/>
  <c r="G597" i="2"/>
  <c r="H597" i="2"/>
  <c r="I597" i="2"/>
  <c r="J597" i="2"/>
  <c r="K597" i="2"/>
  <c r="L597" i="2"/>
  <c r="M597" i="2"/>
  <c r="N597" i="2"/>
  <c r="O597" i="2"/>
  <c r="A598" i="2"/>
  <c r="B598" i="2"/>
  <c r="C598" i="2"/>
  <c r="D598" i="2"/>
  <c r="E598" i="2"/>
  <c r="F598" i="2"/>
  <c r="G598" i="2"/>
  <c r="H598" i="2"/>
  <c r="I598" i="2"/>
  <c r="J598" i="2"/>
  <c r="K598" i="2"/>
  <c r="L598" i="2"/>
  <c r="M598" i="2"/>
  <c r="N598" i="2"/>
  <c r="O598" i="2"/>
  <c r="A599" i="2"/>
  <c r="B599" i="2"/>
  <c r="C599" i="2"/>
  <c r="D599" i="2"/>
  <c r="E599" i="2"/>
  <c r="F599" i="2"/>
  <c r="G599" i="2"/>
  <c r="H599" i="2"/>
  <c r="I599" i="2"/>
  <c r="J599" i="2"/>
  <c r="K599" i="2"/>
  <c r="L599" i="2"/>
  <c r="M599" i="2"/>
  <c r="N599" i="2"/>
  <c r="O599" i="2"/>
  <c r="A600" i="2"/>
  <c r="B600" i="2"/>
  <c r="C600" i="2"/>
  <c r="D600" i="2"/>
  <c r="E600" i="2"/>
  <c r="F600" i="2"/>
  <c r="G600" i="2"/>
  <c r="H600" i="2"/>
  <c r="I600" i="2"/>
  <c r="J600" i="2"/>
  <c r="K600" i="2"/>
  <c r="L600" i="2"/>
  <c r="M600" i="2"/>
  <c r="N600" i="2"/>
  <c r="O600" i="2"/>
  <c r="A601" i="2"/>
  <c r="B601" i="2"/>
  <c r="C601" i="2"/>
  <c r="D601" i="2"/>
  <c r="E601" i="2"/>
  <c r="F601" i="2"/>
  <c r="G601" i="2"/>
  <c r="H601" i="2"/>
  <c r="I601" i="2"/>
  <c r="J601" i="2"/>
  <c r="K601" i="2"/>
  <c r="L601" i="2"/>
  <c r="M601" i="2"/>
  <c r="N601" i="2"/>
  <c r="O601" i="2"/>
  <c r="A602" i="2"/>
  <c r="B602" i="2"/>
  <c r="C602" i="2"/>
  <c r="D602" i="2"/>
  <c r="E602" i="2"/>
  <c r="F602" i="2"/>
  <c r="G602" i="2"/>
  <c r="H602" i="2"/>
  <c r="I602" i="2"/>
  <c r="J602" i="2"/>
  <c r="K602" i="2"/>
  <c r="L602" i="2"/>
  <c r="M602" i="2"/>
  <c r="N602" i="2"/>
  <c r="O602" i="2"/>
  <c r="A603" i="2"/>
  <c r="B603" i="2"/>
  <c r="C603" i="2"/>
  <c r="D603" i="2"/>
  <c r="E603" i="2"/>
  <c r="F603" i="2"/>
  <c r="G603" i="2"/>
  <c r="H603" i="2"/>
  <c r="I603" i="2"/>
  <c r="J603" i="2"/>
  <c r="K603" i="2"/>
  <c r="L603" i="2"/>
  <c r="M603" i="2"/>
  <c r="N603" i="2"/>
  <c r="O603" i="2"/>
  <c r="A604" i="2"/>
  <c r="B604" i="2"/>
  <c r="C604" i="2"/>
  <c r="D604" i="2"/>
  <c r="E604" i="2"/>
  <c r="F604" i="2"/>
  <c r="G604" i="2"/>
  <c r="H604" i="2"/>
  <c r="I604" i="2"/>
  <c r="J604" i="2"/>
  <c r="K604" i="2"/>
  <c r="L604" i="2"/>
  <c r="M604" i="2"/>
  <c r="N604" i="2"/>
  <c r="O604" i="2"/>
  <c r="A605" i="2"/>
  <c r="B605" i="2"/>
  <c r="C605" i="2"/>
  <c r="D605" i="2"/>
  <c r="E605" i="2"/>
  <c r="F605" i="2"/>
  <c r="G605" i="2"/>
  <c r="H605" i="2"/>
  <c r="I605" i="2"/>
  <c r="J605" i="2"/>
  <c r="K605" i="2"/>
  <c r="L605" i="2"/>
  <c r="M605" i="2"/>
  <c r="N605" i="2"/>
  <c r="O605" i="2"/>
  <c r="A606" i="2"/>
  <c r="B606" i="2"/>
  <c r="C606" i="2"/>
  <c r="D606" i="2"/>
  <c r="E606" i="2"/>
  <c r="F606" i="2"/>
  <c r="G606" i="2"/>
  <c r="H606" i="2"/>
  <c r="I606" i="2"/>
  <c r="J606" i="2"/>
  <c r="K606" i="2"/>
  <c r="L606" i="2"/>
  <c r="M606" i="2"/>
  <c r="N606" i="2"/>
  <c r="O606" i="2"/>
  <c r="A607" i="2"/>
  <c r="B607" i="2"/>
  <c r="C607" i="2"/>
  <c r="D607" i="2"/>
  <c r="E607" i="2"/>
  <c r="F607" i="2"/>
  <c r="G607" i="2"/>
  <c r="H607" i="2"/>
  <c r="I607" i="2"/>
  <c r="J607" i="2"/>
  <c r="K607" i="2"/>
  <c r="L607" i="2"/>
  <c r="M607" i="2"/>
  <c r="N607" i="2"/>
  <c r="O607" i="2"/>
  <c r="A608" i="2"/>
  <c r="B608" i="2"/>
  <c r="C608" i="2"/>
  <c r="D608" i="2"/>
  <c r="E608" i="2"/>
  <c r="F608" i="2"/>
  <c r="G608" i="2"/>
  <c r="H608" i="2"/>
  <c r="I608" i="2"/>
  <c r="J608" i="2"/>
  <c r="K608" i="2"/>
  <c r="L608" i="2"/>
  <c r="M608" i="2"/>
  <c r="N608" i="2"/>
  <c r="O608" i="2"/>
  <c r="A609" i="2"/>
  <c r="B609" i="2"/>
  <c r="C609" i="2"/>
  <c r="D609" i="2"/>
  <c r="E609" i="2"/>
  <c r="F609" i="2"/>
  <c r="G609" i="2"/>
  <c r="H609" i="2"/>
  <c r="I609" i="2"/>
  <c r="J609" i="2"/>
  <c r="K609" i="2"/>
  <c r="L609" i="2"/>
  <c r="M609" i="2"/>
  <c r="N609" i="2"/>
  <c r="O609" i="2"/>
  <c r="A610" i="2"/>
  <c r="B610" i="2"/>
  <c r="C610" i="2"/>
  <c r="D610" i="2"/>
  <c r="E610" i="2"/>
  <c r="F610" i="2"/>
  <c r="G610" i="2"/>
  <c r="H610" i="2"/>
  <c r="I610" i="2"/>
  <c r="J610" i="2"/>
  <c r="K610" i="2"/>
  <c r="L610" i="2"/>
  <c r="M610" i="2"/>
  <c r="N610" i="2"/>
  <c r="O610" i="2"/>
  <c r="A611" i="2"/>
  <c r="B611" i="2"/>
  <c r="C611" i="2"/>
  <c r="D611" i="2"/>
  <c r="E611" i="2"/>
  <c r="F611" i="2"/>
  <c r="G611" i="2"/>
  <c r="H611" i="2"/>
  <c r="I611" i="2"/>
  <c r="J611" i="2"/>
  <c r="K611" i="2"/>
  <c r="L611" i="2"/>
  <c r="M611" i="2"/>
  <c r="N611" i="2"/>
  <c r="O611" i="2"/>
  <c r="A612" i="2"/>
  <c r="B612" i="2"/>
  <c r="C612" i="2"/>
  <c r="D612" i="2"/>
  <c r="E612" i="2"/>
  <c r="F612" i="2"/>
  <c r="G612" i="2"/>
  <c r="H612" i="2"/>
  <c r="I612" i="2"/>
  <c r="J612" i="2"/>
  <c r="K612" i="2"/>
  <c r="L612" i="2"/>
  <c r="M612" i="2"/>
  <c r="N612" i="2"/>
  <c r="O612" i="2"/>
  <c r="A613" i="2"/>
  <c r="B613" i="2"/>
  <c r="C613" i="2"/>
  <c r="D613" i="2"/>
  <c r="E613" i="2"/>
  <c r="F613" i="2"/>
  <c r="G613" i="2"/>
  <c r="H613" i="2"/>
  <c r="I613" i="2"/>
  <c r="J613" i="2"/>
  <c r="K613" i="2"/>
  <c r="L613" i="2"/>
  <c r="M613" i="2"/>
  <c r="N613" i="2"/>
  <c r="O613" i="2"/>
  <c r="A614" i="2"/>
  <c r="B614" i="2"/>
  <c r="C614" i="2"/>
  <c r="D614" i="2"/>
  <c r="E614" i="2"/>
  <c r="F614" i="2"/>
  <c r="G614" i="2"/>
  <c r="H614" i="2"/>
  <c r="I614" i="2"/>
  <c r="J614" i="2"/>
  <c r="K614" i="2"/>
  <c r="L614" i="2"/>
  <c r="M614" i="2"/>
  <c r="N614" i="2"/>
  <c r="O614" i="2"/>
  <c r="A615" i="2"/>
  <c r="B615" i="2"/>
  <c r="C615" i="2"/>
  <c r="D615" i="2"/>
  <c r="E615" i="2"/>
  <c r="F615" i="2"/>
  <c r="G615" i="2"/>
  <c r="H615" i="2"/>
  <c r="I615" i="2"/>
  <c r="J615" i="2"/>
  <c r="K615" i="2"/>
  <c r="L615" i="2"/>
  <c r="M615" i="2"/>
  <c r="N615" i="2"/>
  <c r="O615" i="2"/>
  <c r="A616" i="2"/>
  <c r="B616" i="2"/>
  <c r="C616" i="2"/>
  <c r="D616" i="2"/>
  <c r="E616" i="2"/>
  <c r="F616" i="2"/>
  <c r="G616" i="2"/>
  <c r="H616" i="2"/>
  <c r="I616" i="2"/>
  <c r="J616" i="2"/>
  <c r="K616" i="2"/>
  <c r="L616" i="2"/>
  <c r="M616" i="2"/>
  <c r="N616" i="2"/>
  <c r="O616" i="2"/>
  <c r="A617" i="2"/>
  <c r="B617" i="2"/>
  <c r="C617" i="2"/>
  <c r="D617" i="2"/>
  <c r="E617" i="2"/>
  <c r="F617" i="2"/>
  <c r="G617" i="2"/>
  <c r="H617" i="2"/>
  <c r="I617" i="2"/>
  <c r="J617" i="2"/>
  <c r="K617" i="2"/>
  <c r="L617" i="2"/>
  <c r="M617" i="2"/>
  <c r="N617" i="2"/>
  <c r="O617" i="2"/>
  <c r="A618" i="2"/>
  <c r="B618" i="2"/>
  <c r="C618" i="2"/>
  <c r="D618" i="2"/>
  <c r="E618" i="2"/>
  <c r="F618" i="2"/>
  <c r="G618" i="2"/>
  <c r="H618" i="2"/>
  <c r="I618" i="2"/>
  <c r="J618" i="2"/>
  <c r="K618" i="2"/>
  <c r="L618" i="2"/>
  <c r="M618" i="2"/>
  <c r="N618" i="2"/>
  <c r="O618" i="2"/>
  <c r="A619" i="2"/>
  <c r="B619" i="2"/>
  <c r="C619" i="2"/>
  <c r="D619" i="2"/>
  <c r="E619" i="2"/>
  <c r="F619" i="2"/>
  <c r="G619" i="2"/>
  <c r="H619" i="2"/>
  <c r="I619" i="2"/>
  <c r="J619" i="2"/>
  <c r="K619" i="2"/>
  <c r="L619" i="2"/>
  <c r="M619" i="2"/>
  <c r="N619" i="2"/>
  <c r="O619" i="2"/>
  <c r="A620" i="2"/>
  <c r="B620" i="2"/>
  <c r="C620" i="2"/>
  <c r="D620" i="2"/>
  <c r="E620" i="2"/>
  <c r="F620" i="2"/>
  <c r="G620" i="2"/>
  <c r="H620" i="2"/>
  <c r="I620" i="2"/>
  <c r="J620" i="2"/>
  <c r="K620" i="2"/>
  <c r="L620" i="2"/>
  <c r="M620" i="2"/>
  <c r="N620" i="2"/>
  <c r="O620" i="2"/>
  <c r="A621" i="2"/>
  <c r="B621" i="2"/>
  <c r="C621" i="2"/>
  <c r="D621" i="2"/>
  <c r="E621" i="2"/>
  <c r="F621" i="2"/>
  <c r="G621" i="2"/>
  <c r="H621" i="2"/>
  <c r="I621" i="2"/>
  <c r="J621" i="2"/>
  <c r="K621" i="2"/>
  <c r="L621" i="2"/>
  <c r="M621" i="2"/>
  <c r="N621" i="2"/>
  <c r="O621" i="2"/>
  <c r="A622" i="2"/>
  <c r="B622" i="2"/>
  <c r="C622" i="2"/>
  <c r="D622" i="2"/>
  <c r="E622" i="2"/>
  <c r="F622" i="2"/>
  <c r="G622" i="2"/>
  <c r="H622" i="2"/>
  <c r="I622" i="2"/>
  <c r="J622" i="2"/>
  <c r="K622" i="2"/>
  <c r="L622" i="2"/>
  <c r="M622" i="2"/>
  <c r="N622" i="2"/>
  <c r="O622" i="2"/>
  <c r="A623" i="2"/>
  <c r="B623" i="2"/>
  <c r="C623" i="2"/>
  <c r="D623" i="2"/>
  <c r="E623" i="2"/>
  <c r="F623" i="2"/>
  <c r="G623" i="2"/>
  <c r="H623" i="2"/>
  <c r="I623" i="2"/>
  <c r="J623" i="2"/>
  <c r="K623" i="2"/>
  <c r="L623" i="2"/>
  <c r="M623" i="2"/>
  <c r="N623" i="2"/>
  <c r="O623" i="2"/>
  <c r="A624" i="2"/>
  <c r="B624" i="2"/>
  <c r="C624" i="2"/>
  <c r="D624" i="2"/>
  <c r="E624" i="2"/>
  <c r="F624" i="2"/>
  <c r="G624" i="2"/>
  <c r="H624" i="2"/>
  <c r="I624" i="2"/>
  <c r="J624" i="2"/>
  <c r="K624" i="2"/>
  <c r="L624" i="2"/>
  <c r="M624" i="2"/>
  <c r="N624" i="2"/>
  <c r="O624" i="2"/>
  <c r="A625" i="2"/>
  <c r="B625" i="2"/>
  <c r="C625" i="2"/>
  <c r="D625" i="2"/>
  <c r="E625" i="2"/>
  <c r="F625" i="2"/>
  <c r="G625" i="2"/>
  <c r="H625" i="2"/>
  <c r="I625" i="2"/>
  <c r="J625" i="2"/>
  <c r="K625" i="2"/>
  <c r="L625" i="2"/>
  <c r="M625" i="2"/>
  <c r="N625" i="2"/>
  <c r="O625" i="2"/>
  <c r="A626" i="2"/>
  <c r="B626" i="2"/>
  <c r="C626" i="2"/>
  <c r="D626" i="2"/>
  <c r="E626" i="2"/>
  <c r="F626" i="2"/>
  <c r="G626" i="2"/>
  <c r="H626" i="2"/>
  <c r="I626" i="2"/>
  <c r="J626" i="2"/>
  <c r="K626" i="2"/>
  <c r="L626" i="2"/>
  <c r="M626" i="2"/>
  <c r="N626" i="2"/>
  <c r="O626" i="2"/>
  <c r="A627" i="2"/>
  <c r="B627" i="2"/>
  <c r="C627" i="2"/>
  <c r="D627" i="2"/>
  <c r="E627" i="2"/>
  <c r="F627" i="2"/>
  <c r="G627" i="2"/>
  <c r="H627" i="2"/>
  <c r="I627" i="2"/>
  <c r="J627" i="2"/>
  <c r="K627" i="2"/>
  <c r="L627" i="2"/>
  <c r="M627" i="2"/>
  <c r="N627" i="2"/>
  <c r="O627" i="2"/>
  <c r="A628" i="2"/>
  <c r="B628" i="2"/>
  <c r="C628" i="2"/>
  <c r="D628" i="2"/>
  <c r="E628" i="2"/>
  <c r="F628" i="2"/>
  <c r="G628" i="2"/>
  <c r="H628" i="2"/>
  <c r="I628" i="2"/>
  <c r="J628" i="2"/>
  <c r="K628" i="2"/>
  <c r="L628" i="2"/>
  <c r="M628" i="2"/>
  <c r="N628" i="2"/>
  <c r="O628" i="2"/>
  <c r="A629" i="2"/>
  <c r="B629" i="2"/>
  <c r="C629" i="2"/>
  <c r="D629" i="2"/>
  <c r="E629" i="2"/>
  <c r="F629" i="2"/>
  <c r="G629" i="2"/>
  <c r="H629" i="2"/>
  <c r="I629" i="2"/>
  <c r="J629" i="2"/>
  <c r="K629" i="2"/>
  <c r="L629" i="2"/>
  <c r="M629" i="2"/>
  <c r="N629" i="2"/>
  <c r="O629" i="2"/>
  <c r="A630" i="2"/>
  <c r="B630" i="2"/>
  <c r="C630" i="2"/>
  <c r="D630" i="2"/>
  <c r="E630" i="2"/>
  <c r="F630" i="2"/>
  <c r="G630" i="2"/>
  <c r="H630" i="2"/>
  <c r="I630" i="2"/>
  <c r="J630" i="2"/>
  <c r="K630" i="2"/>
  <c r="L630" i="2"/>
  <c r="M630" i="2"/>
  <c r="N630" i="2"/>
  <c r="O630" i="2"/>
  <c r="A631" i="2"/>
  <c r="B631" i="2"/>
  <c r="C631" i="2"/>
  <c r="D631" i="2"/>
  <c r="E631" i="2"/>
  <c r="F631" i="2"/>
  <c r="G631" i="2"/>
  <c r="H631" i="2"/>
  <c r="I631" i="2"/>
  <c r="J631" i="2"/>
  <c r="K631" i="2"/>
  <c r="L631" i="2"/>
  <c r="M631" i="2"/>
  <c r="N631" i="2"/>
  <c r="O631" i="2"/>
  <c r="A632" i="2"/>
  <c r="B632" i="2"/>
  <c r="C632" i="2"/>
  <c r="D632" i="2"/>
  <c r="E632" i="2"/>
  <c r="F632" i="2"/>
  <c r="G632" i="2"/>
  <c r="H632" i="2"/>
  <c r="I632" i="2"/>
  <c r="J632" i="2"/>
  <c r="K632" i="2"/>
  <c r="L632" i="2"/>
  <c r="M632" i="2"/>
  <c r="N632" i="2"/>
  <c r="O632" i="2"/>
  <c r="A633" i="2"/>
  <c r="B633" i="2"/>
  <c r="C633" i="2"/>
  <c r="D633" i="2"/>
  <c r="E633" i="2"/>
  <c r="F633" i="2"/>
  <c r="G633" i="2"/>
  <c r="H633" i="2"/>
  <c r="I633" i="2"/>
  <c r="J633" i="2"/>
  <c r="K633" i="2"/>
  <c r="L633" i="2"/>
  <c r="M633" i="2"/>
  <c r="N633" i="2"/>
  <c r="O633" i="2"/>
  <c r="A634" i="2"/>
  <c r="B634" i="2"/>
  <c r="C634" i="2"/>
  <c r="D634" i="2"/>
  <c r="E634" i="2"/>
  <c r="F634" i="2"/>
  <c r="G634" i="2"/>
  <c r="H634" i="2"/>
  <c r="I634" i="2"/>
  <c r="J634" i="2"/>
  <c r="K634" i="2"/>
  <c r="L634" i="2"/>
  <c r="M634" i="2"/>
  <c r="N634" i="2"/>
  <c r="O634" i="2"/>
  <c r="A635" i="2"/>
  <c r="B635" i="2"/>
  <c r="C635" i="2"/>
  <c r="D635" i="2"/>
  <c r="E635" i="2"/>
  <c r="F635" i="2"/>
  <c r="G635" i="2"/>
  <c r="H635" i="2"/>
  <c r="I635" i="2"/>
  <c r="J635" i="2"/>
  <c r="K635" i="2"/>
  <c r="L635" i="2"/>
  <c r="M635" i="2"/>
  <c r="N635" i="2"/>
  <c r="O635" i="2"/>
  <c r="A636" i="2"/>
  <c r="B636" i="2"/>
  <c r="C636" i="2"/>
  <c r="D636" i="2"/>
  <c r="E636" i="2"/>
  <c r="F636" i="2"/>
  <c r="G636" i="2"/>
  <c r="H636" i="2"/>
  <c r="I636" i="2"/>
  <c r="J636" i="2"/>
  <c r="K636" i="2"/>
  <c r="L636" i="2"/>
  <c r="M636" i="2"/>
  <c r="N636" i="2"/>
  <c r="O636" i="2"/>
  <c r="A637" i="2"/>
  <c r="B637" i="2"/>
  <c r="C637" i="2"/>
  <c r="D637" i="2"/>
  <c r="E637" i="2"/>
  <c r="F637" i="2"/>
  <c r="G637" i="2"/>
  <c r="H637" i="2"/>
  <c r="I637" i="2"/>
  <c r="J637" i="2"/>
  <c r="K637" i="2"/>
  <c r="L637" i="2"/>
  <c r="M637" i="2"/>
  <c r="N637" i="2"/>
  <c r="O637" i="2"/>
  <c r="A638" i="2"/>
  <c r="B638" i="2"/>
  <c r="C638" i="2"/>
  <c r="D638" i="2"/>
  <c r="E638" i="2"/>
  <c r="F638" i="2"/>
  <c r="G638" i="2"/>
  <c r="H638" i="2"/>
  <c r="I638" i="2"/>
  <c r="J638" i="2"/>
  <c r="K638" i="2"/>
  <c r="L638" i="2"/>
  <c r="M638" i="2"/>
  <c r="N638" i="2"/>
  <c r="O638" i="2"/>
  <c r="A639" i="2"/>
  <c r="B639" i="2"/>
  <c r="C639" i="2"/>
  <c r="D639" i="2"/>
  <c r="E639" i="2"/>
  <c r="F639" i="2"/>
  <c r="G639" i="2"/>
  <c r="H639" i="2"/>
  <c r="I639" i="2"/>
  <c r="J639" i="2"/>
  <c r="K639" i="2"/>
  <c r="L639" i="2"/>
  <c r="M639" i="2"/>
  <c r="N639" i="2"/>
  <c r="O639" i="2"/>
  <c r="A640" i="2"/>
  <c r="B640" i="2"/>
  <c r="C640" i="2"/>
  <c r="D640" i="2"/>
  <c r="E640" i="2"/>
  <c r="F640" i="2"/>
  <c r="G640" i="2"/>
  <c r="H640" i="2"/>
  <c r="I640" i="2"/>
  <c r="J640" i="2"/>
  <c r="K640" i="2"/>
  <c r="L640" i="2"/>
  <c r="M640" i="2"/>
  <c r="N640" i="2"/>
  <c r="O640" i="2"/>
  <c r="A641" i="2"/>
  <c r="B641" i="2"/>
  <c r="C641" i="2"/>
  <c r="D641" i="2"/>
  <c r="E641" i="2"/>
  <c r="F641" i="2"/>
  <c r="G641" i="2"/>
  <c r="H641" i="2"/>
  <c r="I641" i="2"/>
  <c r="J641" i="2"/>
  <c r="K641" i="2"/>
  <c r="L641" i="2"/>
  <c r="M641" i="2"/>
  <c r="N641" i="2"/>
  <c r="O641" i="2"/>
  <c r="A642" i="2"/>
  <c r="B642" i="2"/>
  <c r="C642" i="2"/>
  <c r="D642" i="2"/>
  <c r="E642" i="2"/>
  <c r="F642" i="2"/>
  <c r="G642" i="2"/>
  <c r="H642" i="2"/>
  <c r="I642" i="2"/>
  <c r="J642" i="2"/>
  <c r="K642" i="2"/>
  <c r="L642" i="2"/>
  <c r="M642" i="2"/>
  <c r="N642" i="2"/>
  <c r="O642" i="2"/>
  <c r="A643" i="2"/>
  <c r="B643" i="2"/>
  <c r="C643" i="2"/>
  <c r="D643" i="2"/>
  <c r="E643" i="2"/>
  <c r="F643" i="2"/>
  <c r="G643" i="2"/>
  <c r="H643" i="2"/>
  <c r="I643" i="2"/>
  <c r="J643" i="2"/>
  <c r="K643" i="2"/>
  <c r="L643" i="2"/>
  <c r="M643" i="2"/>
  <c r="N643" i="2"/>
  <c r="O643" i="2"/>
  <c r="A644" i="2"/>
  <c r="B644" i="2"/>
  <c r="C644" i="2"/>
  <c r="D644" i="2"/>
  <c r="E644" i="2"/>
  <c r="F644" i="2"/>
  <c r="G644" i="2"/>
  <c r="H644" i="2"/>
  <c r="I644" i="2"/>
  <c r="J644" i="2"/>
  <c r="K644" i="2"/>
  <c r="L644" i="2"/>
  <c r="M644" i="2"/>
  <c r="N644" i="2"/>
  <c r="O644" i="2"/>
  <c r="A645" i="2"/>
  <c r="B645" i="2"/>
  <c r="C645" i="2"/>
  <c r="D645" i="2"/>
  <c r="E645" i="2"/>
  <c r="F645" i="2"/>
  <c r="G645" i="2"/>
  <c r="H645" i="2"/>
  <c r="I645" i="2"/>
  <c r="J645" i="2"/>
  <c r="K645" i="2"/>
  <c r="L645" i="2"/>
  <c r="M645" i="2"/>
  <c r="N645" i="2"/>
  <c r="O645" i="2"/>
  <c r="A646" i="2"/>
  <c r="B646" i="2"/>
  <c r="C646" i="2"/>
  <c r="D646" i="2"/>
  <c r="E646" i="2"/>
  <c r="F646" i="2"/>
  <c r="G646" i="2"/>
  <c r="H646" i="2"/>
  <c r="I646" i="2"/>
  <c r="J646" i="2"/>
  <c r="K646" i="2"/>
  <c r="L646" i="2"/>
  <c r="M646" i="2"/>
  <c r="N646" i="2"/>
  <c r="O646" i="2"/>
  <c r="A647" i="2"/>
  <c r="B647" i="2"/>
  <c r="C647" i="2"/>
  <c r="D647" i="2"/>
  <c r="E647" i="2"/>
  <c r="F647" i="2"/>
  <c r="G647" i="2"/>
  <c r="H647" i="2"/>
  <c r="I647" i="2"/>
  <c r="J647" i="2"/>
  <c r="K647" i="2"/>
  <c r="L647" i="2"/>
  <c r="M647" i="2"/>
  <c r="N647" i="2"/>
  <c r="O647" i="2"/>
  <c r="A648" i="2"/>
  <c r="B648" i="2"/>
  <c r="C648" i="2"/>
  <c r="D648" i="2"/>
  <c r="E648" i="2"/>
  <c r="F648" i="2"/>
  <c r="G648" i="2"/>
  <c r="H648" i="2"/>
  <c r="I648" i="2"/>
  <c r="J648" i="2"/>
  <c r="K648" i="2"/>
  <c r="L648" i="2"/>
  <c r="M648" i="2"/>
  <c r="N648" i="2"/>
  <c r="O648" i="2"/>
  <c r="A649" i="2"/>
  <c r="B649" i="2"/>
  <c r="C649" i="2"/>
  <c r="D649" i="2"/>
  <c r="E649" i="2"/>
  <c r="F649" i="2"/>
  <c r="G649" i="2"/>
  <c r="H649" i="2"/>
  <c r="I649" i="2"/>
  <c r="J649" i="2"/>
  <c r="K649" i="2"/>
  <c r="L649" i="2"/>
  <c r="M649" i="2"/>
  <c r="N649" i="2"/>
  <c r="O649" i="2"/>
  <c r="A650" i="2"/>
  <c r="B650" i="2"/>
  <c r="C650" i="2"/>
  <c r="D650" i="2"/>
  <c r="E650" i="2"/>
  <c r="F650" i="2"/>
  <c r="G650" i="2"/>
  <c r="H650" i="2"/>
  <c r="I650" i="2"/>
  <c r="J650" i="2"/>
  <c r="K650" i="2"/>
  <c r="L650" i="2"/>
  <c r="M650" i="2"/>
  <c r="N650" i="2"/>
  <c r="O650" i="2"/>
  <c r="A651" i="2"/>
  <c r="B651" i="2"/>
  <c r="C651" i="2"/>
  <c r="D651" i="2"/>
  <c r="E651" i="2"/>
  <c r="F651" i="2"/>
  <c r="G651" i="2"/>
  <c r="H651" i="2"/>
  <c r="I651" i="2"/>
  <c r="J651" i="2"/>
  <c r="K651" i="2"/>
  <c r="L651" i="2"/>
  <c r="M651" i="2"/>
  <c r="N651" i="2"/>
  <c r="O651" i="2"/>
  <c r="A652" i="2"/>
  <c r="B652" i="2"/>
  <c r="C652" i="2"/>
  <c r="D652" i="2"/>
  <c r="E652" i="2"/>
  <c r="F652" i="2"/>
  <c r="G652" i="2"/>
  <c r="H652" i="2"/>
  <c r="I652" i="2"/>
  <c r="J652" i="2"/>
  <c r="K652" i="2"/>
  <c r="L652" i="2"/>
  <c r="M652" i="2"/>
  <c r="N652" i="2"/>
  <c r="O652" i="2"/>
  <c r="A653" i="2"/>
  <c r="B653" i="2"/>
  <c r="C653" i="2"/>
  <c r="D653" i="2"/>
  <c r="E653" i="2"/>
  <c r="F653" i="2"/>
  <c r="G653" i="2"/>
  <c r="H653" i="2"/>
  <c r="I653" i="2"/>
  <c r="J653" i="2"/>
  <c r="K653" i="2"/>
  <c r="L653" i="2"/>
  <c r="M653" i="2"/>
  <c r="N653" i="2"/>
  <c r="O653" i="2"/>
  <c r="A654" i="2"/>
  <c r="B654" i="2"/>
  <c r="C654" i="2"/>
  <c r="D654" i="2"/>
  <c r="E654" i="2"/>
  <c r="F654" i="2"/>
  <c r="G654" i="2"/>
  <c r="H654" i="2"/>
  <c r="I654" i="2"/>
  <c r="J654" i="2"/>
  <c r="K654" i="2"/>
  <c r="L654" i="2"/>
  <c r="M654" i="2"/>
  <c r="N654" i="2"/>
  <c r="O654" i="2"/>
  <c r="A655" i="2"/>
  <c r="B655" i="2"/>
  <c r="C655" i="2"/>
  <c r="D655" i="2"/>
  <c r="E655" i="2"/>
  <c r="F655" i="2"/>
  <c r="G655" i="2"/>
  <c r="H655" i="2"/>
  <c r="I655" i="2"/>
  <c r="J655" i="2"/>
  <c r="K655" i="2"/>
  <c r="L655" i="2"/>
  <c r="M655" i="2"/>
  <c r="N655" i="2"/>
  <c r="O655" i="2"/>
  <c r="A656" i="2"/>
  <c r="B656" i="2"/>
  <c r="C656" i="2"/>
  <c r="D656" i="2"/>
  <c r="E656" i="2"/>
  <c r="F656" i="2"/>
  <c r="G656" i="2"/>
  <c r="H656" i="2"/>
  <c r="I656" i="2"/>
  <c r="J656" i="2"/>
  <c r="K656" i="2"/>
  <c r="L656" i="2"/>
  <c r="M656" i="2"/>
  <c r="N656" i="2"/>
  <c r="O656" i="2"/>
  <c r="A657" i="2"/>
  <c r="B657" i="2"/>
  <c r="C657" i="2"/>
  <c r="D657" i="2"/>
  <c r="E657" i="2"/>
  <c r="F657" i="2"/>
  <c r="G657" i="2"/>
  <c r="H657" i="2"/>
  <c r="I657" i="2"/>
  <c r="J657" i="2"/>
  <c r="K657" i="2"/>
  <c r="L657" i="2"/>
  <c r="M657" i="2"/>
  <c r="N657" i="2"/>
  <c r="O657" i="2"/>
  <c r="A658" i="2"/>
  <c r="B658" i="2"/>
  <c r="C658" i="2"/>
  <c r="D658" i="2"/>
  <c r="E658" i="2"/>
  <c r="F658" i="2"/>
  <c r="G658" i="2"/>
  <c r="H658" i="2"/>
  <c r="I658" i="2"/>
  <c r="J658" i="2"/>
  <c r="K658" i="2"/>
  <c r="L658" i="2"/>
  <c r="M658" i="2"/>
  <c r="N658" i="2"/>
  <c r="O658" i="2"/>
  <c r="A659" i="2"/>
  <c r="B659" i="2"/>
  <c r="C659" i="2"/>
  <c r="D659" i="2"/>
  <c r="E659" i="2"/>
  <c r="F659" i="2"/>
  <c r="G659" i="2"/>
  <c r="H659" i="2"/>
  <c r="I659" i="2"/>
  <c r="J659" i="2"/>
  <c r="K659" i="2"/>
  <c r="L659" i="2"/>
  <c r="M659" i="2"/>
  <c r="N659" i="2"/>
  <c r="O659" i="2"/>
  <c r="A660" i="2"/>
  <c r="B660" i="2"/>
  <c r="C660" i="2"/>
  <c r="D660" i="2"/>
  <c r="E660" i="2"/>
  <c r="F660" i="2"/>
  <c r="G660" i="2"/>
  <c r="H660" i="2"/>
  <c r="I660" i="2"/>
  <c r="J660" i="2"/>
  <c r="K660" i="2"/>
  <c r="L660" i="2"/>
  <c r="M660" i="2"/>
  <c r="N660" i="2"/>
  <c r="O660" i="2"/>
  <c r="A661" i="2"/>
  <c r="B661" i="2"/>
  <c r="C661" i="2"/>
  <c r="D661" i="2"/>
  <c r="E661" i="2"/>
  <c r="F661" i="2"/>
  <c r="G661" i="2"/>
  <c r="H661" i="2"/>
  <c r="I661" i="2"/>
  <c r="J661" i="2"/>
  <c r="K661" i="2"/>
  <c r="L661" i="2"/>
  <c r="M661" i="2"/>
  <c r="N661" i="2"/>
  <c r="O661" i="2"/>
  <c r="A662" i="2"/>
  <c r="B662" i="2"/>
  <c r="C662" i="2"/>
  <c r="D662" i="2"/>
  <c r="E662" i="2"/>
  <c r="F662" i="2"/>
  <c r="G662" i="2"/>
  <c r="H662" i="2"/>
  <c r="I662" i="2"/>
  <c r="J662" i="2"/>
  <c r="K662" i="2"/>
  <c r="L662" i="2"/>
  <c r="M662" i="2"/>
  <c r="N662" i="2"/>
  <c r="O662" i="2"/>
  <c r="A663" i="2"/>
  <c r="B663" i="2"/>
  <c r="C663" i="2"/>
  <c r="D663" i="2"/>
  <c r="E663" i="2"/>
  <c r="F663" i="2"/>
  <c r="G663" i="2"/>
  <c r="H663" i="2"/>
  <c r="I663" i="2"/>
  <c r="J663" i="2"/>
  <c r="K663" i="2"/>
  <c r="L663" i="2"/>
  <c r="M663" i="2"/>
  <c r="N663" i="2"/>
  <c r="O663" i="2"/>
  <c r="A664" i="2"/>
  <c r="B664" i="2"/>
  <c r="C664" i="2"/>
  <c r="D664" i="2"/>
  <c r="E664" i="2"/>
  <c r="F664" i="2"/>
  <c r="G664" i="2"/>
  <c r="H664" i="2"/>
  <c r="I664" i="2"/>
  <c r="J664" i="2"/>
  <c r="K664" i="2"/>
  <c r="L664" i="2"/>
  <c r="M664" i="2"/>
  <c r="N664" i="2"/>
  <c r="O664" i="2"/>
  <c r="A665" i="2"/>
  <c r="B665" i="2"/>
  <c r="C665" i="2"/>
  <c r="D665" i="2"/>
  <c r="E665" i="2"/>
  <c r="F665" i="2"/>
  <c r="G665" i="2"/>
  <c r="H665" i="2"/>
  <c r="I665" i="2"/>
  <c r="J665" i="2"/>
  <c r="K665" i="2"/>
  <c r="L665" i="2"/>
  <c r="M665" i="2"/>
  <c r="N665" i="2"/>
  <c r="O665" i="2"/>
  <c r="A666" i="2"/>
  <c r="B666" i="2"/>
  <c r="C666" i="2"/>
  <c r="D666" i="2"/>
  <c r="E666" i="2"/>
  <c r="F666" i="2"/>
  <c r="G666" i="2"/>
  <c r="H666" i="2"/>
  <c r="I666" i="2"/>
  <c r="J666" i="2"/>
  <c r="K666" i="2"/>
  <c r="L666" i="2"/>
  <c r="M666" i="2"/>
  <c r="N666" i="2"/>
  <c r="O666" i="2"/>
  <c r="A667" i="2"/>
  <c r="B667" i="2"/>
  <c r="C667" i="2"/>
  <c r="D667" i="2"/>
  <c r="E667" i="2"/>
  <c r="F667" i="2"/>
  <c r="G667" i="2"/>
  <c r="H667" i="2"/>
  <c r="I667" i="2"/>
  <c r="J667" i="2"/>
  <c r="K667" i="2"/>
  <c r="L667" i="2"/>
  <c r="M667" i="2"/>
  <c r="N667" i="2"/>
  <c r="O667" i="2"/>
  <c r="A668" i="2"/>
  <c r="B668" i="2"/>
  <c r="C668" i="2"/>
  <c r="D668" i="2"/>
  <c r="E668" i="2"/>
  <c r="F668" i="2"/>
  <c r="G668" i="2"/>
  <c r="H668" i="2"/>
  <c r="I668" i="2"/>
  <c r="J668" i="2"/>
  <c r="K668" i="2"/>
  <c r="L668" i="2"/>
  <c r="M668" i="2"/>
  <c r="N668" i="2"/>
  <c r="O668" i="2"/>
  <c r="A669" i="2"/>
  <c r="B669" i="2"/>
  <c r="C669" i="2"/>
  <c r="D669" i="2"/>
  <c r="E669" i="2"/>
  <c r="F669" i="2"/>
  <c r="G669" i="2"/>
  <c r="H669" i="2"/>
  <c r="I669" i="2"/>
  <c r="J669" i="2"/>
  <c r="K669" i="2"/>
  <c r="L669" i="2"/>
  <c r="M669" i="2"/>
  <c r="N669" i="2"/>
  <c r="O669" i="2"/>
  <c r="A670" i="2"/>
  <c r="B670" i="2"/>
  <c r="C670" i="2"/>
  <c r="D670" i="2"/>
  <c r="E670" i="2"/>
  <c r="F670" i="2"/>
  <c r="G670" i="2"/>
  <c r="H670" i="2"/>
  <c r="I670" i="2"/>
  <c r="J670" i="2"/>
  <c r="K670" i="2"/>
  <c r="L670" i="2"/>
  <c r="M670" i="2"/>
  <c r="N670" i="2"/>
  <c r="O670" i="2"/>
  <c r="A671" i="2"/>
  <c r="B671" i="2"/>
  <c r="C671" i="2"/>
  <c r="D671" i="2"/>
  <c r="E671" i="2"/>
  <c r="F671" i="2"/>
  <c r="G671" i="2"/>
  <c r="H671" i="2"/>
  <c r="I671" i="2"/>
  <c r="J671" i="2"/>
  <c r="K671" i="2"/>
  <c r="L671" i="2"/>
  <c r="M671" i="2"/>
  <c r="N671" i="2"/>
  <c r="O671" i="2"/>
  <c r="A672" i="2"/>
  <c r="B672" i="2"/>
  <c r="C672" i="2"/>
  <c r="D672" i="2"/>
  <c r="E672" i="2"/>
  <c r="F672" i="2"/>
  <c r="G672" i="2"/>
  <c r="H672" i="2"/>
  <c r="I672" i="2"/>
  <c r="J672" i="2"/>
  <c r="K672" i="2"/>
  <c r="L672" i="2"/>
  <c r="M672" i="2"/>
  <c r="N672" i="2"/>
  <c r="O672" i="2"/>
  <c r="A673" i="2"/>
  <c r="B673" i="2"/>
  <c r="C673" i="2"/>
  <c r="D673" i="2"/>
  <c r="E673" i="2"/>
  <c r="F673" i="2"/>
  <c r="G673" i="2"/>
  <c r="H673" i="2"/>
  <c r="I673" i="2"/>
  <c r="J673" i="2"/>
  <c r="K673" i="2"/>
  <c r="L673" i="2"/>
  <c r="M673" i="2"/>
  <c r="N673" i="2"/>
  <c r="O673" i="2"/>
  <c r="A674" i="2"/>
  <c r="B674" i="2"/>
  <c r="C674" i="2"/>
  <c r="D674" i="2"/>
  <c r="E674" i="2"/>
  <c r="F674" i="2"/>
  <c r="G674" i="2"/>
  <c r="H674" i="2"/>
  <c r="I674" i="2"/>
  <c r="J674" i="2"/>
  <c r="K674" i="2"/>
  <c r="L674" i="2"/>
  <c r="M674" i="2"/>
  <c r="N674" i="2"/>
  <c r="O674" i="2"/>
  <c r="A675" i="2"/>
  <c r="B675" i="2"/>
  <c r="C675" i="2"/>
  <c r="D675" i="2"/>
  <c r="E675" i="2"/>
  <c r="F675" i="2"/>
  <c r="G675" i="2"/>
  <c r="H675" i="2"/>
  <c r="I675" i="2"/>
  <c r="J675" i="2"/>
  <c r="K675" i="2"/>
  <c r="L675" i="2"/>
  <c r="M675" i="2"/>
  <c r="N675" i="2"/>
  <c r="O675" i="2"/>
  <c r="A676" i="2"/>
  <c r="B676" i="2"/>
  <c r="C676" i="2"/>
  <c r="D676" i="2"/>
  <c r="E676" i="2"/>
  <c r="F676" i="2"/>
  <c r="G676" i="2"/>
  <c r="H676" i="2"/>
  <c r="I676" i="2"/>
  <c r="J676" i="2"/>
  <c r="K676" i="2"/>
  <c r="L676" i="2"/>
  <c r="M676" i="2"/>
  <c r="N676" i="2"/>
  <c r="O676" i="2"/>
  <c r="A677" i="2"/>
  <c r="B677" i="2"/>
  <c r="C677" i="2"/>
  <c r="D677" i="2"/>
  <c r="E677" i="2"/>
  <c r="F677" i="2"/>
  <c r="G677" i="2"/>
  <c r="H677" i="2"/>
  <c r="I677" i="2"/>
  <c r="J677" i="2"/>
  <c r="K677" i="2"/>
  <c r="L677" i="2"/>
  <c r="M677" i="2"/>
  <c r="N677" i="2"/>
  <c r="O677" i="2"/>
  <c r="A678" i="2"/>
  <c r="B678" i="2"/>
  <c r="C678" i="2"/>
  <c r="D678" i="2"/>
  <c r="E678" i="2"/>
  <c r="F678" i="2"/>
  <c r="G678" i="2"/>
  <c r="H678" i="2"/>
  <c r="I678" i="2"/>
  <c r="J678" i="2"/>
  <c r="K678" i="2"/>
  <c r="L678" i="2"/>
  <c r="M678" i="2"/>
  <c r="N678" i="2"/>
  <c r="O678" i="2"/>
  <c r="A679" i="2"/>
  <c r="B679" i="2"/>
  <c r="C679" i="2"/>
  <c r="D679" i="2"/>
  <c r="E679" i="2"/>
  <c r="F679" i="2"/>
  <c r="G679" i="2"/>
  <c r="H679" i="2"/>
  <c r="I679" i="2"/>
  <c r="J679" i="2"/>
  <c r="K679" i="2"/>
  <c r="L679" i="2"/>
  <c r="M679" i="2"/>
  <c r="N679" i="2"/>
  <c r="O679" i="2"/>
  <c r="A680" i="2"/>
  <c r="B680" i="2"/>
  <c r="C680" i="2"/>
  <c r="D680" i="2"/>
  <c r="E680" i="2"/>
  <c r="F680" i="2"/>
  <c r="G680" i="2"/>
  <c r="H680" i="2"/>
  <c r="I680" i="2"/>
  <c r="J680" i="2"/>
  <c r="K680" i="2"/>
  <c r="L680" i="2"/>
  <c r="M680" i="2"/>
  <c r="N680" i="2"/>
  <c r="O680" i="2"/>
  <c r="A681" i="2"/>
  <c r="B681" i="2"/>
  <c r="C681" i="2"/>
  <c r="D681" i="2"/>
  <c r="E681" i="2"/>
  <c r="F681" i="2"/>
  <c r="G681" i="2"/>
  <c r="H681" i="2"/>
  <c r="I681" i="2"/>
  <c r="J681" i="2"/>
  <c r="K681" i="2"/>
  <c r="L681" i="2"/>
  <c r="M681" i="2"/>
  <c r="N681" i="2"/>
  <c r="O681" i="2"/>
  <c r="A682" i="2"/>
  <c r="B682" i="2"/>
  <c r="C682" i="2"/>
  <c r="D682" i="2"/>
  <c r="E682" i="2"/>
  <c r="F682" i="2"/>
  <c r="G682" i="2"/>
  <c r="H682" i="2"/>
  <c r="I682" i="2"/>
  <c r="J682" i="2"/>
  <c r="K682" i="2"/>
  <c r="L682" i="2"/>
  <c r="M682" i="2"/>
  <c r="N682" i="2"/>
  <c r="O682" i="2"/>
  <c r="A683" i="2"/>
  <c r="B683" i="2"/>
  <c r="C683" i="2"/>
  <c r="D683" i="2"/>
  <c r="E683" i="2"/>
  <c r="F683" i="2"/>
  <c r="G683" i="2"/>
  <c r="H683" i="2"/>
  <c r="I683" i="2"/>
  <c r="J683" i="2"/>
  <c r="K683" i="2"/>
  <c r="L683" i="2"/>
  <c r="M683" i="2"/>
  <c r="N683" i="2"/>
  <c r="O683" i="2"/>
  <c r="A684" i="2"/>
  <c r="B684" i="2"/>
  <c r="C684" i="2"/>
  <c r="D684" i="2"/>
  <c r="E684" i="2"/>
  <c r="F684" i="2"/>
  <c r="G684" i="2"/>
  <c r="H684" i="2"/>
  <c r="I684" i="2"/>
  <c r="J684" i="2"/>
  <c r="K684" i="2"/>
  <c r="L684" i="2"/>
  <c r="M684" i="2"/>
  <c r="N684" i="2"/>
  <c r="O684" i="2"/>
  <c r="A685" i="2"/>
  <c r="B685" i="2"/>
  <c r="C685" i="2"/>
  <c r="D685" i="2"/>
  <c r="E685" i="2"/>
  <c r="F685" i="2"/>
  <c r="G685" i="2"/>
  <c r="H685" i="2"/>
  <c r="I685" i="2"/>
  <c r="J685" i="2"/>
  <c r="K685" i="2"/>
  <c r="L685" i="2"/>
  <c r="M685" i="2"/>
  <c r="N685" i="2"/>
  <c r="O685" i="2"/>
  <c r="A686" i="2"/>
  <c r="B686" i="2"/>
  <c r="C686" i="2"/>
  <c r="D686" i="2"/>
  <c r="E686" i="2"/>
  <c r="F686" i="2"/>
  <c r="G686" i="2"/>
  <c r="H686" i="2"/>
  <c r="I686" i="2"/>
  <c r="J686" i="2"/>
  <c r="K686" i="2"/>
  <c r="L686" i="2"/>
  <c r="M686" i="2"/>
  <c r="N686" i="2"/>
  <c r="O686" i="2"/>
  <c r="A687" i="2"/>
  <c r="B687" i="2"/>
  <c r="C687" i="2"/>
  <c r="D687" i="2"/>
  <c r="E687" i="2"/>
  <c r="F687" i="2"/>
  <c r="G687" i="2"/>
  <c r="H687" i="2"/>
  <c r="I687" i="2"/>
  <c r="J687" i="2"/>
  <c r="K687" i="2"/>
  <c r="L687" i="2"/>
  <c r="M687" i="2"/>
  <c r="N687" i="2"/>
  <c r="O687" i="2"/>
  <c r="A688" i="2"/>
  <c r="B688" i="2"/>
  <c r="C688" i="2"/>
  <c r="D688" i="2"/>
  <c r="E688" i="2"/>
  <c r="F688" i="2"/>
  <c r="G688" i="2"/>
  <c r="H688" i="2"/>
  <c r="I688" i="2"/>
  <c r="J688" i="2"/>
  <c r="K688" i="2"/>
  <c r="L688" i="2"/>
  <c r="M688" i="2"/>
  <c r="N688" i="2"/>
  <c r="O688" i="2"/>
  <c r="A689" i="2"/>
  <c r="B689" i="2"/>
  <c r="C689" i="2"/>
  <c r="D689" i="2"/>
  <c r="E689" i="2"/>
  <c r="F689" i="2"/>
  <c r="G689" i="2"/>
  <c r="H689" i="2"/>
  <c r="I689" i="2"/>
  <c r="J689" i="2"/>
  <c r="K689" i="2"/>
  <c r="L689" i="2"/>
  <c r="M689" i="2"/>
  <c r="N689" i="2"/>
  <c r="O689" i="2"/>
  <c r="A690" i="2"/>
  <c r="B690" i="2"/>
  <c r="C690" i="2"/>
  <c r="D690" i="2"/>
  <c r="E690" i="2"/>
  <c r="F690" i="2"/>
  <c r="G690" i="2"/>
  <c r="H690" i="2"/>
  <c r="I690" i="2"/>
  <c r="J690" i="2"/>
  <c r="K690" i="2"/>
  <c r="L690" i="2"/>
  <c r="M690" i="2"/>
  <c r="N690" i="2"/>
  <c r="O690" i="2"/>
  <c r="A691" i="2"/>
  <c r="B691" i="2"/>
  <c r="C691" i="2"/>
  <c r="D691" i="2"/>
  <c r="E691" i="2"/>
  <c r="F691" i="2"/>
  <c r="G691" i="2"/>
  <c r="H691" i="2"/>
  <c r="I691" i="2"/>
  <c r="J691" i="2"/>
  <c r="K691" i="2"/>
  <c r="L691" i="2"/>
  <c r="M691" i="2"/>
  <c r="N691" i="2"/>
  <c r="O691" i="2"/>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2" i="8"/>
  <c r="T3" i="9"/>
  <c r="T4" i="9"/>
  <c r="T5" i="9"/>
  <c r="T6" i="9"/>
  <c r="T7" i="9"/>
  <c r="T8" i="9"/>
  <c r="T9" i="9"/>
  <c r="T10" i="9"/>
  <c r="T11" i="9"/>
  <c r="T12" i="9"/>
  <c r="T13" i="9"/>
  <c r="T14" i="9"/>
  <c r="T15" i="9"/>
  <c r="T16" i="9"/>
  <c r="T17" i="9"/>
  <c r="T18" i="9"/>
  <c r="T19" i="9"/>
  <c r="T20" i="9"/>
  <c r="T21" i="9"/>
  <c r="T22" i="9"/>
  <c r="T23" i="9"/>
  <c r="T24" i="9"/>
  <c r="T25" i="9"/>
  <c r="T26" i="9"/>
  <c r="T27" i="9"/>
  <c r="T28" i="9"/>
  <c r="T29" i="9"/>
  <c r="T30" i="9"/>
  <c r="T31" i="9"/>
  <c r="T32" i="9"/>
  <c r="T33" i="9"/>
  <c r="T34" i="9"/>
  <c r="T35" i="9"/>
  <c r="T36" i="9"/>
  <c r="T37" i="9"/>
  <c r="T38" i="9"/>
  <c r="T39" i="9"/>
  <c r="T40" i="9"/>
  <c r="T41" i="9"/>
  <c r="T42" i="9"/>
  <c r="T43" i="9"/>
  <c r="T44" i="9"/>
  <c r="T45" i="9"/>
  <c r="T46" i="9"/>
  <c r="T47" i="9"/>
  <c r="T48" i="9"/>
  <c r="T49" i="9"/>
  <c r="T50" i="9"/>
  <c r="T51" i="9"/>
  <c r="T52" i="9"/>
  <c r="T53" i="9"/>
  <c r="T54" i="9"/>
  <c r="T55" i="9"/>
  <c r="T56" i="9"/>
  <c r="T57" i="9"/>
  <c r="T58" i="9"/>
  <c r="T59" i="9"/>
  <c r="T60" i="9"/>
  <c r="T61" i="9"/>
  <c r="T62" i="9"/>
  <c r="T63" i="9"/>
  <c r="T64" i="9"/>
  <c r="T65" i="9"/>
  <c r="T66" i="9"/>
  <c r="T67" i="9"/>
  <c r="T68" i="9"/>
  <c r="T69" i="9"/>
  <c r="T70" i="9"/>
  <c r="T71" i="9"/>
  <c r="T72" i="9"/>
  <c r="T73" i="9"/>
  <c r="T74" i="9"/>
  <c r="T75" i="9"/>
  <c r="T76" i="9"/>
  <c r="T77" i="9"/>
  <c r="T78" i="9"/>
  <c r="T79" i="9"/>
  <c r="T80" i="9"/>
  <c r="T81" i="9"/>
  <c r="T82" i="9"/>
  <c r="T83" i="9"/>
  <c r="T84" i="9"/>
  <c r="T85" i="9"/>
  <c r="T86" i="9"/>
  <c r="T87" i="9"/>
  <c r="T88" i="9"/>
  <c r="T89" i="9"/>
  <c r="C15" i="9"/>
  <c r="B15" i="9" s="1"/>
  <c r="T2" i="9"/>
  <c r="D231" i="9"/>
  <c r="D230" i="9"/>
  <c r="D229" i="9"/>
  <c r="D228" i="9"/>
  <c r="D227" i="9"/>
  <c r="D226" i="9"/>
  <c r="D225" i="9"/>
  <c r="D224" i="9"/>
  <c r="D223" i="9"/>
  <c r="D222" i="9"/>
  <c r="D221" i="9"/>
  <c r="D220" i="9"/>
  <c r="D219" i="9"/>
  <c r="D218" i="9"/>
  <c r="D217" i="9"/>
  <c r="D216" i="9"/>
  <c r="D215" i="9"/>
  <c r="D213" i="9"/>
  <c r="D212" i="9"/>
  <c r="D211" i="9"/>
  <c r="D210" i="9"/>
  <c r="D209" i="9"/>
  <c r="C209" i="9"/>
  <c r="B209" i="9"/>
  <c r="D208" i="9"/>
  <c r="C208" i="9"/>
  <c r="B208" i="9"/>
  <c r="D207" i="9"/>
  <c r="C207" i="9"/>
  <c r="B207" i="9"/>
  <c r="D206" i="9"/>
  <c r="C206" i="9"/>
  <c r="B206" i="9"/>
  <c r="D205" i="9"/>
  <c r="C205" i="9"/>
  <c r="B205" i="9"/>
  <c r="D204" i="9"/>
  <c r="C204" i="9"/>
  <c r="B204" i="9"/>
  <c r="C203" i="9"/>
  <c r="B203" i="9"/>
  <c r="C202" i="9"/>
  <c r="C201" i="9"/>
  <c r="C200" i="9"/>
  <c r="B200" i="9"/>
  <c r="C199" i="9"/>
  <c r="C198" i="9"/>
  <c r="C197" i="9"/>
  <c r="C196" i="9"/>
  <c r="C195" i="9"/>
  <c r="C194" i="9"/>
  <c r="C193" i="9"/>
  <c r="B193" i="9"/>
  <c r="C192" i="9"/>
  <c r="B192" i="9"/>
  <c r="C191" i="9"/>
  <c r="C190" i="9"/>
  <c r="B190" i="9"/>
  <c r="D188" i="9"/>
  <c r="D187" i="9"/>
  <c r="D186" i="9"/>
  <c r="D185" i="9"/>
  <c r="D184" i="9"/>
  <c r="D183" i="9"/>
  <c r="D182" i="9"/>
  <c r="D181" i="9"/>
  <c r="D180" i="9"/>
  <c r="D179" i="9"/>
  <c r="D178" i="9"/>
  <c r="C170" i="9"/>
  <c r="C169" i="9"/>
  <c r="C147" i="9"/>
  <c r="B147" i="9" s="1"/>
  <c r="C146" i="9"/>
  <c r="B146" i="9" s="1"/>
  <c r="D139" i="9"/>
  <c r="D275" i="9" s="1"/>
  <c r="D138" i="9"/>
  <c r="D274" i="9" s="1"/>
  <c r="D137" i="9"/>
  <c r="D273" i="9" s="1"/>
  <c r="D136" i="9"/>
  <c r="D272" i="9" s="1"/>
  <c r="D135" i="9"/>
  <c r="D271" i="9" s="1"/>
  <c r="D134" i="9"/>
  <c r="D270" i="9" s="1"/>
  <c r="D133" i="9"/>
  <c r="D269" i="9" s="1"/>
  <c r="C131" i="9"/>
  <c r="C267" i="9" s="1"/>
  <c r="C130" i="9"/>
  <c r="C266" i="9" s="1"/>
  <c r="D126" i="9"/>
  <c r="D250" i="9" s="1"/>
  <c r="D125" i="9"/>
  <c r="D249" i="9" s="1"/>
  <c r="D124" i="9"/>
  <c r="D248" i="9" s="1"/>
  <c r="D123" i="9"/>
  <c r="D247" i="9" s="1"/>
  <c r="D122" i="9"/>
  <c r="D246" i="9" s="1"/>
  <c r="D121" i="9"/>
  <c r="D245" i="9" s="1"/>
  <c r="D120" i="9"/>
  <c r="D244" i="9" s="1"/>
  <c r="D119" i="9"/>
  <c r="D243" i="9" s="1"/>
  <c r="D118" i="9"/>
  <c r="D242" i="9" s="1"/>
  <c r="D117" i="9"/>
  <c r="D241" i="9" s="1"/>
  <c r="D116" i="9"/>
  <c r="D240" i="9" s="1"/>
  <c r="D115" i="9"/>
  <c r="D239" i="9" s="1"/>
  <c r="D114" i="9"/>
  <c r="D238" i="9" s="1"/>
  <c r="D113" i="9"/>
  <c r="D237" i="9" s="1"/>
  <c r="D112" i="9"/>
  <c r="D236" i="9" s="1"/>
  <c r="D111" i="9"/>
  <c r="D235" i="9" s="1"/>
  <c r="D110" i="9"/>
  <c r="D234" i="9" s="1"/>
  <c r="D109" i="9"/>
  <c r="D233" i="9" s="1"/>
  <c r="B76" i="9"/>
  <c r="C75" i="9"/>
  <c r="B75" i="9" s="1"/>
  <c r="D71" i="9"/>
  <c r="D252" i="9" s="1"/>
  <c r="G62" i="9"/>
  <c r="E62" i="9"/>
  <c r="F55" i="9"/>
  <c r="B55" i="9" s="1"/>
  <c r="B202" i="9" s="1"/>
  <c r="J54" i="9"/>
  <c r="J53" i="9"/>
  <c r="E53" i="9"/>
  <c r="J52" i="9"/>
  <c r="E52" i="9"/>
  <c r="J51" i="9"/>
  <c r="E51" i="9"/>
  <c r="J50" i="9"/>
  <c r="E50" i="9"/>
  <c r="J49" i="9"/>
  <c r="E49" i="9"/>
  <c r="J48" i="9"/>
  <c r="E48" i="9"/>
  <c r="J47" i="9"/>
  <c r="E47" i="9"/>
  <c r="J46" i="9"/>
  <c r="E46" i="9"/>
  <c r="J45" i="9"/>
  <c r="E45" i="9"/>
  <c r="J44" i="9"/>
  <c r="E44" i="9"/>
  <c r="J43" i="9"/>
  <c r="E43" i="9"/>
  <c r="J42" i="9"/>
  <c r="E42" i="9"/>
  <c r="J41" i="9"/>
  <c r="E41" i="9"/>
  <c r="J40" i="9"/>
  <c r="E40" i="9"/>
  <c r="D31" i="9"/>
  <c r="D79" i="9" s="1"/>
  <c r="D260" i="9" s="1"/>
  <c r="D30" i="9"/>
  <c r="D78" i="9" s="1"/>
  <c r="D259" i="9" s="1"/>
  <c r="B30" i="9"/>
  <c r="G29" i="9"/>
  <c r="D29" i="9"/>
  <c r="D77" i="9" s="1"/>
  <c r="D258" i="9" s="1"/>
  <c r="B29" i="9"/>
  <c r="G28" i="9"/>
  <c r="D28" i="9"/>
  <c r="D174" i="9" s="1"/>
  <c r="B28" i="9"/>
  <c r="G27" i="9"/>
  <c r="D27" i="9"/>
  <c r="D173" i="9" s="1"/>
  <c r="B27" i="9"/>
  <c r="G26" i="9"/>
  <c r="D26" i="9"/>
  <c r="D74" i="9" s="1"/>
  <c r="D255" i="9" s="1"/>
  <c r="B26" i="9"/>
  <c r="G25" i="9"/>
  <c r="D25" i="9" s="1"/>
  <c r="D73" i="9" s="1"/>
  <c r="D254" i="9" s="1"/>
  <c r="B25" i="9"/>
  <c r="B170" i="9" s="1"/>
  <c r="G24" i="9"/>
  <c r="D24" i="9" s="1"/>
  <c r="D170" i="9" s="1"/>
  <c r="B24" i="9"/>
  <c r="B169" i="9" s="1"/>
  <c r="G23" i="9"/>
  <c r="D23" i="9" s="1"/>
  <c r="D169" i="9" s="1"/>
  <c r="B23" i="9"/>
  <c r="D16" i="9"/>
  <c r="D14" i="9"/>
  <c r="B14" i="9"/>
  <c r="D13" i="9"/>
  <c r="B13" i="9"/>
  <c r="D12" i="9"/>
  <c r="B12" i="9"/>
  <c r="D11" i="9"/>
  <c r="B11" i="9"/>
  <c r="D10" i="9"/>
  <c r="B10" i="9"/>
  <c r="D9" i="9"/>
  <c r="B9" i="9"/>
  <c r="D8" i="9"/>
  <c r="B8" i="9"/>
  <c r="C6" i="9"/>
  <c r="C7" i="9" s="1"/>
  <c r="F5" i="9"/>
  <c r="D5" i="9"/>
  <c r="D146" i="9" s="1"/>
  <c r="B5" i="9"/>
  <c r="B131" i="9" s="1"/>
  <c r="B267" i="9" s="1"/>
  <c r="F4" i="9"/>
  <c r="D4" i="9"/>
  <c r="D130" i="9" s="1"/>
  <c r="D266" i="9" s="1"/>
  <c r="B4" i="9"/>
  <c r="B130" i="9" s="1"/>
  <c r="B266" i="9" s="1"/>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27" i="5"/>
  <c r="T28" i="5"/>
  <c r="T29" i="5"/>
  <c r="T30" i="5"/>
  <c r="T31" i="5"/>
  <c r="T32" i="5"/>
  <c r="T33" i="5"/>
  <c r="T34" i="5"/>
  <c r="T35" i="5"/>
  <c r="T36" i="5"/>
  <c r="T37" i="5"/>
  <c r="T38" i="5"/>
  <c r="T39" i="5"/>
  <c r="T40" i="5"/>
  <c r="T41" i="5"/>
  <c r="T42" i="5"/>
  <c r="T43" i="5"/>
  <c r="T44" i="5"/>
  <c r="T45" i="5"/>
  <c r="T46" i="5"/>
  <c r="T47" i="5"/>
  <c r="T48" i="5"/>
  <c r="T26" i="5"/>
  <c r="T25" i="5"/>
  <c r="T24" i="5"/>
  <c r="T23" i="5"/>
  <c r="T22" i="5"/>
  <c r="T21" i="5"/>
  <c r="T20" i="5"/>
  <c r="T19" i="5"/>
  <c r="T18" i="5"/>
  <c r="T17" i="5"/>
  <c r="T16" i="5"/>
  <c r="T15" i="5"/>
  <c r="T14" i="5"/>
  <c r="T13" i="5"/>
  <c r="T12" i="5"/>
  <c r="T11" i="5"/>
  <c r="T10" i="5"/>
  <c r="T9" i="5"/>
  <c r="T8" i="5"/>
  <c r="T7" i="5"/>
  <c r="T6" i="5"/>
  <c r="T5" i="5"/>
  <c r="T4" i="5"/>
  <c r="T3" i="5"/>
  <c r="T2" i="5"/>
  <c r="T6" i="6"/>
  <c r="T7" i="6"/>
  <c r="T8" i="6"/>
  <c r="T9" i="6"/>
  <c r="T10" i="6"/>
  <c r="T11" i="6"/>
  <c r="T12" i="6"/>
  <c r="T13" i="6"/>
  <c r="T14" i="6"/>
  <c r="T15" i="6"/>
  <c r="T16" i="6"/>
  <c r="T17" i="6"/>
  <c r="T18" i="6"/>
  <c r="T19" i="6"/>
  <c r="T3" i="6"/>
  <c r="T4" i="6"/>
  <c r="T5" i="6"/>
  <c r="T2" i="6"/>
  <c r="D270" i="6"/>
  <c r="D271" i="6"/>
  <c r="D275" i="6"/>
  <c r="D276" i="6"/>
  <c r="D233" i="6"/>
  <c r="D234" i="6"/>
  <c r="D235" i="6"/>
  <c r="D236" i="6"/>
  <c r="D237" i="6"/>
  <c r="D238" i="6"/>
  <c r="D239" i="6"/>
  <c r="D240" i="6"/>
  <c r="D241" i="6"/>
  <c r="D242" i="6"/>
  <c r="D243" i="6"/>
  <c r="D244" i="6"/>
  <c r="D245" i="6"/>
  <c r="D246" i="6"/>
  <c r="D247" i="6"/>
  <c r="D248" i="6"/>
  <c r="D227" i="6"/>
  <c r="D228" i="6"/>
  <c r="D229" i="6"/>
  <c r="D230" i="6"/>
  <c r="D231" i="6"/>
  <c r="D216" i="6"/>
  <c r="D217" i="6"/>
  <c r="D218" i="6"/>
  <c r="D219" i="6"/>
  <c r="D220" i="6"/>
  <c r="D221" i="6"/>
  <c r="D222" i="6"/>
  <c r="D223" i="6"/>
  <c r="D224" i="6"/>
  <c r="D225" i="6"/>
  <c r="D226" i="6"/>
  <c r="C6" i="5"/>
  <c r="C7" i="5" s="1"/>
  <c r="D76" i="9" l="1"/>
  <c r="D257" i="9" s="1"/>
  <c r="D75" i="9"/>
  <c r="D256" i="9" s="1"/>
  <c r="D7" i="5"/>
  <c r="D7" i="6"/>
  <c r="D7" i="9"/>
  <c r="D148" i="9" s="1"/>
  <c r="B7" i="9"/>
  <c r="D171" i="9"/>
  <c r="D175" i="9"/>
  <c r="D131" i="9"/>
  <c r="D267" i="9" s="1"/>
  <c r="D176" i="9"/>
  <c r="D177" i="9"/>
  <c r="D15" i="9"/>
  <c r="C132" i="9"/>
  <c r="C268" i="9" s="1"/>
  <c r="D145" i="9"/>
  <c r="C148" i="9"/>
  <c r="B148" i="9" s="1"/>
  <c r="F6" i="9"/>
  <c r="D6" i="9" s="1"/>
  <c r="B6" i="9"/>
  <c r="B132" i="9" s="1"/>
  <c r="B268" i="9" s="1"/>
  <c r="D172" i="9"/>
  <c r="C6" i="6"/>
  <c r="C7" i="6" s="1"/>
  <c r="D148" i="6" l="1"/>
  <c r="D133" i="6"/>
  <c r="D269" i="6" s="1"/>
  <c r="D132" i="9"/>
  <c r="D268" i="9" s="1"/>
  <c r="D147" i="9"/>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2" i="2"/>
  <c r="B2" i="2"/>
  <c r="C2" i="2"/>
  <c r="D2" i="2"/>
  <c r="E2" i="2"/>
  <c r="F2" i="2"/>
  <c r="G2" i="2"/>
  <c r="H2" i="2"/>
  <c r="I2" i="2"/>
  <c r="J2" i="2"/>
  <c r="K2" i="2"/>
  <c r="L2" i="2"/>
  <c r="M2" i="2"/>
  <c r="N2" i="2"/>
  <c r="O2" i="2"/>
  <c r="A3" i="2"/>
  <c r="B3" i="2"/>
  <c r="C3" i="2"/>
  <c r="D3" i="2"/>
  <c r="E3" i="2"/>
  <c r="F3" i="2"/>
  <c r="G3" i="2"/>
  <c r="H3" i="2"/>
  <c r="I3" i="2"/>
  <c r="J3" i="2"/>
  <c r="K3" i="2"/>
  <c r="L3" i="2"/>
  <c r="M3" i="2"/>
  <c r="N3" i="2"/>
  <c r="O3" i="2"/>
  <c r="A4" i="2"/>
  <c r="B4" i="2"/>
  <c r="C4" i="2"/>
  <c r="D4" i="2"/>
  <c r="E4" i="2"/>
  <c r="F4" i="2"/>
  <c r="G4" i="2"/>
  <c r="H4" i="2"/>
  <c r="I4" i="2"/>
  <c r="J4" i="2"/>
  <c r="K4" i="2"/>
  <c r="L4" i="2"/>
  <c r="M4" i="2"/>
  <c r="N4" i="2"/>
  <c r="O4" i="2"/>
  <c r="A5" i="2"/>
  <c r="B5" i="2"/>
  <c r="C5" i="2"/>
  <c r="D5" i="2"/>
  <c r="E5" i="2"/>
  <c r="F5" i="2"/>
  <c r="G5" i="2"/>
  <c r="H5" i="2"/>
  <c r="I5" i="2"/>
  <c r="J5" i="2"/>
  <c r="K5" i="2"/>
  <c r="L5" i="2"/>
  <c r="M5" i="2"/>
  <c r="N5" i="2"/>
  <c r="O5" i="2"/>
  <c r="A6" i="2"/>
  <c r="B6" i="2"/>
  <c r="C6" i="2"/>
  <c r="D6" i="2"/>
  <c r="E6" i="2"/>
  <c r="F6" i="2"/>
  <c r="G6" i="2"/>
  <c r="H6" i="2"/>
  <c r="I6" i="2"/>
  <c r="J6" i="2"/>
  <c r="K6" i="2"/>
  <c r="L6" i="2"/>
  <c r="M6" i="2"/>
  <c r="N6" i="2"/>
  <c r="O6" i="2"/>
  <c r="A7" i="2"/>
  <c r="B7" i="2"/>
  <c r="C7" i="2"/>
  <c r="D7" i="2"/>
  <c r="E7" i="2"/>
  <c r="F7" i="2"/>
  <c r="G7" i="2"/>
  <c r="H7" i="2"/>
  <c r="I7" i="2"/>
  <c r="J7" i="2"/>
  <c r="K7" i="2"/>
  <c r="L7" i="2"/>
  <c r="M7" i="2"/>
  <c r="N7" i="2"/>
  <c r="O7" i="2"/>
  <c r="A8" i="2"/>
  <c r="B8" i="2"/>
  <c r="C8" i="2"/>
  <c r="D8" i="2"/>
  <c r="E8" i="2"/>
  <c r="F8" i="2"/>
  <c r="G8" i="2"/>
  <c r="H8" i="2"/>
  <c r="I8" i="2"/>
  <c r="J8" i="2"/>
  <c r="K8" i="2"/>
  <c r="L8" i="2"/>
  <c r="M8" i="2"/>
  <c r="N8" i="2"/>
  <c r="O8" i="2"/>
  <c r="A9" i="2"/>
  <c r="B9" i="2"/>
  <c r="C9" i="2"/>
  <c r="D9" i="2"/>
  <c r="E9" i="2"/>
  <c r="F9" i="2"/>
  <c r="G9" i="2"/>
  <c r="H9" i="2"/>
  <c r="I9" i="2"/>
  <c r="J9" i="2"/>
  <c r="K9" i="2"/>
  <c r="L9" i="2"/>
  <c r="M9" i="2"/>
  <c r="N9" i="2"/>
  <c r="O9" i="2"/>
  <c r="A10" i="2"/>
  <c r="B10" i="2"/>
  <c r="C10" i="2"/>
  <c r="D10" i="2"/>
  <c r="E10" i="2"/>
  <c r="F10" i="2"/>
  <c r="G10" i="2"/>
  <c r="H10" i="2"/>
  <c r="I10" i="2"/>
  <c r="J10" i="2"/>
  <c r="K10" i="2"/>
  <c r="L10" i="2"/>
  <c r="M10" i="2"/>
  <c r="N10" i="2"/>
  <c r="O10" i="2"/>
  <c r="A11" i="2"/>
  <c r="B11" i="2"/>
  <c r="C11" i="2"/>
  <c r="D11" i="2"/>
  <c r="E11" i="2"/>
  <c r="F11" i="2"/>
  <c r="G11" i="2"/>
  <c r="H11" i="2"/>
  <c r="I11" i="2"/>
  <c r="J11" i="2"/>
  <c r="K11" i="2"/>
  <c r="L11" i="2"/>
  <c r="M11" i="2"/>
  <c r="N11" i="2"/>
  <c r="O11" i="2"/>
  <c r="A12" i="2"/>
  <c r="B12" i="2"/>
  <c r="C12" i="2"/>
  <c r="D12" i="2"/>
  <c r="E12" i="2"/>
  <c r="F12" i="2"/>
  <c r="G12" i="2"/>
  <c r="H12" i="2"/>
  <c r="I12" i="2"/>
  <c r="J12" i="2"/>
  <c r="K12" i="2"/>
  <c r="L12" i="2"/>
  <c r="M12" i="2"/>
  <c r="N12" i="2"/>
  <c r="O12" i="2"/>
  <c r="A13" i="2"/>
  <c r="B13" i="2"/>
  <c r="C13" i="2"/>
  <c r="D13" i="2"/>
  <c r="E13" i="2"/>
  <c r="F13" i="2"/>
  <c r="G13" i="2"/>
  <c r="H13" i="2"/>
  <c r="I13" i="2"/>
  <c r="J13" i="2"/>
  <c r="K13" i="2"/>
  <c r="L13" i="2"/>
  <c r="M13" i="2"/>
  <c r="N13" i="2"/>
  <c r="O13" i="2"/>
  <c r="A14" i="2"/>
  <c r="B14" i="2"/>
  <c r="C14" i="2"/>
  <c r="D14" i="2"/>
  <c r="E14" i="2"/>
  <c r="F14" i="2"/>
  <c r="G14" i="2"/>
  <c r="H14" i="2"/>
  <c r="I14" i="2"/>
  <c r="J14" i="2"/>
  <c r="K14" i="2"/>
  <c r="L14" i="2"/>
  <c r="M14" i="2"/>
  <c r="N14" i="2"/>
  <c r="O14" i="2"/>
  <c r="A15" i="2"/>
  <c r="B15" i="2"/>
  <c r="C15" i="2"/>
  <c r="D15" i="2"/>
  <c r="E15" i="2"/>
  <c r="F15" i="2"/>
  <c r="G15" i="2"/>
  <c r="H15" i="2"/>
  <c r="I15" i="2"/>
  <c r="J15" i="2"/>
  <c r="K15" i="2"/>
  <c r="L15" i="2"/>
  <c r="M15" i="2"/>
  <c r="N15" i="2"/>
  <c r="O15" i="2"/>
  <c r="A16" i="2"/>
  <c r="B16" i="2"/>
  <c r="C16" i="2"/>
  <c r="D16" i="2"/>
  <c r="E16" i="2"/>
  <c r="F16" i="2"/>
  <c r="G16" i="2"/>
  <c r="H16" i="2"/>
  <c r="I16" i="2"/>
  <c r="J16" i="2"/>
  <c r="K16" i="2"/>
  <c r="L16" i="2"/>
  <c r="M16" i="2"/>
  <c r="N16" i="2"/>
  <c r="O16" i="2"/>
  <c r="A17" i="2"/>
  <c r="B17" i="2"/>
  <c r="C17" i="2"/>
  <c r="D17" i="2"/>
  <c r="E17" i="2"/>
  <c r="F17" i="2"/>
  <c r="G17" i="2"/>
  <c r="H17" i="2"/>
  <c r="I17" i="2"/>
  <c r="J17" i="2"/>
  <c r="K17" i="2"/>
  <c r="L17" i="2"/>
  <c r="M17" i="2"/>
  <c r="N17" i="2"/>
  <c r="O17" i="2"/>
  <c r="A18" i="2"/>
  <c r="B18" i="2"/>
  <c r="C18" i="2"/>
  <c r="D18" i="2"/>
  <c r="E18" i="2"/>
  <c r="F18" i="2"/>
  <c r="G18" i="2"/>
  <c r="H18" i="2"/>
  <c r="I18" i="2"/>
  <c r="J18" i="2"/>
  <c r="K18" i="2"/>
  <c r="L18" i="2"/>
  <c r="M18" i="2"/>
  <c r="N18" i="2"/>
  <c r="O18" i="2"/>
  <c r="A19" i="2"/>
  <c r="B19" i="2"/>
  <c r="C19" i="2"/>
  <c r="D19" i="2"/>
  <c r="E19" i="2"/>
  <c r="F19" i="2"/>
  <c r="G19" i="2"/>
  <c r="H19" i="2"/>
  <c r="I19" i="2"/>
  <c r="J19" i="2"/>
  <c r="K19" i="2"/>
  <c r="L19" i="2"/>
  <c r="M19" i="2"/>
  <c r="N19" i="2"/>
  <c r="O19" i="2"/>
  <c r="A20" i="2"/>
  <c r="B20" i="2"/>
  <c r="C20" i="2"/>
  <c r="D20" i="2"/>
  <c r="E20" i="2"/>
  <c r="F20" i="2"/>
  <c r="G20" i="2"/>
  <c r="H20" i="2"/>
  <c r="I20" i="2"/>
  <c r="J20" i="2"/>
  <c r="K20" i="2"/>
  <c r="L20" i="2"/>
  <c r="M20" i="2"/>
  <c r="N20" i="2"/>
  <c r="O20" i="2"/>
  <c r="A21" i="2"/>
  <c r="B21" i="2"/>
  <c r="C21" i="2"/>
  <c r="D21" i="2"/>
  <c r="E21" i="2"/>
  <c r="F21" i="2"/>
  <c r="G21" i="2"/>
  <c r="H21" i="2"/>
  <c r="I21" i="2"/>
  <c r="J21" i="2"/>
  <c r="K21" i="2"/>
  <c r="L21" i="2"/>
  <c r="M21" i="2"/>
  <c r="N21" i="2"/>
  <c r="O21" i="2"/>
  <c r="A22" i="2"/>
  <c r="B22" i="2"/>
  <c r="C22" i="2"/>
  <c r="D22" i="2"/>
  <c r="E22" i="2"/>
  <c r="F22" i="2"/>
  <c r="G22" i="2"/>
  <c r="H22" i="2"/>
  <c r="I22" i="2"/>
  <c r="J22" i="2"/>
  <c r="K22" i="2"/>
  <c r="L22" i="2"/>
  <c r="M22" i="2"/>
  <c r="N22" i="2"/>
  <c r="O22" i="2"/>
  <c r="A23" i="2"/>
  <c r="B23" i="2"/>
  <c r="C23" i="2"/>
  <c r="D23" i="2"/>
  <c r="E23" i="2"/>
  <c r="F23" i="2"/>
  <c r="G23" i="2"/>
  <c r="H23" i="2"/>
  <c r="I23" i="2"/>
  <c r="J23" i="2"/>
  <c r="K23" i="2"/>
  <c r="L23" i="2"/>
  <c r="M23" i="2"/>
  <c r="N23" i="2"/>
  <c r="O23" i="2"/>
  <c r="A24" i="2"/>
  <c r="B24" i="2"/>
  <c r="C24" i="2"/>
  <c r="D24" i="2"/>
  <c r="E24" i="2"/>
  <c r="F24" i="2"/>
  <c r="G24" i="2"/>
  <c r="H24" i="2"/>
  <c r="I24" i="2"/>
  <c r="J24" i="2"/>
  <c r="K24" i="2"/>
  <c r="L24" i="2"/>
  <c r="M24" i="2"/>
  <c r="N24" i="2"/>
  <c r="O24" i="2"/>
  <c r="A25" i="2"/>
  <c r="B25" i="2"/>
  <c r="C25" i="2"/>
  <c r="D25" i="2"/>
  <c r="E25" i="2"/>
  <c r="F25" i="2"/>
  <c r="G25" i="2"/>
  <c r="H25" i="2"/>
  <c r="I25" i="2"/>
  <c r="J25" i="2"/>
  <c r="K25" i="2"/>
  <c r="L25" i="2"/>
  <c r="M25" i="2"/>
  <c r="N25" i="2"/>
  <c r="O25" i="2"/>
  <c r="A26" i="2"/>
  <c r="B26" i="2"/>
  <c r="C26" i="2"/>
  <c r="D26" i="2"/>
  <c r="E26" i="2"/>
  <c r="F26" i="2"/>
  <c r="G26" i="2"/>
  <c r="H26" i="2"/>
  <c r="I26" i="2"/>
  <c r="J26" i="2"/>
  <c r="K26" i="2"/>
  <c r="L26" i="2"/>
  <c r="M26" i="2"/>
  <c r="N26" i="2"/>
  <c r="O26" i="2"/>
  <c r="A27" i="2"/>
  <c r="B27" i="2"/>
  <c r="C27" i="2"/>
  <c r="D27" i="2"/>
  <c r="E27" i="2"/>
  <c r="F27" i="2"/>
  <c r="G27" i="2"/>
  <c r="H27" i="2"/>
  <c r="I27" i="2"/>
  <c r="J27" i="2"/>
  <c r="K27" i="2"/>
  <c r="L27" i="2"/>
  <c r="M27" i="2"/>
  <c r="N27" i="2"/>
  <c r="O27" i="2"/>
  <c r="A28" i="2"/>
  <c r="B28" i="2"/>
  <c r="C28" i="2"/>
  <c r="D28" i="2"/>
  <c r="E28" i="2"/>
  <c r="F28" i="2"/>
  <c r="G28" i="2"/>
  <c r="H28" i="2"/>
  <c r="I28" i="2"/>
  <c r="J28" i="2"/>
  <c r="K28" i="2"/>
  <c r="L28" i="2"/>
  <c r="M28" i="2"/>
  <c r="N28" i="2"/>
  <c r="O28" i="2"/>
  <c r="A29" i="2"/>
  <c r="B29" i="2"/>
  <c r="C29" i="2"/>
  <c r="D29" i="2"/>
  <c r="E29" i="2"/>
  <c r="F29" i="2"/>
  <c r="G29" i="2"/>
  <c r="H29" i="2"/>
  <c r="I29" i="2"/>
  <c r="J29" i="2"/>
  <c r="K29" i="2"/>
  <c r="L29" i="2"/>
  <c r="M29" i="2"/>
  <c r="N29" i="2"/>
  <c r="O29" i="2"/>
  <c r="A30" i="2"/>
  <c r="B30" i="2"/>
  <c r="C30" i="2"/>
  <c r="D30" i="2"/>
  <c r="E30" i="2"/>
  <c r="F30" i="2"/>
  <c r="G30" i="2"/>
  <c r="H30" i="2"/>
  <c r="I30" i="2"/>
  <c r="J30" i="2"/>
  <c r="K30" i="2"/>
  <c r="L30" i="2"/>
  <c r="M30" i="2"/>
  <c r="N30" i="2"/>
  <c r="O30" i="2"/>
  <c r="A31" i="2"/>
  <c r="B31" i="2"/>
  <c r="C31" i="2"/>
  <c r="D31" i="2"/>
  <c r="E31" i="2"/>
  <c r="F31" i="2"/>
  <c r="G31" i="2"/>
  <c r="H31" i="2"/>
  <c r="I31" i="2"/>
  <c r="J31" i="2"/>
  <c r="K31" i="2"/>
  <c r="L31" i="2"/>
  <c r="M31" i="2"/>
  <c r="N31" i="2"/>
  <c r="O31" i="2"/>
  <c r="A32" i="2"/>
  <c r="B32" i="2"/>
  <c r="C32" i="2"/>
  <c r="D32" i="2"/>
  <c r="E32" i="2"/>
  <c r="F32" i="2"/>
  <c r="G32" i="2"/>
  <c r="H32" i="2"/>
  <c r="I32" i="2"/>
  <c r="J32" i="2"/>
  <c r="K32" i="2"/>
  <c r="L32" i="2"/>
  <c r="M32" i="2"/>
  <c r="N32" i="2"/>
  <c r="O32" i="2"/>
  <c r="A33" i="2"/>
  <c r="B33" i="2"/>
  <c r="C33" i="2"/>
  <c r="D33" i="2"/>
  <c r="E33" i="2"/>
  <c r="F33" i="2"/>
  <c r="G33" i="2"/>
  <c r="H33" i="2"/>
  <c r="I33" i="2"/>
  <c r="J33" i="2"/>
  <c r="K33" i="2"/>
  <c r="L33" i="2"/>
  <c r="M33" i="2"/>
  <c r="N33" i="2"/>
  <c r="O33" i="2"/>
  <c r="A34" i="2"/>
  <c r="B34" i="2"/>
  <c r="C34" i="2"/>
  <c r="D34" i="2"/>
  <c r="E34" i="2"/>
  <c r="F34" i="2"/>
  <c r="G34" i="2"/>
  <c r="H34" i="2"/>
  <c r="I34" i="2"/>
  <c r="J34" i="2"/>
  <c r="K34" i="2"/>
  <c r="L34" i="2"/>
  <c r="M34" i="2"/>
  <c r="N34" i="2"/>
  <c r="O34" i="2"/>
  <c r="A35" i="2"/>
  <c r="B35" i="2"/>
  <c r="C35" i="2"/>
  <c r="D35" i="2"/>
  <c r="E35" i="2"/>
  <c r="F35" i="2"/>
  <c r="G35" i="2"/>
  <c r="H35" i="2"/>
  <c r="I35" i="2"/>
  <c r="J35" i="2"/>
  <c r="K35" i="2"/>
  <c r="L35" i="2"/>
  <c r="M35" i="2"/>
  <c r="N35" i="2"/>
  <c r="O35" i="2"/>
  <c r="A36" i="2"/>
  <c r="B36" i="2"/>
  <c r="C36" i="2"/>
  <c r="D36" i="2"/>
  <c r="E36" i="2"/>
  <c r="F36" i="2"/>
  <c r="G36" i="2"/>
  <c r="H36" i="2"/>
  <c r="I36" i="2"/>
  <c r="J36" i="2"/>
  <c r="K36" i="2"/>
  <c r="L36" i="2"/>
  <c r="M36" i="2"/>
  <c r="N36" i="2"/>
  <c r="O36" i="2"/>
  <c r="A37" i="2"/>
  <c r="B37" i="2"/>
  <c r="C37" i="2"/>
  <c r="D37" i="2"/>
  <c r="E37" i="2"/>
  <c r="F37" i="2"/>
  <c r="G37" i="2"/>
  <c r="H37" i="2"/>
  <c r="I37" i="2"/>
  <c r="J37" i="2"/>
  <c r="K37" i="2"/>
  <c r="L37" i="2"/>
  <c r="M37" i="2"/>
  <c r="N37" i="2"/>
  <c r="O37" i="2"/>
  <c r="A38" i="2"/>
  <c r="B38" i="2"/>
  <c r="C38" i="2"/>
  <c r="D38" i="2"/>
  <c r="E38" i="2"/>
  <c r="F38" i="2"/>
  <c r="G38" i="2"/>
  <c r="H38" i="2"/>
  <c r="I38" i="2"/>
  <c r="J38" i="2"/>
  <c r="K38" i="2"/>
  <c r="L38" i="2"/>
  <c r="M38" i="2"/>
  <c r="N38" i="2"/>
  <c r="O38" i="2"/>
  <c r="A39" i="2"/>
  <c r="B39" i="2"/>
  <c r="C39" i="2"/>
  <c r="D39" i="2"/>
  <c r="E39" i="2"/>
  <c r="F39" i="2"/>
  <c r="G39" i="2"/>
  <c r="H39" i="2"/>
  <c r="I39" i="2"/>
  <c r="J39" i="2"/>
  <c r="K39" i="2"/>
  <c r="L39" i="2"/>
  <c r="M39" i="2"/>
  <c r="N39" i="2"/>
  <c r="O39" i="2"/>
  <c r="A40" i="2"/>
  <c r="B40" i="2"/>
  <c r="C40" i="2"/>
  <c r="D40" i="2"/>
  <c r="E40" i="2"/>
  <c r="F40" i="2"/>
  <c r="G40" i="2"/>
  <c r="H40" i="2"/>
  <c r="I40" i="2"/>
  <c r="J40" i="2"/>
  <c r="K40" i="2"/>
  <c r="L40" i="2"/>
  <c r="M40" i="2"/>
  <c r="N40" i="2"/>
  <c r="O40" i="2"/>
  <c r="A41" i="2"/>
  <c r="B41" i="2"/>
  <c r="C41" i="2"/>
  <c r="D41" i="2"/>
  <c r="E41" i="2"/>
  <c r="F41" i="2"/>
  <c r="G41" i="2"/>
  <c r="H41" i="2"/>
  <c r="I41" i="2"/>
  <c r="J41" i="2"/>
  <c r="K41" i="2"/>
  <c r="L41" i="2"/>
  <c r="M41" i="2"/>
  <c r="N41" i="2"/>
  <c r="O41" i="2"/>
  <c r="A42" i="2"/>
  <c r="B42" i="2"/>
  <c r="C42" i="2"/>
  <c r="D42" i="2"/>
  <c r="E42" i="2"/>
  <c r="F42" i="2"/>
  <c r="G42" i="2"/>
  <c r="H42" i="2"/>
  <c r="I42" i="2"/>
  <c r="J42" i="2"/>
  <c r="K42" i="2"/>
  <c r="L42" i="2"/>
  <c r="M42" i="2"/>
  <c r="N42" i="2"/>
  <c r="O42" i="2"/>
  <c r="A43" i="2"/>
  <c r="B43" i="2"/>
  <c r="C43" i="2"/>
  <c r="D43" i="2"/>
  <c r="E43" i="2"/>
  <c r="F43" i="2"/>
  <c r="G43" i="2"/>
  <c r="H43" i="2"/>
  <c r="I43" i="2"/>
  <c r="J43" i="2"/>
  <c r="K43" i="2"/>
  <c r="L43" i="2"/>
  <c r="M43" i="2"/>
  <c r="N43" i="2"/>
  <c r="O43" i="2"/>
  <c r="A44" i="2"/>
  <c r="B44" i="2"/>
  <c r="C44" i="2"/>
  <c r="D44" i="2"/>
  <c r="E44" i="2"/>
  <c r="F44" i="2"/>
  <c r="G44" i="2"/>
  <c r="H44" i="2"/>
  <c r="I44" i="2"/>
  <c r="J44" i="2"/>
  <c r="K44" i="2"/>
  <c r="L44" i="2"/>
  <c r="M44" i="2"/>
  <c r="N44" i="2"/>
  <c r="O44" i="2"/>
  <c r="A45" i="2"/>
  <c r="B45" i="2"/>
  <c r="C45" i="2"/>
  <c r="D45" i="2"/>
  <c r="E45" i="2"/>
  <c r="F45" i="2"/>
  <c r="G45" i="2"/>
  <c r="H45" i="2"/>
  <c r="I45" i="2"/>
  <c r="J45" i="2"/>
  <c r="K45" i="2"/>
  <c r="L45" i="2"/>
  <c r="M45" i="2"/>
  <c r="N45" i="2"/>
  <c r="O45" i="2"/>
  <c r="A46" i="2"/>
  <c r="B46" i="2"/>
  <c r="C46" i="2"/>
  <c r="D46" i="2"/>
  <c r="E46" i="2"/>
  <c r="F46" i="2"/>
  <c r="G46" i="2"/>
  <c r="H46" i="2"/>
  <c r="I46" i="2"/>
  <c r="J46" i="2"/>
  <c r="K46" i="2"/>
  <c r="L46" i="2"/>
  <c r="M46" i="2"/>
  <c r="N46" i="2"/>
  <c r="O46" i="2"/>
  <c r="A47" i="2"/>
  <c r="B47" i="2"/>
  <c r="C47" i="2"/>
  <c r="D47" i="2"/>
  <c r="E47" i="2"/>
  <c r="F47" i="2"/>
  <c r="G47" i="2"/>
  <c r="H47" i="2"/>
  <c r="I47" i="2"/>
  <c r="J47" i="2"/>
  <c r="K47" i="2"/>
  <c r="L47" i="2"/>
  <c r="M47" i="2"/>
  <c r="N47" i="2"/>
  <c r="O47" i="2"/>
  <c r="A48" i="2"/>
  <c r="B48" i="2"/>
  <c r="C48" i="2"/>
  <c r="D48" i="2"/>
  <c r="E48" i="2"/>
  <c r="F48" i="2"/>
  <c r="G48" i="2"/>
  <c r="H48" i="2"/>
  <c r="I48" i="2"/>
  <c r="J48" i="2"/>
  <c r="K48" i="2"/>
  <c r="L48" i="2"/>
  <c r="M48" i="2"/>
  <c r="N48" i="2"/>
  <c r="O48" i="2"/>
  <c r="A49" i="2"/>
  <c r="B49" i="2"/>
  <c r="C49" i="2"/>
  <c r="D49" i="2"/>
  <c r="E49" i="2"/>
  <c r="F49" i="2"/>
  <c r="G49" i="2"/>
  <c r="H49" i="2"/>
  <c r="I49" i="2"/>
  <c r="J49" i="2"/>
  <c r="K49" i="2"/>
  <c r="L49" i="2"/>
  <c r="M49" i="2"/>
  <c r="N49" i="2"/>
  <c r="O49" i="2"/>
  <c r="A50" i="2"/>
  <c r="B50" i="2"/>
  <c r="C50" i="2"/>
  <c r="D50" i="2"/>
  <c r="E50" i="2"/>
  <c r="F50" i="2"/>
  <c r="G50" i="2"/>
  <c r="H50" i="2"/>
  <c r="I50" i="2"/>
  <c r="J50" i="2"/>
  <c r="K50" i="2"/>
  <c r="L50" i="2"/>
  <c r="M50" i="2"/>
  <c r="N50" i="2"/>
  <c r="O50" i="2"/>
  <c r="A51" i="2"/>
  <c r="B51" i="2"/>
  <c r="C51" i="2"/>
  <c r="D51" i="2"/>
  <c r="E51" i="2"/>
  <c r="F51" i="2"/>
  <c r="G51" i="2"/>
  <c r="H51" i="2"/>
  <c r="I51" i="2"/>
  <c r="J51" i="2"/>
  <c r="K51" i="2"/>
  <c r="L51" i="2"/>
  <c r="M51" i="2"/>
  <c r="N51" i="2"/>
  <c r="O51" i="2"/>
  <c r="A52" i="2"/>
  <c r="B52" i="2"/>
  <c r="C52" i="2"/>
  <c r="D52" i="2"/>
  <c r="E52" i="2"/>
  <c r="F52" i="2"/>
  <c r="G52" i="2"/>
  <c r="H52" i="2"/>
  <c r="I52" i="2"/>
  <c r="J52" i="2"/>
  <c r="K52" i="2"/>
  <c r="L52" i="2"/>
  <c r="M52" i="2"/>
  <c r="N52" i="2"/>
  <c r="O52" i="2"/>
  <c r="A53" i="2"/>
  <c r="B53" i="2"/>
  <c r="C53" i="2"/>
  <c r="D53" i="2"/>
  <c r="E53" i="2"/>
  <c r="F53" i="2"/>
  <c r="G53" i="2"/>
  <c r="H53" i="2"/>
  <c r="I53" i="2"/>
  <c r="J53" i="2"/>
  <c r="K53" i="2"/>
  <c r="L53" i="2"/>
  <c r="M53" i="2"/>
  <c r="N53" i="2"/>
  <c r="O53" i="2"/>
  <c r="A54" i="2"/>
  <c r="B54" i="2"/>
  <c r="C54" i="2"/>
  <c r="D54" i="2"/>
  <c r="E54" i="2"/>
  <c r="F54" i="2"/>
  <c r="G54" i="2"/>
  <c r="H54" i="2"/>
  <c r="I54" i="2"/>
  <c r="J54" i="2"/>
  <c r="K54" i="2"/>
  <c r="L54" i="2"/>
  <c r="M54" i="2"/>
  <c r="N54" i="2"/>
  <c r="O54" i="2"/>
  <c r="A55" i="2"/>
  <c r="B55" i="2"/>
  <c r="C55" i="2"/>
  <c r="D55" i="2"/>
  <c r="E55" i="2"/>
  <c r="F55" i="2"/>
  <c r="G55" i="2"/>
  <c r="H55" i="2"/>
  <c r="I55" i="2"/>
  <c r="J55" i="2"/>
  <c r="K55" i="2"/>
  <c r="L55" i="2"/>
  <c r="M55" i="2"/>
  <c r="N55" i="2"/>
  <c r="O55" i="2"/>
  <c r="A56" i="2"/>
  <c r="B56" i="2"/>
  <c r="C56" i="2"/>
  <c r="D56" i="2"/>
  <c r="E56" i="2"/>
  <c r="F56" i="2"/>
  <c r="G56" i="2"/>
  <c r="H56" i="2"/>
  <c r="I56" i="2"/>
  <c r="J56" i="2"/>
  <c r="K56" i="2"/>
  <c r="L56" i="2"/>
  <c r="M56" i="2"/>
  <c r="N56" i="2"/>
  <c r="O56" i="2"/>
  <c r="A57" i="2"/>
  <c r="B57" i="2"/>
  <c r="C57" i="2"/>
  <c r="D57" i="2"/>
  <c r="E57" i="2"/>
  <c r="F57" i="2"/>
  <c r="G57" i="2"/>
  <c r="H57" i="2"/>
  <c r="I57" i="2"/>
  <c r="J57" i="2"/>
  <c r="K57" i="2"/>
  <c r="L57" i="2"/>
  <c r="M57" i="2"/>
  <c r="N57" i="2"/>
  <c r="O57" i="2"/>
  <c r="A58" i="2"/>
  <c r="B58" i="2"/>
  <c r="C58" i="2"/>
  <c r="D58" i="2"/>
  <c r="E58" i="2"/>
  <c r="F58" i="2"/>
  <c r="G58" i="2"/>
  <c r="H58" i="2"/>
  <c r="I58" i="2"/>
  <c r="J58" i="2"/>
  <c r="K58" i="2"/>
  <c r="L58" i="2"/>
  <c r="M58" i="2"/>
  <c r="N58" i="2"/>
  <c r="O58" i="2"/>
  <c r="A59" i="2"/>
  <c r="B59" i="2"/>
  <c r="C59" i="2"/>
  <c r="D59" i="2"/>
  <c r="E59" i="2"/>
  <c r="F59" i="2"/>
  <c r="G59" i="2"/>
  <c r="H59" i="2"/>
  <c r="I59" i="2"/>
  <c r="J59" i="2"/>
  <c r="K59" i="2"/>
  <c r="L59" i="2"/>
  <c r="M59" i="2"/>
  <c r="N59" i="2"/>
  <c r="O59" i="2"/>
  <c r="A60" i="2"/>
  <c r="B60" i="2"/>
  <c r="C60" i="2"/>
  <c r="D60" i="2"/>
  <c r="E60" i="2"/>
  <c r="F60" i="2"/>
  <c r="G60" i="2"/>
  <c r="H60" i="2"/>
  <c r="I60" i="2"/>
  <c r="J60" i="2"/>
  <c r="K60" i="2"/>
  <c r="L60" i="2"/>
  <c r="M60" i="2"/>
  <c r="N60" i="2"/>
  <c r="O60" i="2"/>
  <c r="A61" i="2"/>
  <c r="B61" i="2"/>
  <c r="C61" i="2"/>
  <c r="D61" i="2"/>
  <c r="E61" i="2"/>
  <c r="F61" i="2"/>
  <c r="G61" i="2"/>
  <c r="H61" i="2"/>
  <c r="I61" i="2"/>
  <c r="J61" i="2"/>
  <c r="K61" i="2"/>
  <c r="L61" i="2"/>
  <c r="M61" i="2"/>
  <c r="N61" i="2"/>
  <c r="O61" i="2"/>
  <c r="A62" i="2"/>
  <c r="B62" i="2"/>
  <c r="C62" i="2"/>
  <c r="D62" i="2"/>
  <c r="E62" i="2"/>
  <c r="F62" i="2"/>
  <c r="G62" i="2"/>
  <c r="H62" i="2"/>
  <c r="I62" i="2"/>
  <c r="J62" i="2"/>
  <c r="K62" i="2"/>
  <c r="L62" i="2"/>
  <c r="M62" i="2"/>
  <c r="N62" i="2"/>
  <c r="O62" i="2"/>
  <c r="A63" i="2"/>
  <c r="B63" i="2"/>
  <c r="C63" i="2"/>
  <c r="D63" i="2"/>
  <c r="E63" i="2"/>
  <c r="F63" i="2"/>
  <c r="G63" i="2"/>
  <c r="H63" i="2"/>
  <c r="I63" i="2"/>
  <c r="J63" i="2"/>
  <c r="K63" i="2"/>
  <c r="L63" i="2"/>
  <c r="M63" i="2"/>
  <c r="N63" i="2"/>
  <c r="O63" i="2"/>
  <c r="A64" i="2"/>
  <c r="B64" i="2"/>
  <c r="C64" i="2"/>
  <c r="D64" i="2"/>
  <c r="E64" i="2"/>
  <c r="F64" i="2"/>
  <c r="G64" i="2"/>
  <c r="H64" i="2"/>
  <c r="I64" i="2"/>
  <c r="J64" i="2"/>
  <c r="K64" i="2"/>
  <c r="L64" i="2"/>
  <c r="M64" i="2"/>
  <c r="N64" i="2"/>
  <c r="O64" i="2"/>
  <c r="A65" i="2"/>
  <c r="B65" i="2"/>
  <c r="C65" i="2"/>
  <c r="D65" i="2"/>
  <c r="E65" i="2"/>
  <c r="F65" i="2"/>
  <c r="G65" i="2"/>
  <c r="H65" i="2"/>
  <c r="I65" i="2"/>
  <c r="J65" i="2"/>
  <c r="K65" i="2"/>
  <c r="L65" i="2"/>
  <c r="M65" i="2"/>
  <c r="N65" i="2"/>
  <c r="O65" i="2"/>
  <c r="A66" i="2"/>
  <c r="B66" i="2"/>
  <c r="C66" i="2"/>
  <c r="D66" i="2"/>
  <c r="E66" i="2"/>
  <c r="F66" i="2"/>
  <c r="G66" i="2"/>
  <c r="H66" i="2"/>
  <c r="I66" i="2"/>
  <c r="J66" i="2"/>
  <c r="K66" i="2"/>
  <c r="L66" i="2"/>
  <c r="M66" i="2"/>
  <c r="N66" i="2"/>
  <c r="O66" i="2"/>
  <c r="A67" i="2"/>
  <c r="B67" i="2"/>
  <c r="C67" i="2"/>
  <c r="D67" i="2"/>
  <c r="E67" i="2"/>
  <c r="F67" i="2"/>
  <c r="G67" i="2"/>
  <c r="H67" i="2"/>
  <c r="I67" i="2"/>
  <c r="J67" i="2"/>
  <c r="K67" i="2"/>
  <c r="L67" i="2"/>
  <c r="M67" i="2"/>
  <c r="N67" i="2"/>
  <c r="O67" i="2"/>
  <c r="A68" i="2"/>
  <c r="B68" i="2"/>
  <c r="C68" i="2"/>
  <c r="D68" i="2"/>
  <c r="E68" i="2"/>
  <c r="F68" i="2"/>
  <c r="G68" i="2"/>
  <c r="H68" i="2"/>
  <c r="I68" i="2"/>
  <c r="J68" i="2"/>
  <c r="K68" i="2"/>
  <c r="L68" i="2"/>
  <c r="M68" i="2"/>
  <c r="N68" i="2"/>
  <c r="O68" i="2"/>
  <c r="A69" i="2"/>
  <c r="B69" i="2"/>
  <c r="C69" i="2"/>
  <c r="D69" i="2"/>
  <c r="E69" i="2"/>
  <c r="F69" i="2"/>
  <c r="G69" i="2"/>
  <c r="H69" i="2"/>
  <c r="I69" i="2"/>
  <c r="J69" i="2"/>
  <c r="K69" i="2"/>
  <c r="L69" i="2"/>
  <c r="M69" i="2"/>
  <c r="N69" i="2"/>
  <c r="O69" i="2"/>
  <c r="A70" i="2"/>
  <c r="B70" i="2"/>
  <c r="C70" i="2"/>
  <c r="D70" i="2"/>
  <c r="E70" i="2"/>
  <c r="F70" i="2"/>
  <c r="G70" i="2"/>
  <c r="H70" i="2"/>
  <c r="I70" i="2"/>
  <c r="J70" i="2"/>
  <c r="K70" i="2"/>
  <c r="L70" i="2"/>
  <c r="M70" i="2"/>
  <c r="N70" i="2"/>
  <c r="O70" i="2"/>
  <c r="A71" i="2"/>
  <c r="B71" i="2"/>
  <c r="C71" i="2"/>
  <c r="D71" i="2"/>
  <c r="E71" i="2"/>
  <c r="F71" i="2"/>
  <c r="G71" i="2"/>
  <c r="H71" i="2"/>
  <c r="I71" i="2"/>
  <c r="J71" i="2"/>
  <c r="K71" i="2"/>
  <c r="L71" i="2"/>
  <c r="M71" i="2"/>
  <c r="N71" i="2"/>
  <c r="O71" i="2"/>
  <c r="A72" i="2"/>
  <c r="B72" i="2"/>
  <c r="C72" i="2"/>
  <c r="D72" i="2"/>
  <c r="E72" i="2"/>
  <c r="F72" i="2"/>
  <c r="G72" i="2"/>
  <c r="H72" i="2"/>
  <c r="I72" i="2"/>
  <c r="J72" i="2"/>
  <c r="K72" i="2"/>
  <c r="L72" i="2"/>
  <c r="M72" i="2"/>
  <c r="N72" i="2"/>
  <c r="O72" i="2"/>
  <c r="A73" i="2"/>
  <c r="B73" i="2"/>
  <c r="C73" i="2"/>
  <c r="D73" i="2"/>
  <c r="E73" i="2"/>
  <c r="F73" i="2"/>
  <c r="G73" i="2"/>
  <c r="H73" i="2"/>
  <c r="I73" i="2"/>
  <c r="J73" i="2"/>
  <c r="K73" i="2"/>
  <c r="L73" i="2"/>
  <c r="M73" i="2"/>
  <c r="N73" i="2"/>
  <c r="O73" i="2"/>
  <c r="A74" i="2"/>
  <c r="B74" i="2"/>
  <c r="C74" i="2"/>
  <c r="D74" i="2"/>
  <c r="E74" i="2"/>
  <c r="F74" i="2"/>
  <c r="G74" i="2"/>
  <c r="H74" i="2"/>
  <c r="I74" i="2"/>
  <c r="J74" i="2"/>
  <c r="K74" i="2"/>
  <c r="L74" i="2"/>
  <c r="M74" i="2"/>
  <c r="N74" i="2"/>
  <c r="O74" i="2"/>
  <c r="A75" i="2"/>
  <c r="B75" i="2"/>
  <c r="C75" i="2"/>
  <c r="D75" i="2"/>
  <c r="E75" i="2"/>
  <c r="F75" i="2"/>
  <c r="G75" i="2"/>
  <c r="H75" i="2"/>
  <c r="I75" i="2"/>
  <c r="J75" i="2"/>
  <c r="K75" i="2"/>
  <c r="L75" i="2"/>
  <c r="M75" i="2"/>
  <c r="N75" i="2"/>
  <c r="O75" i="2"/>
  <c r="A76" i="2"/>
  <c r="B76" i="2"/>
  <c r="C76" i="2"/>
  <c r="D76" i="2"/>
  <c r="E76" i="2"/>
  <c r="F76" i="2"/>
  <c r="G76" i="2"/>
  <c r="H76" i="2"/>
  <c r="I76" i="2"/>
  <c r="J76" i="2"/>
  <c r="K76" i="2"/>
  <c r="L76" i="2"/>
  <c r="M76" i="2"/>
  <c r="N76" i="2"/>
  <c r="O76" i="2"/>
  <c r="A77" i="2"/>
  <c r="B77" i="2"/>
  <c r="C77" i="2"/>
  <c r="D77" i="2"/>
  <c r="E77" i="2"/>
  <c r="F77" i="2"/>
  <c r="G77" i="2"/>
  <c r="H77" i="2"/>
  <c r="I77" i="2"/>
  <c r="J77" i="2"/>
  <c r="K77" i="2"/>
  <c r="L77" i="2"/>
  <c r="M77" i="2"/>
  <c r="N77" i="2"/>
  <c r="O77" i="2"/>
  <c r="A78" i="2"/>
  <c r="B78" i="2"/>
  <c r="C78" i="2"/>
  <c r="D78" i="2"/>
  <c r="E78" i="2"/>
  <c r="F78" i="2"/>
  <c r="G78" i="2"/>
  <c r="H78" i="2"/>
  <c r="I78" i="2"/>
  <c r="J78" i="2"/>
  <c r="K78" i="2"/>
  <c r="L78" i="2"/>
  <c r="M78" i="2"/>
  <c r="N78" i="2"/>
  <c r="O78" i="2"/>
  <c r="A79" i="2"/>
  <c r="B79" i="2"/>
  <c r="C79" i="2"/>
  <c r="D79" i="2"/>
  <c r="E79" i="2"/>
  <c r="F79" i="2"/>
  <c r="G79" i="2"/>
  <c r="H79" i="2"/>
  <c r="I79" i="2"/>
  <c r="J79" i="2"/>
  <c r="K79" i="2"/>
  <c r="L79" i="2"/>
  <c r="M79" i="2"/>
  <c r="N79" i="2"/>
  <c r="O79" i="2"/>
  <c r="A80" i="2"/>
  <c r="B80" i="2"/>
  <c r="C80" i="2"/>
  <c r="D80" i="2"/>
  <c r="E80" i="2"/>
  <c r="F80" i="2"/>
  <c r="G80" i="2"/>
  <c r="H80" i="2"/>
  <c r="I80" i="2"/>
  <c r="J80" i="2"/>
  <c r="K80" i="2"/>
  <c r="L80" i="2"/>
  <c r="M80" i="2"/>
  <c r="N80" i="2"/>
  <c r="O80" i="2"/>
  <c r="A81" i="2"/>
  <c r="B81" i="2"/>
  <c r="C81" i="2"/>
  <c r="D81" i="2"/>
  <c r="E81" i="2"/>
  <c r="F81" i="2"/>
  <c r="G81" i="2"/>
  <c r="H81" i="2"/>
  <c r="I81" i="2"/>
  <c r="J81" i="2"/>
  <c r="K81" i="2"/>
  <c r="L81" i="2"/>
  <c r="M81" i="2"/>
  <c r="N81" i="2"/>
  <c r="O81" i="2"/>
  <c r="A82" i="2"/>
  <c r="B82" i="2"/>
  <c r="C82" i="2"/>
  <c r="D82" i="2"/>
  <c r="E82" i="2"/>
  <c r="F82" i="2"/>
  <c r="G82" i="2"/>
  <c r="H82" i="2"/>
  <c r="I82" i="2"/>
  <c r="J82" i="2"/>
  <c r="K82" i="2"/>
  <c r="L82" i="2"/>
  <c r="M82" i="2"/>
  <c r="N82" i="2"/>
  <c r="O82" i="2"/>
  <c r="A83" i="2"/>
  <c r="B83" i="2"/>
  <c r="C83" i="2"/>
  <c r="D83" i="2"/>
  <c r="E83" i="2"/>
  <c r="F83" i="2"/>
  <c r="G83" i="2"/>
  <c r="H83" i="2"/>
  <c r="I83" i="2"/>
  <c r="J83" i="2"/>
  <c r="K83" i="2"/>
  <c r="L83" i="2"/>
  <c r="M83" i="2"/>
  <c r="N83" i="2"/>
  <c r="O83" i="2"/>
  <c r="A84" i="2"/>
  <c r="B84" i="2"/>
  <c r="C84" i="2"/>
  <c r="D84" i="2"/>
  <c r="E84" i="2"/>
  <c r="F84" i="2"/>
  <c r="G84" i="2"/>
  <c r="H84" i="2"/>
  <c r="I84" i="2"/>
  <c r="J84" i="2"/>
  <c r="K84" i="2"/>
  <c r="L84" i="2"/>
  <c r="M84" i="2"/>
  <c r="N84" i="2"/>
  <c r="O84" i="2"/>
  <c r="A85" i="2"/>
  <c r="B85" i="2"/>
  <c r="C85" i="2"/>
  <c r="D85" i="2"/>
  <c r="E85" i="2"/>
  <c r="F85" i="2"/>
  <c r="G85" i="2"/>
  <c r="H85" i="2"/>
  <c r="I85" i="2"/>
  <c r="J85" i="2"/>
  <c r="K85" i="2"/>
  <c r="L85" i="2"/>
  <c r="M85" i="2"/>
  <c r="N85" i="2"/>
  <c r="O85" i="2"/>
  <c r="A86" i="2"/>
  <c r="B86" i="2"/>
  <c r="C86" i="2"/>
  <c r="D86" i="2"/>
  <c r="E86" i="2"/>
  <c r="F86" i="2"/>
  <c r="G86" i="2"/>
  <c r="H86" i="2"/>
  <c r="I86" i="2"/>
  <c r="J86" i="2"/>
  <c r="K86" i="2"/>
  <c r="L86" i="2"/>
  <c r="M86" i="2"/>
  <c r="N86" i="2"/>
  <c r="O86" i="2"/>
  <c r="A87" i="2"/>
  <c r="B87" i="2"/>
  <c r="C87" i="2"/>
  <c r="D87" i="2"/>
  <c r="E87" i="2"/>
  <c r="F87" i="2"/>
  <c r="G87" i="2"/>
  <c r="H87" i="2"/>
  <c r="I87" i="2"/>
  <c r="J87" i="2"/>
  <c r="K87" i="2"/>
  <c r="L87" i="2"/>
  <c r="M87" i="2"/>
  <c r="N87" i="2"/>
  <c r="O87" i="2"/>
  <c r="A88" i="2"/>
  <c r="B88" i="2"/>
  <c r="C88" i="2"/>
  <c r="D88" i="2"/>
  <c r="E88" i="2"/>
  <c r="F88" i="2"/>
  <c r="G88" i="2"/>
  <c r="H88" i="2"/>
  <c r="I88" i="2"/>
  <c r="J88" i="2"/>
  <c r="K88" i="2"/>
  <c r="L88" i="2"/>
  <c r="M88" i="2"/>
  <c r="N88" i="2"/>
  <c r="O88" i="2"/>
  <c r="A89" i="2"/>
  <c r="B89" i="2"/>
  <c r="C89" i="2"/>
  <c r="D89" i="2"/>
  <c r="E89" i="2"/>
  <c r="F89" i="2"/>
  <c r="G89" i="2"/>
  <c r="H89" i="2"/>
  <c r="I89" i="2"/>
  <c r="J89" i="2"/>
  <c r="K89" i="2"/>
  <c r="L89" i="2"/>
  <c r="M89" i="2"/>
  <c r="N89" i="2"/>
  <c r="O89" i="2"/>
  <c r="A90" i="2"/>
  <c r="B90" i="2"/>
  <c r="C90" i="2"/>
  <c r="D90" i="2"/>
  <c r="E90" i="2"/>
  <c r="F90" i="2"/>
  <c r="G90" i="2"/>
  <c r="H90" i="2"/>
  <c r="I90" i="2"/>
  <c r="J90" i="2"/>
  <c r="K90" i="2"/>
  <c r="L90" i="2"/>
  <c r="M90" i="2"/>
  <c r="N90" i="2"/>
  <c r="O90" i="2"/>
  <c r="A91" i="2"/>
  <c r="B91" i="2"/>
  <c r="C91" i="2"/>
  <c r="D91" i="2"/>
  <c r="E91" i="2"/>
  <c r="F91" i="2"/>
  <c r="G91" i="2"/>
  <c r="H91" i="2"/>
  <c r="I91" i="2"/>
  <c r="J91" i="2"/>
  <c r="K91" i="2"/>
  <c r="L91" i="2"/>
  <c r="M91" i="2"/>
  <c r="N91" i="2"/>
  <c r="O91" i="2"/>
  <c r="A92" i="2"/>
  <c r="B92" i="2"/>
  <c r="C92" i="2"/>
  <c r="D92" i="2"/>
  <c r="E92" i="2"/>
  <c r="F92" i="2"/>
  <c r="G92" i="2"/>
  <c r="H92" i="2"/>
  <c r="I92" i="2"/>
  <c r="J92" i="2"/>
  <c r="K92" i="2"/>
  <c r="L92" i="2"/>
  <c r="M92" i="2"/>
  <c r="N92" i="2"/>
  <c r="O92" i="2"/>
  <c r="A93" i="2"/>
  <c r="B93" i="2"/>
  <c r="C93" i="2"/>
  <c r="D93" i="2"/>
  <c r="E93" i="2"/>
  <c r="F93" i="2"/>
  <c r="G93" i="2"/>
  <c r="H93" i="2"/>
  <c r="I93" i="2"/>
  <c r="J93" i="2"/>
  <c r="K93" i="2"/>
  <c r="L93" i="2"/>
  <c r="M93" i="2"/>
  <c r="N93" i="2"/>
  <c r="O93" i="2"/>
  <c r="A94" i="2"/>
  <c r="B94" i="2"/>
  <c r="C94" i="2"/>
  <c r="D94" i="2"/>
  <c r="E94" i="2"/>
  <c r="F94" i="2"/>
  <c r="G94" i="2"/>
  <c r="H94" i="2"/>
  <c r="I94" i="2"/>
  <c r="J94" i="2"/>
  <c r="K94" i="2"/>
  <c r="L94" i="2"/>
  <c r="M94" i="2"/>
  <c r="N94" i="2"/>
  <c r="O94" i="2"/>
  <c r="A95" i="2"/>
  <c r="B95" i="2"/>
  <c r="C95" i="2"/>
  <c r="D95" i="2"/>
  <c r="E95" i="2"/>
  <c r="F95" i="2"/>
  <c r="G95" i="2"/>
  <c r="H95" i="2"/>
  <c r="I95" i="2"/>
  <c r="J95" i="2"/>
  <c r="K95" i="2"/>
  <c r="L95" i="2"/>
  <c r="M95" i="2"/>
  <c r="N95" i="2"/>
  <c r="O95" i="2"/>
  <c r="A96" i="2"/>
  <c r="B96" i="2"/>
  <c r="C96" i="2"/>
  <c r="D96" i="2"/>
  <c r="E96" i="2"/>
  <c r="F96" i="2"/>
  <c r="G96" i="2"/>
  <c r="H96" i="2"/>
  <c r="I96" i="2"/>
  <c r="J96" i="2"/>
  <c r="K96" i="2"/>
  <c r="L96" i="2"/>
  <c r="M96" i="2"/>
  <c r="N96" i="2"/>
  <c r="O96" i="2"/>
  <c r="A97" i="2"/>
  <c r="B97" i="2"/>
  <c r="C97" i="2"/>
  <c r="D97" i="2"/>
  <c r="E97" i="2"/>
  <c r="F97" i="2"/>
  <c r="G97" i="2"/>
  <c r="H97" i="2"/>
  <c r="I97" i="2"/>
  <c r="J97" i="2"/>
  <c r="K97" i="2"/>
  <c r="L97" i="2"/>
  <c r="M97" i="2"/>
  <c r="N97" i="2"/>
  <c r="O97" i="2"/>
  <c r="A98" i="2"/>
  <c r="B98" i="2"/>
  <c r="C98" i="2"/>
  <c r="D98" i="2"/>
  <c r="E98" i="2"/>
  <c r="F98" i="2"/>
  <c r="G98" i="2"/>
  <c r="H98" i="2"/>
  <c r="I98" i="2"/>
  <c r="J98" i="2"/>
  <c r="K98" i="2"/>
  <c r="L98" i="2"/>
  <c r="M98" i="2"/>
  <c r="N98" i="2"/>
  <c r="O98" i="2"/>
  <c r="A99" i="2"/>
  <c r="B99" i="2"/>
  <c r="C99" i="2"/>
  <c r="D99" i="2"/>
  <c r="E99" i="2"/>
  <c r="F99" i="2"/>
  <c r="G99" i="2"/>
  <c r="H99" i="2"/>
  <c r="I99" i="2"/>
  <c r="J99" i="2"/>
  <c r="K99" i="2"/>
  <c r="L99" i="2"/>
  <c r="M99" i="2"/>
  <c r="N99" i="2"/>
  <c r="O99" i="2"/>
  <c r="A100" i="2"/>
  <c r="B100" i="2"/>
  <c r="C100" i="2"/>
  <c r="D100" i="2"/>
  <c r="E100" i="2"/>
  <c r="F100" i="2"/>
  <c r="G100" i="2"/>
  <c r="H100" i="2"/>
  <c r="I100" i="2"/>
  <c r="J100" i="2"/>
  <c r="K100" i="2"/>
  <c r="L100" i="2"/>
  <c r="M100" i="2"/>
  <c r="N100" i="2"/>
  <c r="O100" i="2"/>
  <c r="A101" i="2"/>
  <c r="B101" i="2"/>
  <c r="C101" i="2"/>
  <c r="D101" i="2"/>
  <c r="E101" i="2"/>
  <c r="F101" i="2"/>
  <c r="G101" i="2"/>
  <c r="H101" i="2"/>
  <c r="I101" i="2"/>
  <c r="J101" i="2"/>
  <c r="K101" i="2"/>
  <c r="L101" i="2"/>
  <c r="M101" i="2"/>
  <c r="N101" i="2"/>
  <c r="O101" i="2"/>
  <c r="A102" i="2"/>
  <c r="B102" i="2"/>
  <c r="C102" i="2"/>
  <c r="D102" i="2"/>
  <c r="E102" i="2"/>
  <c r="F102" i="2"/>
  <c r="G102" i="2"/>
  <c r="H102" i="2"/>
  <c r="I102" i="2"/>
  <c r="J102" i="2"/>
  <c r="K102" i="2"/>
  <c r="L102" i="2"/>
  <c r="M102" i="2"/>
  <c r="N102" i="2"/>
  <c r="O102" i="2"/>
  <c r="A103" i="2"/>
  <c r="B103" i="2"/>
  <c r="C103" i="2"/>
  <c r="D103" i="2"/>
  <c r="E103" i="2"/>
  <c r="F103" i="2"/>
  <c r="G103" i="2"/>
  <c r="H103" i="2"/>
  <c r="I103" i="2"/>
  <c r="J103" i="2"/>
  <c r="K103" i="2"/>
  <c r="L103" i="2"/>
  <c r="M103" i="2"/>
  <c r="N103" i="2"/>
  <c r="O103" i="2"/>
  <c r="A104" i="2"/>
  <c r="B104" i="2"/>
  <c r="C104" i="2"/>
  <c r="D104" i="2"/>
  <c r="E104" i="2"/>
  <c r="F104" i="2"/>
  <c r="G104" i="2"/>
  <c r="H104" i="2"/>
  <c r="I104" i="2"/>
  <c r="J104" i="2"/>
  <c r="K104" i="2"/>
  <c r="L104" i="2"/>
  <c r="M104" i="2"/>
  <c r="N104" i="2"/>
  <c r="O104" i="2"/>
  <c r="A105" i="2"/>
  <c r="B105" i="2"/>
  <c r="C105" i="2"/>
  <c r="D105" i="2"/>
  <c r="E105" i="2"/>
  <c r="F105" i="2"/>
  <c r="G105" i="2"/>
  <c r="H105" i="2"/>
  <c r="I105" i="2"/>
  <c r="J105" i="2"/>
  <c r="K105" i="2"/>
  <c r="L105" i="2"/>
  <c r="M105" i="2"/>
  <c r="N105" i="2"/>
  <c r="O105" i="2"/>
  <c r="A106" i="2"/>
  <c r="B106" i="2"/>
  <c r="C106" i="2"/>
  <c r="D106" i="2"/>
  <c r="E106" i="2"/>
  <c r="F106" i="2"/>
  <c r="G106" i="2"/>
  <c r="H106" i="2"/>
  <c r="I106" i="2"/>
  <c r="J106" i="2"/>
  <c r="K106" i="2"/>
  <c r="L106" i="2"/>
  <c r="M106" i="2"/>
  <c r="N106" i="2"/>
  <c r="O106" i="2"/>
  <c r="A107" i="2"/>
  <c r="B107" i="2"/>
  <c r="C107" i="2"/>
  <c r="D107" i="2"/>
  <c r="E107" i="2"/>
  <c r="F107" i="2"/>
  <c r="G107" i="2"/>
  <c r="H107" i="2"/>
  <c r="I107" i="2"/>
  <c r="J107" i="2"/>
  <c r="K107" i="2"/>
  <c r="L107" i="2"/>
  <c r="M107" i="2"/>
  <c r="N107" i="2"/>
  <c r="O107" i="2"/>
  <c r="A108" i="2"/>
  <c r="B108" i="2"/>
  <c r="C108" i="2"/>
  <c r="D108" i="2"/>
  <c r="E108" i="2"/>
  <c r="F108" i="2"/>
  <c r="G108" i="2"/>
  <c r="H108" i="2"/>
  <c r="I108" i="2"/>
  <c r="J108" i="2"/>
  <c r="K108" i="2"/>
  <c r="L108" i="2"/>
  <c r="M108" i="2"/>
  <c r="N108" i="2"/>
  <c r="O108" i="2"/>
  <c r="A109" i="2"/>
  <c r="B109" i="2"/>
  <c r="C109" i="2"/>
  <c r="D109" i="2"/>
  <c r="E109" i="2"/>
  <c r="F109" i="2"/>
  <c r="G109" i="2"/>
  <c r="H109" i="2"/>
  <c r="I109" i="2"/>
  <c r="J109" i="2"/>
  <c r="K109" i="2"/>
  <c r="L109" i="2"/>
  <c r="M109" i="2"/>
  <c r="N109" i="2"/>
  <c r="O109" i="2"/>
  <c r="A110" i="2"/>
  <c r="B110" i="2"/>
  <c r="C110" i="2"/>
  <c r="D110" i="2"/>
  <c r="E110" i="2"/>
  <c r="F110" i="2"/>
  <c r="G110" i="2"/>
  <c r="H110" i="2"/>
  <c r="I110" i="2"/>
  <c r="J110" i="2"/>
  <c r="K110" i="2"/>
  <c r="L110" i="2"/>
  <c r="M110" i="2"/>
  <c r="N110" i="2"/>
  <c r="O110" i="2"/>
  <c r="A111" i="2"/>
  <c r="B111" i="2"/>
  <c r="C111" i="2"/>
  <c r="D111" i="2"/>
  <c r="E111" i="2"/>
  <c r="F111" i="2"/>
  <c r="G111" i="2"/>
  <c r="H111" i="2"/>
  <c r="I111" i="2"/>
  <c r="J111" i="2"/>
  <c r="K111" i="2"/>
  <c r="L111" i="2"/>
  <c r="M111" i="2"/>
  <c r="N111" i="2"/>
  <c r="O111" i="2"/>
  <c r="A112" i="2"/>
  <c r="B112" i="2"/>
  <c r="C112" i="2"/>
  <c r="D112" i="2"/>
  <c r="E112" i="2"/>
  <c r="F112" i="2"/>
  <c r="G112" i="2"/>
  <c r="H112" i="2"/>
  <c r="I112" i="2"/>
  <c r="J112" i="2"/>
  <c r="K112" i="2"/>
  <c r="L112" i="2"/>
  <c r="M112" i="2"/>
  <c r="N112" i="2"/>
  <c r="O112" i="2"/>
  <c r="A113" i="2"/>
  <c r="B113" i="2"/>
  <c r="C113" i="2"/>
  <c r="D113" i="2"/>
  <c r="E113" i="2"/>
  <c r="F113" i="2"/>
  <c r="G113" i="2"/>
  <c r="H113" i="2"/>
  <c r="I113" i="2"/>
  <c r="J113" i="2"/>
  <c r="K113" i="2"/>
  <c r="L113" i="2"/>
  <c r="M113" i="2"/>
  <c r="N113" i="2"/>
  <c r="O113" i="2"/>
  <c r="A114" i="2"/>
  <c r="B114" i="2"/>
  <c r="C114" i="2"/>
  <c r="D114" i="2"/>
  <c r="E114" i="2"/>
  <c r="F114" i="2"/>
  <c r="G114" i="2"/>
  <c r="H114" i="2"/>
  <c r="I114" i="2"/>
  <c r="J114" i="2"/>
  <c r="K114" i="2"/>
  <c r="L114" i="2"/>
  <c r="M114" i="2"/>
  <c r="N114" i="2"/>
  <c r="O114" i="2"/>
  <c r="A115" i="2"/>
  <c r="B115" i="2"/>
  <c r="C115" i="2"/>
  <c r="D115" i="2"/>
  <c r="E115" i="2"/>
  <c r="F115" i="2"/>
  <c r="G115" i="2"/>
  <c r="H115" i="2"/>
  <c r="I115" i="2"/>
  <c r="J115" i="2"/>
  <c r="K115" i="2"/>
  <c r="L115" i="2"/>
  <c r="M115" i="2"/>
  <c r="N115" i="2"/>
  <c r="O115" i="2"/>
  <c r="A116" i="2"/>
  <c r="B116" i="2"/>
  <c r="C116" i="2"/>
  <c r="D116" i="2"/>
  <c r="E116" i="2"/>
  <c r="F116" i="2"/>
  <c r="G116" i="2"/>
  <c r="H116" i="2"/>
  <c r="I116" i="2"/>
  <c r="J116" i="2"/>
  <c r="K116" i="2"/>
  <c r="L116" i="2"/>
  <c r="M116" i="2"/>
  <c r="N116" i="2"/>
  <c r="O116" i="2"/>
  <c r="A117" i="2"/>
  <c r="B117" i="2"/>
  <c r="C117" i="2"/>
  <c r="D117" i="2"/>
  <c r="E117" i="2"/>
  <c r="F117" i="2"/>
  <c r="G117" i="2"/>
  <c r="H117" i="2"/>
  <c r="I117" i="2"/>
  <c r="J117" i="2"/>
  <c r="K117" i="2"/>
  <c r="L117" i="2"/>
  <c r="M117" i="2"/>
  <c r="N117" i="2"/>
  <c r="O117" i="2"/>
  <c r="A118" i="2"/>
  <c r="B118" i="2"/>
  <c r="C118" i="2"/>
  <c r="D118" i="2"/>
  <c r="E118" i="2"/>
  <c r="F118" i="2"/>
  <c r="G118" i="2"/>
  <c r="H118" i="2"/>
  <c r="I118" i="2"/>
  <c r="J118" i="2"/>
  <c r="K118" i="2"/>
  <c r="L118" i="2"/>
  <c r="M118" i="2"/>
  <c r="N118" i="2"/>
  <c r="O118" i="2"/>
  <c r="A119" i="2"/>
  <c r="B119" i="2"/>
  <c r="C119" i="2"/>
  <c r="D119" i="2"/>
  <c r="E119" i="2"/>
  <c r="F119" i="2"/>
  <c r="G119" i="2"/>
  <c r="H119" i="2"/>
  <c r="I119" i="2"/>
  <c r="J119" i="2"/>
  <c r="K119" i="2"/>
  <c r="L119" i="2"/>
  <c r="M119" i="2"/>
  <c r="N119" i="2"/>
  <c r="O119" i="2"/>
  <c r="A120" i="2"/>
  <c r="B120" i="2"/>
  <c r="C120" i="2"/>
  <c r="D120" i="2"/>
  <c r="E120" i="2"/>
  <c r="F120" i="2"/>
  <c r="G120" i="2"/>
  <c r="H120" i="2"/>
  <c r="I120" i="2"/>
  <c r="J120" i="2"/>
  <c r="K120" i="2"/>
  <c r="L120" i="2"/>
  <c r="M120" i="2"/>
  <c r="N120" i="2"/>
  <c r="O120" i="2"/>
  <c r="A121" i="2"/>
  <c r="B121" i="2"/>
  <c r="C121" i="2"/>
  <c r="D121" i="2"/>
  <c r="E121" i="2"/>
  <c r="F121" i="2"/>
  <c r="G121" i="2"/>
  <c r="H121" i="2"/>
  <c r="I121" i="2"/>
  <c r="J121" i="2"/>
  <c r="K121" i="2"/>
  <c r="L121" i="2"/>
  <c r="M121" i="2"/>
  <c r="N121" i="2"/>
  <c r="O121" i="2"/>
  <c r="A122" i="2"/>
  <c r="B122" i="2"/>
  <c r="C122" i="2"/>
  <c r="D122" i="2"/>
  <c r="E122" i="2"/>
  <c r="F122" i="2"/>
  <c r="G122" i="2"/>
  <c r="H122" i="2"/>
  <c r="I122" i="2"/>
  <c r="J122" i="2"/>
  <c r="K122" i="2"/>
  <c r="L122" i="2"/>
  <c r="M122" i="2"/>
  <c r="N122" i="2"/>
  <c r="O122" i="2"/>
  <c r="A123" i="2"/>
  <c r="B123" i="2"/>
  <c r="C123" i="2"/>
  <c r="D123" i="2"/>
  <c r="E123" i="2"/>
  <c r="F123" i="2"/>
  <c r="G123" i="2"/>
  <c r="H123" i="2"/>
  <c r="I123" i="2"/>
  <c r="J123" i="2"/>
  <c r="K123" i="2"/>
  <c r="L123" i="2"/>
  <c r="M123" i="2"/>
  <c r="N123" i="2"/>
  <c r="O123" i="2"/>
  <c r="A124" i="2"/>
  <c r="B124" i="2"/>
  <c r="C124" i="2"/>
  <c r="D124" i="2"/>
  <c r="E124" i="2"/>
  <c r="F124" i="2"/>
  <c r="G124" i="2"/>
  <c r="H124" i="2"/>
  <c r="I124" i="2"/>
  <c r="J124" i="2"/>
  <c r="K124" i="2"/>
  <c r="L124" i="2"/>
  <c r="M124" i="2"/>
  <c r="N124" i="2"/>
  <c r="O124" i="2"/>
  <c r="A125" i="2"/>
  <c r="B125" i="2"/>
  <c r="C125" i="2"/>
  <c r="D125" i="2"/>
  <c r="E125" i="2"/>
  <c r="F125" i="2"/>
  <c r="G125" i="2"/>
  <c r="H125" i="2"/>
  <c r="I125" i="2"/>
  <c r="J125" i="2"/>
  <c r="K125" i="2"/>
  <c r="L125" i="2"/>
  <c r="M125" i="2"/>
  <c r="N125" i="2"/>
  <c r="O125" i="2"/>
  <c r="A126" i="2"/>
  <c r="B126" i="2"/>
  <c r="C126" i="2"/>
  <c r="D126" i="2"/>
  <c r="E126" i="2"/>
  <c r="F126" i="2"/>
  <c r="G126" i="2"/>
  <c r="H126" i="2"/>
  <c r="I126" i="2"/>
  <c r="J126" i="2"/>
  <c r="K126" i="2"/>
  <c r="L126" i="2"/>
  <c r="M126" i="2"/>
  <c r="N126" i="2"/>
  <c r="O126" i="2"/>
  <c r="A127" i="2"/>
  <c r="B127" i="2"/>
  <c r="C127" i="2"/>
  <c r="D127" i="2"/>
  <c r="E127" i="2"/>
  <c r="F127" i="2"/>
  <c r="G127" i="2"/>
  <c r="H127" i="2"/>
  <c r="I127" i="2"/>
  <c r="J127" i="2"/>
  <c r="K127" i="2"/>
  <c r="L127" i="2"/>
  <c r="M127" i="2"/>
  <c r="N127" i="2"/>
  <c r="O127" i="2"/>
  <c r="A128" i="2"/>
  <c r="B128" i="2"/>
  <c r="C128" i="2"/>
  <c r="D128" i="2"/>
  <c r="E128" i="2"/>
  <c r="F128" i="2"/>
  <c r="G128" i="2"/>
  <c r="H128" i="2"/>
  <c r="I128" i="2"/>
  <c r="J128" i="2"/>
  <c r="K128" i="2"/>
  <c r="L128" i="2"/>
  <c r="M128" i="2"/>
  <c r="N128" i="2"/>
  <c r="O128" i="2"/>
  <c r="A129" i="2"/>
  <c r="B129" i="2"/>
  <c r="C129" i="2"/>
  <c r="D129" i="2"/>
  <c r="E129" i="2"/>
  <c r="F129" i="2"/>
  <c r="G129" i="2"/>
  <c r="H129" i="2"/>
  <c r="I129" i="2"/>
  <c r="J129" i="2"/>
  <c r="K129" i="2"/>
  <c r="L129" i="2"/>
  <c r="M129" i="2"/>
  <c r="N129" i="2"/>
  <c r="O129" i="2"/>
  <c r="A130" i="2"/>
  <c r="B130" i="2"/>
  <c r="C130" i="2"/>
  <c r="D130" i="2"/>
  <c r="E130" i="2"/>
  <c r="F130" i="2"/>
  <c r="G130" i="2"/>
  <c r="H130" i="2"/>
  <c r="I130" i="2"/>
  <c r="J130" i="2"/>
  <c r="K130" i="2"/>
  <c r="L130" i="2"/>
  <c r="M130" i="2"/>
  <c r="N130" i="2"/>
  <c r="O130" i="2"/>
  <c r="A131" i="2"/>
  <c r="B131" i="2"/>
  <c r="C131" i="2"/>
  <c r="D131" i="2"/>
  <c r="E131" i="2"/>
  <c r="F131" i="2"/>
  <c r="G131" i="2"/>
  <c r="H131" i="2"/>
  <c r="I131" i="2"/>
  <c r="J131" i="2"/>
  <c r="K131" i="2"/>
  <c r="L131" i="2"/>
  <c r="M131" i="2"/>
  <c r="N131" i="2"/>
  <c r="O131" i="2"/>
  <c r="A132" i="2"/>
  <c r="B132" i="2"/>
  <c r="C132" i="2"/>
  <c r="D132" i="2"/>
  <c r="E132" i="2"/>
  <c r="F132" i="2"/>
  <c r="G132" i="2"/>
  <c r="H132" i="2"/>
  <c r="I132" i="2"/>
  <c r="J132" i="2"/>
  <c r="K132" i="2"/>
  <c r="L132" i="2"/>
  <c r="M132" i="2"/>
  <c r="N132" i="2"/>
  <c r="O132" i="2"/>
  <c r="A133" i="2"/>
  <c r="B133" i="2"/>
  <c r="C133" i="2"/>
  <c r="D133" i="2"/>
  <c r="E133" i="2"/>
  <c r="F133" i="2"/>
  <c r="G133" i="2"/>
  <c r="H133" i="2"/>
  <c r="I133" i="2"/>
  <c r="J133" i="2"/>
  <c r="K133" i="2"/>
  <c r="L133" i="2"/>
  <c r="M133" i="2"/>
  <c r="N133" i="2"/>
  <c r="O133" i="2"/>
  <c r="A134" i="2"/>
  <c r="B134" i="2"/>
  <c r="C134" i="2"/>
  <c r="D134" i="2"/>
  <c r="E134" i="2"/>
  <c r="F134" i="2"/>
  <c r="G134" i="2"/>
  <c r="H134" i="2"/>
  <c r="I134" i="2"/>
  <c r="J134" i="2"/>
  <c r="K134" i="2"/>
  <c r="L134" i="2"/>
  <c r="M134" i="2"/>
  <c r="N134" i="2"/>
  <c r="O134" i="2"/>
  <c r="A135" i="2"/>
  <c r="B135" i="2"/>
  <c r="C135" i="2"/>
  <c r="D135" i="2"/>
  <c r="E135" i="2"/>
  <c r="F135" i="2"/>
  <c r="G135" i="2"/>
  <c r="H135" i="2"/>
  <c r="I135" i="2"/>
  <c r="J135" i="2"/>
  <c r="K135" i="2"/>
  <c r="L135" i="2"/>
  <c r="M135" i="2"/>
  <c r="N135" i="2"/>
  <c r="O135" i="2"/>
  <c r="A136" i="2"/>
  <c r="B136" i="2"/>
  <c r="C136" i="2"/>
  <c r="D136" i="2"/>
  <c r="E136" i="2"/>
  <c r="F136" i="2"/>
  <c r="G136" i="2"/>
  <c r="H136" i="2"/>
  <c r="I136" i="2"/>
  <c r="J136" i="2"/>
  <c r="K136" i="2"/>
  <c r="L136" i="2"/>
  <c r="M136" i="2"/>
  <c r="N136" i="2"/>
  <c r="O136" i="2"/>
  <c r="A137" i="2"/>
  <c r="B137" i="2"/>
  <c r="C137" i="2"/>
  <c r="D137" i="2"/>
  <c r="E137" i="2"/>
  <c r="F137" i="2"/>
  <c r="G137" i="2"/>
  <c r="H137" i="2"/>
  <c r="I137" i="2"/>
  <c r="J137" i="2"/>
  <c r="K137" i="2"/>
  <c r="L137" i="2"/>
  <c r="M137" i="2"/>
  <c r="N137" i="2"/>
  <c r="O137" i="2"/>
  <c r="A138" i="2"/>
  <c r="B138" i="2"/>
  <c r="C138" i="2"/>
  <c r="D138" i="2"/>
  <c r="E138" i="2"/>
  <c r="F138" i="2"/>
  <c r="G138" i="2"/>
  <c r="H138" i="2"/>
  <c r="I138" i="2"/>
  <c r="J138" i="2"/>
  <c r="K138" i="2"/>
  <c r="L138" i="2"/>
  <c r="M138" i="2"/>
  <c r="N138" i="2"/>
  <c r="O138" i="2"/>
  <c r="A139" i="2"/>
  <c r="B139" i="2"/>
  <c r="C139" i="2"/>
  <c r="D139" i="2"/>
  <c r="E139" i="2"/>
  <c r="F139" i="2"/>
  <c r="G139" i="2"/>
  <c r="H139" i="2"/>
  <c r="I139" i="2"/>
  <c r="J139" i="2"/>
  <c r="K139" i="2"/>
  <c r="L139" i="2"/>
  <c r="M139" i="2"/>
  <c r="N139" i="2"/>
  <c r="O139" i="2"/>
  <c r="A140" i="2"/>
  <c r="B140" i="2"/>
  <c r="C140" i="2"/>
  <c r="D140" i="2"/>
  <c r="E140" i="2"/>
  <c r="F140" i="2"/>
  <c r="G140" i="2"/>
  <c r="H140" i="2"/>
  <c r="I140" i="2"/>
  <c r="J140" i="2"/>
  <c r="K140" i="2"/>
  <c r="L140" i="2"/>
  <c r="M140" i="2"/>
  <c r="N140" i="2"/>
  <c r="O140" i="2"/>
  <c r="A141" i="2"/>
  <c r="B141" i="2"/>
  <c r="C141" i="2"/>
  <c r="D141" i="2"/>
  <c r="E141" i="2"/>
  <c r="F141" i="2"/>
  <c r="G141" i="2"/>
  <c r="H141" i="2"/>
  <c r="I141" i="2"/>
  <c r="J141" i="2"/>
  <c r="K141" i="2"/>
  <c r="L141" i="2"/>
  <c r="M141" i="2"/>
  <c r="N141" i="2"/>
  <c r="O141" i="2"/>
  <c r="A142" i="2"/>
  <c r="B142" i="2"/>
  <c r="C142" i="2"/>
  <c r="D142" i="2"/>
  <c r="E142" i="2"/>
  <c r="F142" i="2"/>
  <c r="G142" i="2"/>
  <c r="H142" i="2"/>
  <c r="I142" i="2"/>
  <c r="J142" i="2"/>
  <c r="K142" i="2"/>
  <c r="L142" i="2"/>
  <c r="M142" i="2"/>
  <c r="N142" i="2"/>
  <c r="O142" i="2"/>
  <c r="A143" i="2"/>
  <c r="B143" i="2"/>
  <c r="C143" i="2"/>
  <c r="D143" i="2"/>
  <c r="E143" i="2"/>
  <c r="F143" i="2"/>
  <c r="G143" i="2"/>
  <c r="H143" i="2"/>
  <c r="I143" i="2"/>
  <c r="J143" i="2"/>
  <c r="K143" i="2"/>
  <c r="L143" i="2"/>
  <c r="M143" i="2"/>
  <c r="N143" i="2"/>
  <c r="O143" i="2"/>
  <c r="A144" i="2"/>
  <c r="B144" i="2"/>
  <c r="C144" i="2"/>
  <c r="D144" i="2"/>
  <c r="E144" i="2"/>
  <c r="F144" i="2"/>
  <c r="G144" i="2"/>
  <c r="H144" i="2"/>
  <c r="I144" i="2"/>
  <c r="J144" i="2"/>
  <c r="K144" i="2"/>
  <c r="L144" i="2"/>
  <c r="M144" i="2"/>
  <c r="N144" i="2"/>
  <c r="O144" i="2"/>
  <c r="A145" i="2"/>
  <c r="B145" i="2"/>
  <c r="C145" i="2"/>
  <c r="D145" i="2"/>
  <c r="E145" i="2"/>
  <c r="F145" i="2"/>
  <c r="G145" i="2"/>
  <c r="H145" i="2"/>
  <c r="I145" i="2"/>
  <c r="J145" i="2"/>
  <c r="K145" i="2"/>
  <c r="L145" i="2"/>
  <c r="M145" i="2"/>
  <c r="N145" i="2"/>
  <c r="O145" i="2"/>
  <c r="A146" i="2"/>
  <c r="B146" i="2"/>
  <c r="C146" i="2"/>
  <c r="D146" i="2"/>
  <c r="E146" i="2"/>
  <c r="F146" i="2"/>
  <c r="G146" i="2"/>
  <c r="H146" i="2"/>
  <c r="I146" i="2"/>
  <c r="J146" i="2"/>
  <c r="K146" i="2"/>
  <c r="L146" i="2"/>
  <c r="M146" i="2"/>
  <c r="N146" i="2"/>
  <c r="O146" i="2"/>
  <c r="A147" i="2"/>
  <c r="B147" i="2"/>
  <c r="C147" i="2"/>
  <c r="D147" i="2"/>
  <c r="E147" i="2"/>
  <c r="F147" i="2"/>
  <c r="G147" i="2"/>
  <c r="H147" i="2"/>
  <c r="I147" i="2"/>
  <c r="J147" i="2"/>
  <c r="K147" i="2"/>
  <c r="L147" i="2"/>
  <c r="M147" i="2"/>
  <c r="N147" i="2"/>
  <c r="O147" i="2"/>
  <c r="A148" i="2"/>
  <c r="B148" i="2"/>
  <c r="C148" i="2"/>
  <c r="D148" i="2"/>
  <c r="E148" i="2"/>
  <c r="F148" i="2"/>
  <c r="G148" i="2"/>
  <c r="H148" i="2"/>
  <c r="I148" i="2"/>
  <c r="J148" i="2"/>
  <c r="K148" i="2"/>
  <c r="L148" i="2"/>
  <c r="M148" i="2"/>
  <c r="N148" i="2"/>
  <c r="O148" i="2"/>
  <c r="A149" i="2"/>
  <c r="B149" i="2"/>
  <c r="C149" i="2"/>
  <c r="D149" i="2"/>
  <c r="E149" i="2"/>
  <c r="F149" i="2"/>
  <c r="G149" i="2"/>
  <c r="H149" i="2"/>
  <c r="I149" i="2"/>
  <c r="J149" i="2"/>
  <c r="K149" i="2"/>
  <c r="L149" i="2"/>
  <c r="M149" i="2"/>
  <c r="N149" i="2"/>
  <c r="O149" i="2"/>
  <c r="A150" i="2"/>
  <c r="B150" i="2"/>
  <c r="C150" i="2"/>
  <c r="D150" i="2"/>
  <c r="E150" i="2"/>
  <c r="F150" i="2"/>
  <c r="G150" i="2"/>
  <c r="H150" i="2"/>
  <c r="I150" i="2"/>
  <c r="J150" i="2"/>
  <c r="K150" i="2"/>
  <c r="L150" i="2"/>
  <c r="M150" i="2"/>
  <c r="N150" i="2"/>
  <c r="O150" i="2"/>
  <c r="A151" i="2"/>
  <c r="B151" i="2"/>
  <c r="C151" i="2"/>
  <c r="D151" i="2"/>
  <c r="E151" i="2"/>
  <c r="F151" i="2"/>
  <c r="G151" i="2"/>
  <c r="H151" i="2"/>
  <c r="I151" i="2"/>
  <c r="J151" i="2"/>
  <c r="K151" i="2"/>
  <c r="L151" i="2"/>
  <c r="M151" i="2"/>
  <c r="N151" i="2"/>
  <c r="O151" i="2"/>
  <c r="A152" i="2"/>
  <c r="B152" i="2"/>
  <c r="C152" i="2"/>
  <c r="D152" i="2"/>
  <c r="E152" i="2"/>
  <c r="F152" i="2"/>
  <c r="G152" i="2"/>
  <c r="H152" i="2"/>
  <c r="I152" i="2"/>
  <c r="J152" i="2"/>
  <c r="K152" i="2"/>
  <c r="L152" i="2"/>
  <c r="M152" i="2"/>
  <c r="N152" i="2"/>
  <c r="O152" i="2"/>
  <c r="A153" i="2"/>
  <c r="B153" i="2"/>
  <c r="C153" i="2"/>
  <c r="D153" i="2"/>
  <c r="E153" i="2"/>
  <c r="F153" i="2"/>
  <c r="G153" i="2"/>
  <c r="H153" i="2"/>
  <c r="I153" i="2"/>
  <c r="J153" i="2"/>
  <c r="K153" i="2"/>
  <c r="L153" i="2"/>
  <c r="M153" i="2"/>
  <c r="N153" i="2"/>
  <c r="O153" i="2"/>
  <c r="A154" i="2"/>
  <c r="B154" i="2"/>
  <c r="C154" i="2"/>
  <c r="D154" i="2"/>
  <c r="E154" i="2"/>
  <c r="F154" i="2"/>
  <c r="G154" i="2"/>
  <c r="H154" i="2"/>
  <c r="I154" i="2"/>
  <c r="J154" i="2"/>
  <c r="K154" i="2"/>
  <c r="L154" i="2"/>
  <c r="M154" i="2"/>
  <c r="N154" i="2"/>
  <c r="O154" i="2"/>
  <c r="A155" i="2"/>
  <c r="B155" i="2"/>
  <c r="C155" i="2"/>
  <c r="D155" i="2"/>
  <c r="E155" i="2"/>
  <c r="F155" i="2"/>
  <c r="G155" i="2"/>
  <c r="H155" i="2"/>
  <c r="I155" i="2"/>
  <c r="J155" i="2"/>
  <c r="K155" i="2"/>
  <c r="L155" i="2"/>
  <c r="M155" i="2"/>
  <c r="N155" i="2"/>
  <c r="O155" i="2"/>
  <c r="A156" i="2"/>
  <c r="B156" i="2"/>
  <c r="C156" i="2"/>
  <c r="D156" i="2"/>
  <c r="E156" i="2"/>
  <c r="F156" i="2"/>
  <c r="G156" i="2"/>
  <c r="H156" i="2"/>
  <c r="I156" i="2"/>
  <c r="J156" i="2"/>
  <c r="K156" i="2"/>
  <c r="L156" i="2"/>
  <c r="M156" i="2"/>
  <c r="N156" i="2"/>
  <c r="O156" i="2"/>
  <c r="A157" i="2"/>
  <c r="B157" i="2"/>
  <c r="C157" i="2"/>
  <c r="D157" i="2"/>
  <c r="E157" i="2"/>
  <c r="F157" i="2"/>
  <c r="G157" i="2"/>
  <c r="H157" i="2"/>
  <c r="I157" i="2"/>
  <c r="J157" i="2"/>
  <c r="K157" i="2"/>
  <c r="L157" i="2"/>
  <c r="M157" i="2"/>
  <c r="N157" i="2"/>
  <c r="O157" i="2"/>
  <c r="A158" i="2"/>
  <c r="B158" i="2"/>
  <c r="C158" i="2"/>
  <c r="D158" i="2"/>
  <c r="E158" i="2"/>
  <c r="F158" i="2"/>
  <c r="G158" i="2"/>
  <c r="H158" i="2"/>
  <c r="I158" i="2"/>
  <c r="J158" i="2"/>
  <c r="K158" i="2"/>
  <c r="L158" i="2"/>
  <c r="M158" i="2"/>
  <c r="N158" i="2"/>
  <c r="O158" i="2"/>
  <c r="A159" i="2"/>
  <c r="B159" i="2"/>
  <c r="C159" i="2"/>
  <c r="D159" i="2"/>
  <c r="E159" i="2"/>
  <c r="F159" i="2"/>
  <c r="G159" i="2"/>
  <c r="H159" i="2"/>
  <c r="I159" i="2"/>
  <c r="J159" i="2"/>
  <c r="K159" i="2"/>
  <c r="L159" i="2"/>
  <c r="M159" i="2"/>
  <c r="N159" i="2"/>
  <c r="O159" i="2"/>
  <c r="A160" i="2"/>
  <c r="B160" i="2"/>
  <c r="C160" i="2"/>
  <c r="D160" i="2"/>
  <c r="E160" i="2"/>
  <c r="F160" i="2"/>
  <c r="G160" i="2"/>
  <c r="H160" i="2"/>
  <c r="I160" i="2"/>
  <c r="J160" i="2"/>
  <c r="K160" i="2"/>
  <c r="L160" i="2"/>
  <c r="M160" i="2"/>
  <c r="N160" i="2"/>
  <c r="O160" i="2"/>
  <c r="A161" i="2"/>
  <c r="B161" i="2"/>
  <c r="C161" i="2"/>
  <c r="D161" i="2"/>
  <c r="E161" i="2"/>
  <c r="F161" i="2"/>
  <c r="G161" i="2"/>
  <c r="H161" i="2"/>
  <c r="I161" i="2"/>
  <c r="J161" i="2"/>
  <c r="K161" i="2"/>
  <c r="L161" i="2"/>
  <c r="M161" i="2"/>
  <c r="N161" i="2"/>
  <c r="O161" i="2"/>
  <c r="A162" i="2"/>
  <c r="B162" i="2"/>
  <c r="C162" i="2"/>
  <c r="D162" i="2"/>
  <c r="E162" i="2"/>
  <c r="F162" i="2"/>
  <c r="G162" i="2"/>
  <c r="H162" i="2"/>
  <c r="I162" i="2"/>
  <c r="J162" i="2"/>
  <c r="K162" i="2"/>
  <c r="L162" i="2"/>
  <c r="M162" i="2"/>
  <c r="N162" i="2"/>
  <c r="O162" i="2"/>
  <c r="A163" i="2"/>
  <c r="B163" i="2"/>
  <c r="C163" i="2"/>
  <c r="D163" i="2"/>
  <c r="E163" i="2"/>
  <c r="F163" i="2"/>
  <c r="G163" i="2"/>
  <c r="H163" i="2"/>
  <c r="I163" i="2"/>
  <c r="J163" i="2"/>
  <c r="K163" i="2"/>
  <c r="L163" i="2"/>
  <c r="M163" i="2"/>
  <c r="N163" i="2"/>
  <c r="O163" i="2"/>
  <c r="A164" i="2"/>
  <c r="B164" i="2"/>
  <c r="C164" i="2"/>
  <c r="D164" i="2"/>
  <c r="E164" i="2"/>
  <c r="F164" i="2"/>
  <c r="G164" i="2"/>
  <c r="H164" i="2"/>
  <c r="I164" i="2"/>
  <c r="J164" i="2"/>
  <c r="K164" i="2"/>
  <c r="L164" i="2"/>
  <c r="M164" i="2"/>
  <c r="N164" i="2"/>
  <c r="O164" i="2"/>
  <c r="A165" i="2"/>
  <c r="B165" i="2"/>
  <c r="C165" i="2"/>
  <c r="D165" i="2"/>
  <c r="E165" i="2"/>
  <c r="F165" i="2"/>
  <c r="G165" i="2"/>
  <c r="H165" i="2"/>
  <c r="I165" i="2"/>
  <c r="J165" i="2"/>
  <c r="K165" i="2"/>
  <c r="L165" i="2"/>
  <c r="M165" i="2"/>
  <c r="N165" i="2"/>
  <c r="O165" i="2"/>
  <c r="A166" i="2"/>
  <c r="B166" i="2"/>
  <c r="C166" i="2"/>
  <c r="D166" i="2"/>
  <c r="E166" i="2"/>
  <c r="F166" i="2"/>
  <c r="G166" i="2"/>
  <c r="H166" i="2"/>
  <c r="I166" i="2"/>
  <c r="J166" i="2"/>
  <c r="K166" i="2"/>
  <c r="L166" i="2"/>
  <c r="M166" i="2"/>
  <c r="N166" i="2"/>
  <c r="O166" i="2"/>
  <c r="A167" i="2"/>
  <c r="B167" i="2"/>
  <c r="C167" i="2"/>
  <c r="D167" i="2"/>
  <c r="E167" i="2"/>
  <c r="F167" i="2"/>
  <c r="G167" i="2"/>
  <c r="H167" i="2"/>
  <c r="I167" i="2"/>
  <c r="J167" i="2"/>
  <c r="K167" i="2"/>
  <c r="L167" i="2"/>
  <c r="M167" i="2"/>
  <c r="N167" i="2"/>
  <c r="O167" i="2"/>
  <c r="A168" i="2"/>
  <c r="B168" i="2"/>
  <c r="C168" i="2"/>
  <c r="D168" i="2"/>
  <c r="E168" i="2"/>
  <c r="F168" i="2"/>
  <c r="G168" i="2"/>
  <c r="H168" i="2"/>
  <c r="I168" i="2"/>
  <c r="J168" i="2"/>
  <c r="K168" i="2"/>
  <c r="L168" i="2"/>
  <c r="M168" i="2"/>
  <c r="N168" i="2"/>
  <c r="O168" i="2"/>
  <c r="A169" i="2"/>
  <c r="B169" i="2"/>
  <c r="C169" i="2"/>
  <c r="D169" i="2"/>
  <c r="E169" i="2"/>
  <c r="F169" i="2"/>
  <c r="G169" i="2"/>
  <c r="H169" i="2"/>
  <c r="I169" i="2"/>
  <c r="J169" i="2"/>
  <c r="K169" i="2"/>
  <c r="L169" i="2"/>
  <c r="M169" i="2"/>
  <c r="N169" i="2"/>
  <c r="O169" i="2"/>
  <c r="A170" i="2"/>
  <c r="B170" i="2"/>
  <c r="C170" i="2"/>
  <c r="D170" i="2"/>
  <c r="E170" i="2"/>
  <c r="F170" i="2"/>
  <c r="G170" i="2"/>
  <c r="H170" i="2"/>
  <c r="I170" i="2"/>
  <c r="J170" i="2"/>
  <c r="K170" i="2"/>
  <c r="L170" i="2"/>
  <c r="M170" i="2"/>
  <c r="N170" i="2"/>
  <c r="O170" i="2"/>
  <c r="A171" i="2"/>
  <c r="B171" i="2"/>
  <c r="C171" i="2"/>
  <c r="D171" i="2"/>
  <c r="E171" i="2"/>
  <c r="F171" i="2"/>
  <c r="G171" i="2"/>
  <c r="H171" i="2"/>
  <c r="I171" i="2"/>
  <c r="J171" i="2"/>
  <c r="K171" i="2"/>
  <c r="L171" i="2"/>
  <c r="M171" i="2"/>
  <c r="N171" i="2"/>
  <c r="O171" i="2"/>
  <c r="A172" i="2"/>
  <c r="B172" i="2"/>
  <c r="C172" i="2"/>
  <c r="D172" i="2"/>
  <c r="E172" i="2"/>
  <c r="F172" i="2"/>
  <c r="G172" i="2"/>
  <c r="H172" i="2"/>
  <c r="I172" i="2"/>
  <c r="J172" i="2"/>
  <c r="K172" i="2"/>
  <c r="L172" i="2"/>
  <c r="M172" i="2"/>
  <c r="N172" i="2"/>
  <c r="O172" i="2"/>
  <c r="A173" i="2"/>
  <c r="B173" i="2"/>
  <c r="C173" i="2"/>
  <c r="D173" i="2"/>
  <c r="E173" i="2"/>
  <c r="F173" i="2"/>
  <c r="G173" i="2"/>
  <c r="H173" i="2"/>
  <c r="I173" i="2"/>
  <c r="J173" i="2"/>
  <c r="K173" i="2"/>
  <c r="L173" i="2"/>
  <c r="M173" i="2"/>
  <c r="N173" i="2"/>
  <c r="O173" i="2"/>
  <c r="A174" i="2"/>
  <c r="B174" i="2"/>
  <c r="C174" i="2"/>
  <c r="D174" i="2"/>
  <c r="E174" i="2"/>
  <c r="F174" i="2"/>
  <c r="G174" i="2"/>
  <c r="H174" i="2"/>
  <c r="I174" i="2"/>
  <c r="J174" i="2"/>
  <c r="K174" i="2"/>
  <c r="L174" i="2"/>
  <c r="M174" i="2"/>
  <c r="N174" i="2"/>
  <c r="O174" i="2"/>
  <c r="A175" i="2"/>
  <c r="B175" i="2"/>
  <c r="C175" i="2"/>
  <c r="D175" i="2"/>
  <c r="E175" i="2"/>
  <c r="F175" i="2"/>
  <c r="G175" i="2"/>
  <c r="H175" i="2"/>
  <c r="I175" i="2"/>
  <c r="J175" i="2"/>
  <c r="K175" i="2"/>
  <c r="L175" i="2"/>
  <c r="M175" i="2"/>
  <c r="N175" i="2"/>
  <c r="O175" i="2"/>
  <c r="A176" i="2"/>
  <c r="B176" i="2"/>
  <c r="C176" i="2"/>
  <c r="D176" i="2"/>
  <c r="E176" i="2"/>
  <c r="F176" i="2"/>
  <c r="G176" i="2"/>
  <c r="H176" i="2"/>
  <c r="I176" i="2"/>
  <c r="J176" i="2"/>
  <c r="K176" i="2"/>
  <c r="L176" i="2"/>
  <c r="M176" i="2"/>
  <c r="N176" i="2"/>
  <c r="O176" i="2"/>
  <c r="A177" i="2"/>
  <c r="B177" i="2"/>
  <c r="C177" i="2"/>
  <c r="D177" i="2"/>
  <c r="E177" i="2"/>
  <c r="F177" i="2"/>
  <c r="G177" i="2"/>
  <c r="H177" i="2"/>
  <c r="I177" i="2"/>
  <c r="J177" i="2"/>
  <c r="K177" i="2"/>
  <c r="L177" i="2"/>
  <c r="M177" i="2"/>
  <c r="N177" i="2"/>
  <c r="O177" i="2"/>
  <c r="A178" i="2"/>
  <c r="B178" i="2"/>
  <c r="C178" i="2"/>
  <c r="D178" i="2"/>
  <c r="E178" i="2"/>
  <c r="F178" i="2"/>
  <c r="G178" i="2"/>
  <c r="H178" i="2"/>
  <c r="I178" i="2"/>
  <c r="J178" i="2"/>
  <c r="K178" i="2"/>
  <c r="L178" i="2"/>
  <c r="M178" i="2"/>
  <c r="N178" i="2"/>
  <c r="O178" i="2"/>
  <c r="A179" i="2"/>
  <c r="B179" i="2"/>
  <c r="C179" i="2"/>
  <c r="D179" i="2"/>
  <c r="E179" i="2"/>
  <c r="F179" i="2"/>
  <c r="G179" i="2"/>
  <c r="H179" i="2"/>
  <c r="I179" i="2"/>
  <c r="J179" i="2"/>
  <c r="K179" i="2"/>
  <c r="L179" i="2"/>
  <c r="M179" i="2"/>
  <c r="N179" i="2"/>
  <c r="O179" i="2"/>
  <c r="A180" i="2"/>
  <c r="B180" i="2"/>
  <c r="C180" i="2"/>
  <c r="D180" i="2"/>
  <c r="E180" i="2"/>
  <c r="F180" i="2"/>
  <c r="G180" i="2"/>
  <c r="H180" i="2"/>
  <c r="I180" i="2"/>
  <c r="J180" i="2"/>
  <c r="K180" i="2"/>
  <c r="L180" i="2"/>
  <c r="M180" i="2"/>
  <c r="N180" i="2"/>
  <c r="O180" i="2"/>
  <c r="A181" i="2"/>
  <c r="B181" i="2"/>
  <c r="C181" i="2"/>
  <c r="D181" i="2"/>
  <c r="E181" i="2"/>
  <c r="F181" i="2"/>
  <c r="G181" i="2"/>
  <c r="H181" i="2"/>
  <c r="I181" i="2"/>
  <c r="J181" i="2"/>
  <c r="K181" i="2"/>
  <c r="L181" i="2"/>
  <c r="M181" i="2"/>
  <c r="N181" i="2"/>
  <c r="O181" i="2"/>
  <c r="A182" i="2"/>
  <c r="B182" i="2"/>
  <c r="C182" i="2"/>
  <c r="D182" i="2"/>
  <c r="E182" i="2"/>
  <c r="F182" i="2"/>
  <c r="G182" i="2"/>
  <c r="H182" i="2"/>
  <c r="I182" i="2"/>
  <c r="J182" i="2"/>
  <c r="K182" i="2"/>
  <c r="L182" i="2"/>
  <c r="M182" i="2"/>
  <c r="N182" i="2"/>
  <c r="O182" i="2"/>
  <c r="A183" i="2"/>
  <c r="B183" i="2"/>
  <c r="C183" i="2"/>
  <c r="D183" i="2"/>
  <c r="E183" i="2"/>
  <c r="F183" i="2"/>
  <c r="G183" i="2"/>
  <c r="H183" i="2"/>
  <c r="I183" i="2"/>
  <c r="J183" i="2"/>
  <c r="K183" i="2"/>
  <c r="L183" i="2"/>
  <c r="M183" i="2"/>
  <c r="N183" i="2"/>
  <c r="O183" i="2"/>
  <c r="A184" i="2"/>
  <c r="B184" i="2"/>
  <c r="C184" i="2"/>
  <c r="D184" i="2"/>
  <c r="E184" i="2"/>
  <c r="F184" i="2"/>
  <c r="G184" i="2"/>
  <c r="H184" i="2"/>
  <c r="I184" i="2"/>
  <c r="J184" i="2"/>
  <c r="K184" i="2"/>
  <c r="L184" i="2"/>
  <c r="M184" i="2"/>
  <c r="N184" i="2"/>
  <c r="O184" i="2"/>
  <c r="A185" i="2"/>
  <c r="B185" i="2"/>
  <c r="C185" i="2"/>
  <c r="D185" i="2"/>
  <c r="E185" i="2"/>
  <c r="F185" i="2"/>
  <c r="G185" i="2"/>
  <c r="H185" i="2"/>
  <c r="I185" i="2"/>
  <c r="J185" i="2"/>
  <c r="K185" i="2"/>
  <c r="L185" i="2"/>
  <c r="M185" i="2"/>
  <c r="N185" i="2"/>
  <c r="O185" i="2"/>
  <c r="A186" i="2"/>
  <c r="B186" i="2"/>
  <c r="C186" i="2"/>
  <c r="D186" i="2"/>
  <c r="E186" i="2"/>
  <c r="F186" i="2"/>
  <c r="G186" i="2"/>
  <c r="H186" i="2"/>
  <c r="I186" i="2"/>
  <c r="J186" i="2"/>
  <c r="K186" i="2"/>
  <c r="L186" i="2"/>
  <c r="M186" i="2"/>
  <c r="N186" i="2"/>
  <c r="O186" i="2"/>
  <c r="A187" i="2"/>
  <c r="B187" i="2"/>
  <c r="C187" i="2"/>
  <c r="D187" i="2"/>
  <c r="E187" i="2"/>
  <c r="F187" i="2"/>
  <c r="G187" i="2"/>
  <c r="H187" i="2"/>
  <c r="I187" i="2"/>
  <c r="J187" i="2"/>
  <c r="K187" i="2"/>
  <c r="L187" i="2"/>
  <c r="M187" i="2"/>
  <c r="N187" i="2"/>
  <c r="O187" i="2"/>
  <c r="A188" i="2"/>
  <c r="B188" i="2"/>
  <c r="C188" i="2"/>
  <c r="D188" i="2"/>
  <c r="E188" i="2"/>
  <c r="F188" i="2"/>
  <c r="G188" i="2"/>
  <c r="H188" i="2"/>
  <c r="I188" i="2"/>
  <c r="J188" i="2"/>
  <c r="K188" i="2"/>
  <c r="L188" i="2"/>
  <c r="M188" i="2"/>
  <c r="N188" i="2"/>
  <c r="O188" i="2"/>
  <c r="A189" i="2"/>
  <c r="B189" i="2"/>
  <c r="C189" i="2"/>
  <c r="D189" i="2"/>
  <c r="E189" i="2"/>
  <c r="F189" i="2"/>
  <c r="G189" i="2"/>
  <c r="H189" i="2"/>
  <c r="I189" i="2"/>
  <c r="J189" i="2"/>
  <c r="K189" i="2"/>
  <c r="L189" i="2"/>
  <c r="M189" i="2"/>
  <c r="N189" i="2"/>
  <c r="O189" i="2"/>
  <c r="A190" i="2"/>
  <c r="B190" i="2"/>
  <c r="C190" i="2"/>
  <c r="D190" i="2"/>
  <c r="E190" i="2"/>
  <c r="F190" i="2"/>
  <c r="G190" i="2"/>
  <c r="H190" i="2"/>
  <c r="I190" i="2"/>
  <c r="J190" i="2"/>
  <c r="K190" i="2"/>
  <c r="L190" i="2"/>
  <c r="M190" i="2"/>
  <c r="N190" i="2"/>
  <c r="O190" i="2"/>
  <c r="A191" i="2"/>
  <c r="B191" i="2"/>
  <c r="C191" i="2"/>
  <c r="D191" i="2"/>
  <c r="E191" i="2"/>
  <c r="F191" i="2"/>
  <c r="G191" i="2"/>
  <c r="H191" i="2"/>
  <c r="I191" i="2"/>
  <c r="J191" i="2"/>
  <c r="K191" i="2"/>
  <c r="L191" i="2"/>
  <c r="M191" i="2"/>
  <c r="N191" i="2"/>
  <c r="O191" i="2"/>
  <c r="A192" i="2"/>
  <c r="B192" i="2"/>
  <c r="C192" i="2"/>
  <c r="D192" i="2"/>
  <c r="E192" i="2"/>
  <c r="F192" i="2"/>
  <c r="G192" i="2"/>
  <c r="H192" i="2"/>
  <c r="I192" i="2"/>
  <c r="J192" i="2"/>
  <c r="K192" i="2"/>
  <c r="L192" i="2"/>
  <c r="M192" i="2"/>
  <c r="N192" i="2"/>
  <c r="O192" i="2"/>
  <c r="A193" i="2"/>
  <c r="B193" i="2"/>
  <c r="C193" i="2"/>
  <c r="D193" i="2"/>
  <c r="E193" i="2"/>
  <c r="F193" i="2"/>
  <c r="G193" i="2"/>
  <c r="H193" i="2"/>
  <c r="I193" i="2"/>
  <c r="J193" i="2"/>
  <c r="K193" i="2"/>
  <c r="L193" i="2"/>
  <c r="M193" i="2"/>
  <c r="N193" i="2"/>
  <c r="O193" i="2"/>
  <c r="A194" i="2"/>
  <c r="B194" i="2"/>
  <c r="C194" i="2"/>
  <c r="D194" i="2"/>
  <c r="E194" i="2"/>
  <c r="F194" i="2"/>
  <c r="G194" i="2"/>
  <c r="H194" i="2"/>
  <c r="I194" i="2"/>
  <c r="J194" i="2"/>
  <c r="K194" i="2"/>
  <c r="L194" i="2"/>
  <c r="M194" i="2"/>
  <c r="N194" i="2"/>
  <c r="O194" i="2"/>
  <c r="A195" i="2"/>
  <c r="B195" i="2"/>
  <c r="C195" i="2"/>
  <c r="D195" i="2"/>
  <c r="E195" i="2"/>
  <c r="F195" i="2"/>
  <c r="G195" i="2"/>
  <c r="H195" i="2"/>
  <c r="I195" i="2"/>
  <c r="J195" i="2"/>
  <c r="K195" i="2"/>
  <c r="L195" i="2"/>
  <c r="M195" i="2"/>
  <c r="N195" i="2"/>
  <c r="O195" i="2"/>
  <c r="A196" i="2"/>
  <c r="B196" i="2"/>
  <c r="C196" i="2"/>
  <c r="D196" i="2"/>
  <c r="E196" i="2"/>
  <c r="F196" i="2"/>
  <c r="G196" i="2"/>
  <c r="H196" i="2"/>
  <c r="I196" i="2"/>
  <c r="J196" i="2"/>
  <c r="K196" i="2"/>
  <c r="L196" i="2"/>
  <c r="M196" i="2"/>
  <c r="N196" i="2"/>
  <c r="O196" i="2"/>
  <c r="A197" i="2"/>
  <c r="B197" i="2"/>
  <c r="C197" i="2"/>
  <c r="D197" i="2"/>
  <c r="E197" i="2"/>
  <c r="F197" i="2"/>
  <c r="G197" i="2"/>
  <c r="H197" i="2"/>
  <c r="I197" i="2"/>
  <c r="J197" i="2"/>
  <c r="K197" i="2"/>
  <c r="L197" i="2"/>
  <c r="M197" i="2"/>
  <c r="N197" i="2"/>
  <c r="O197" i="2"/>
  <c r="A198" i="2"/>
  <c r="B198" i="2"/>
  <c r="C198" i="2"/>
  <c r="D198" i="2"/>
  <c r="E198" i="2"/>
  <c r="F198" i="2"/>
  <c r="G198" i="2"/>
  <c r="H198" i="2"/>
  <c r="I198" i="2"/>
  <c r="J198" i="2"/>
  <c r="K198" i="2"/>
  <c r="L198" i="2"/>
  <c r="M198" i="2"/>
  <c r="N198" i="2"/>
  <c r="O198" i="2"/>
  <c r="A199" i="2"/>
  <c r="B199" i="2"/>
  <c r="C199" i="2"/>
  <c r="D199" i="2"/>
  <c r="E199" i="2"/>
  <c r="F199" i="2"/>
  <c r="G199" i="2"/>
  <c r="H199" i="2"/>
  <c r="I199" i="2"/>
  <c r="J199" i="2"/>
  <c r="K199" i="2"/>
  <c r="L199" i="2"/>
  <c r="M199" i="2"/>
  <c r="N199" i="2"/>
  <c r="O199" i="2"/>
  <c r="A200" i="2"/>
  <c r="B200" i="2"/>
  <c r="C200" i="2"/>
  <c r="D200" i="2"/>
  <c r="E200" i="2"/>
  <c r="F200" i="2"/>
  <c r="G200" i="2"/>
  <c r="H200" i="2"/>
  <c r="I200" i="2"/>
  <c r="J200" i="2"/>
  <c r="K200" i="2"/>
  <c r="L200" i="2"/>
  <c r="M200" i="2"/>
  <c r="N200" i="2"/>
  <c r="O200" i="2"/>
  <c r="A201" i="2"/>
  <c r="B201" i="2"/>
  <c r="C201" i="2"/>
  <c r="D201" i="2"/>
  <c r="E201" i="2"/>
  <c r="F201" i="2"/>
  <c r="G201" i="2"/>
  <c r="H201" i="2"/>
  <c r="I201" i="2"/>
  <c r="J201" i="2"/>
  <c r="K201" i="2"/>
  <c r="L201" i="2"/>
  <c r="M201" i="2"/>
  <c r="N201" i="2"/>
  <c r="O201" i="2"/>
  <c r="A202" i="2"/>
  <c r="B202" i="2"/>
  <c r="C202" i="2"/>
  <c r="D202" i="2"/>
  <c r="E202" i="2"/>
  <c r="F202" i="2"/>
  <c r="G202" i="2"/>
  <c r="H202" i="2"/>
  <c r="I202" i="2"/>
  <c r="J202" i="2"/>
  <c r="K202" i="2"/>
  <c r="L202" i="2"/>
  <c r="M202" i="2"/>
  <c r="N202" i="2"/>
  <c r="O202" i="2"/>
  <c r="A203" i="2"/>
  <c r="B203" i="2"/>
  <c r="C203" i="2"/>
  <c r="D203" i="2"/>
  <c r="E203" i="2"/>
  <c r="F203" i="2"/>
  <c r="G203" i="2"/>
  <c r="H203" i="2"/>
  <c r="I203" i="2"/>
  <c r="J203" i="2"/>
  <c r="K203" i="2"/>
  <c r="L203" i="2"/>
  <c r="M203" i="2"/>
  <c r="N203" i="2"/>
  <c r="O203" i="2"/>
  <c r="A204" i="2"/>
  <c r="B204" i="2"/>
  <c r="C204" i="2"/>
  <c r="D204" i="2"/>
  <c r="E204" i="2"/>
  <c r="F204" i="2"/>
  <c r="G204" i="2"/>
  <c r="H204" i="2"/>
  <c r="I204" i="2"/>
  <c r="J204" i="2"/>
  <c r="K204" i="2"/>
  <c r="L204" i="2"/>
  <c r="M204" i="2"/>
  <c r="N204" i="2"/>
  <c r="O204" i="2"/>
  <c r="A205" i="2"/>
  <c r="B205" i="2"/>
  <c r="C205" i="2"/>
  <c r="D205" i="2"/>
  <c r="E205" i="2"/>
  <c r="F205" i="2"/>
  <c r="G205" i="2"/>
  <c r="H205" i="2"/>
  <c r="I205" i="2"/>
  <c r="J205" i="2"/>
  <c r="K205" i="2"/>
  <c r="L205" i="2"/>
  <c r="M205" i="2"/>
  <c r="N205" i="2"/>
  <c r="O205" i="2"/>
  <c r="A206" i="2"/>
  <c r="B206" i="2"/>
  <c r="C206" i="2"/>
  <c r="D206" i="2"/>
  <c r="E206" i="2"/>
  <c r="F206" i="2"/>
  <c r="G206" i="2"/>
  <c r="H206" i="2"/>
  <c r="I206" i="2"/>
  <c r="J206" i="2"/>
  <c r="K206" i="2"/>
  <c r="L206" i="2"/>
  <c r="M206" i="2"/>
  <c r="N206" i="2"/>
  <c r="O206" i="2"/>
  <c r="A207" i="2"/>
  <c r="B207" i="2"/>
  <c r="C207" i="2"/>
  <c r="D207" i="2"/>
  <c r="E207" i="2"/>
  <c r="F207" i="2"/>
  <c r="G207" i="2"/>
  <c r="H207" i="2"/>
  <c r="I207" i="2"/>
  <c r="J207" i="2"/>
  <c r="K207" i="2"/>
  <c r="L207" i="2"/>
  <c r="M207" i="2"/>
  <c r="N207" i="2"/>
  <c r="O207" i="2"/>
  <c r="A208" i="2"/>
  <c r="B208" i="2"/>
  <c r="C208" i="2"/>
  <c r="D208" i="2"/>
  <c r="E208" i="2"/>
  <c r="F208" i="2"/>
  <c r="G208" i="2"/>
  <c r="H208" i="2"/>
  <c r="I208" i="2"/>
  <c r="J208" i="2"/>
  <c r="K208" i="2"/>
  <c r="L208" i="2"/>
  <c r="M208" i="2"/>
  <c r="N208" i="2"/>
  <c r="O208" i="2"/>
  <c r="A209" i="2"/>
  <c r="B209" i="2"/>
  <c r="C209" i="2"/>
  <c r="D209" i="2"/>
  <c r="E209" i="2"/>
  <c r="F209" i="2"/>
  <c r="G209" i="2"/>
  <c r="H209" i="2"/>
  <c r="I209" i="2"/>
  <c r="J209" i="2"/>
  <c r="K209" i="2"/>
  <c r="L209" i="2"/>
  <c r="M209" i="2"/>
  <c r="N209" i="2"/>
  <c r="O209" i="2"/>
  <c r="A210" i="2"/>
  <c r="B210" i="2"/>
  <c r="C210" i="2"/>
  <c r="D210" i="2"/>
  <c r="E210" i="2"/>
  <c r="F210" i="2"/>
  <c r="G210" i="2"/>
  <c r="H210" i="2"/>
  <c r="I210" i="2"/>
  <c r="J210" i="2"/>
  <c r="K210" i="2"/>
  <c r="L210" i="2"/>
  <c r="M210" i="2"/>
  <c r="N210" i="2"/>
  <c r="O210" i="2"/>
  <c r="A211" i="2"/>
  <c r="B211" i="2"/>
  <c r="C211" i="2"/>
  <c r="D211" i="2"/>
  <c r="E211" i="2"/>
  <c r="F211" i="2"/>
  <c r="G211" i="2"/>
  <c r="H211" i="2"/>
  <c r="I211" i="2"/>
  <c r="J211" i="2"/>
  <c r="K211" i="2"/>
  <c r="L211" i="2"/>
  <c r="M211" i="2"/>
  <c r="N211" i="2"/>
  <c r="O211" i="2"/>
  <c r="A212" i="2"/>
  <c r="B212" i="2"/>
  <c r="C212" i="2"/>
  <c r="D212" i="2"/>
  <c r="E212" i="2"/>
  <c r="F212" i="2"/>
  <c r="G212" i="2"/>
  <c r="H212" i="2"/>
  <c r="I212" i="2"/>
  <c r="J212" i="2"/>
  <c r="K212" i="2"/>
  <c r="L212" i="2"/>
  <c r="M212" i="2"/>
  <c r="N212" i="2"/>
  <c r="O212" i="2"/>
  <c r="A213" i="2"/>
  <c r="B213" i="2"/>
  <c r="C213" i="2"/>
  <c r="D213" i="2"/>
  <c r="E213" i="2"/>
  <c r="F213" i="2"/>
  <c r="G213" i="2"/>
  <c r="H213" i="2"/>
  <c r="I213" i="2"/>
  <c r="J213" i="2"/>
  <c r="K213" i="2"/>
  <c r="L213" i="2"/>
  <c r="M213" i="2"/>
  <c r="N213" i="2"/>
  <c r="O213" i="2"/>
  <c r="A214" i="2"/>
  <c r="B214" i="2"/>
  <c r="C214" i="2"/>
  <c r="D214" i="2"/>
  <c r="E214" i="2"/>
  <c r="F214" i="2"/>
  <c r="G214" i="2"/>
  <c r="H214" i="2"/>
  <c r="I214" i="2"/>
  <c r="J214" i="2"/>
  <c r="K214" i="2"/>
  <c r="L214" i="2"/>
  <c r="M214" i="2"/>
  <c r="N214" i="2"/>
  <c r="O214" i="2"/>
  <c r="A215" i="2"/>
  <c r="B215" i="2"/>
  <c r="C215" i="2"/>
  <c r="D215" i="2"/>
  <c r="E215" i="2"/>
  <c r="F215" i="2"/>
  <c r="G215" i="2"/>
  <c r="H215" i="2"/>
  <c r="I215" i="2"/>
  <c r="J215" i="2"/>
  <c r="K215" i="2"/>
  <c r="L215" i="2"/>
  <c r="M215" i="2"/>
  <c r="N215" i="2"/>
  <c r="O215" i="2"/>
  <c r="A216" i="2"/>
  <c r="B216" i="2"/>
  <c r="C216" i="2"/>
  <c r="D216" i="2"/>
  <c r="E216" i="2"/>
  <c r="F216" i="2"/>
  <c r="G216" i="2"/>
  <c r="H216" i="2"/>
  <c r="I216" i="2"/>
  <c r="J216" i="2"/>
  <c r="K216" i="2"/>
  <c r="L216" i="2"/>
  <c r="M216" i="2"/>
  <c r="N216" i="2"/>
  <c r="O216" i="2"/>
  <c r="A217" i="2"/>
  <c r="B217" i="2"/>
  <c r="C217" i="2"/>
  <c r="D217" i="2"/>
  <c r="E217" i="2"/>
  <c r="F217" i="2"/>
  <c r="G217" i="2"/>
  <c r="H217" i="2"/>
  <c r="I217" i="2"/>
  <c r="J217" i="2"/>
  <c r="K217" i="2"/>
  <c r="L217" i="2"/>
  <c r="M217" i="2"/>
  <c r="N217" i="2"/>
  <c r="O217" i="2"/>
  <c r="A218" i="2"/>
  <c r="B218" i="2"/>
  <c r="C218" i="2"/>
  <c r="D218" i="2"/>
  <c r="E218" i="2"/>
  <c r="F218" i="2"/>
  <c r="G218" i="2"/>
  <c r="H218" i="2"/>
  <c r="I218" i="2"/>
  <c r="J218" i="2"/>
  <c r="K218" i="2"/>
  <c r="L218" i="2"/>
  <c r="M218" i="2"/>
  <c r="N218" i="2"/>
  <c r="O218" i="2"/>
  <c r="A219" i="2"/>
  <c r="B219" i="2"/>
  <c r="C219" i="2"/>
  <c r="D219" i="2"/>
  <c r="E219" i="2"/>
  <c r="F219" i="2"/>
  <c r="G219" i="2"/>
  <c r="H219" i="2"/>
  <c r="I219" i="2"/>
  <c r="J219" i="2"/>
  <c r="K219" i="2"/>
  <c r="L219" i="2"/>
  <c r="M219" i="2"/>
  <c r="N219" i="2"/>
  <c r="O219" i="2"/>
  <c r="A220" i="2"/>
  <c r="B220" i="2"/>
  <c r="C220" i="2"/>
  <c r="D220" i="2"/>
  <c r="E220" i="2"/>
  <c r="F220" i="2"/>
  <c r="G220" i="2"/>
  <c r="H220" i="2"/>
  <c r="I220" i="2"/>
  <c r="J220" i="2"/>
  <c r="K220" i="2"/>
  <c r="L220" i="2"/>
  <c r="M220" i="2"/>
  <c r="N220" i="2"/>
  <c r="O220" i="2"/>
  <c r="A221" i="2"/>
  <c r="B221" i="2"/>
  <c r="C221" i="2"/>
  <c r="D221" i="2"/>
  <c r="E221" i="2"/>
  <c r="F221" i="2"/>
  <c r="G221" i="2"/>
  <c r="H221" i="2"/>
  <c r="I221" i="2"/>
  <c r="J221" i="2"/>
  <c r="K221" i="2"/>
  <c r="L221" i="2"/>
  <c r="M221" i="2"/>
  <c r="N221" i="2"/>
  <c r="O221" i="2"/>
  <c r="A222" i="2"/>
  <c r="B222" i="2"/>
  <c r="C222" i="2"/>
  <c r="D222" i="2"/>
  <c r="E222" i="2"/>
  <c r="F222" i="2"/>
  <c r="G222" i="2"/>
  <c r="H222" i="2"/>
  <c r="I222" i="2"/>
  <c r="J222" i="2"/>
  <c r="K222" i="2"/>
  <c r="L222" i="2"/>
  <c r="M222" i="2"/>
  <c r="N222" i="2"/>
  <c r="O222" i="2"/>
  <c r="A223" i="2"/>
  <c r="B223" i="2"/>
  <c r="C223" i="2"/>
  <c r="D223" i="2"/>
  <c r="E223" i="2"/>
  <c r="F223" i="2"/>
  <c r="G223" i="2"/>
  <c r="H223" i="2"/>
  <c r="I223" i="2"/>
  <c r="J223" i="2"/>
  <c r="K223" i="2"/>
  <c r="L223" i="2"/>
  <c r="M223" i="2"/>
  <c r="N223" i="2"/>
  <c r="O223" i="2"/>
  <c r="A224" i="2"/>
  <c r="B224" i="2"/>
  <c r="C224" i="2"/>
  <c r="D224" i="2"/>
  <c r="E224" i="2"/>
  <c r="F224" i="2"/>
  <c r="G224" i="2"/>
  <c r="H224" i="2"/>
  <c r="I224" i="2"/>
  <c r="J224" i="2"/>
  <c r="K224" i="2"/>
  <c r="L224" i="2"/>
  <c r="M224" i="2"/>
  <c r="N224" i="2"/>
  <c r="O224" i="2"/>
  <c r="A225" i="2"/>
  <c r="B225" i="2"/>
  <c r="C225" i="2"/>
  <c r="D225" i="2"/>
  <c r="E225" i="2"/>
  <c r="F225" i="2"/>
  <c r="G225" i="2"/>
  <c r="H225" i="2"/>
  <c r="I225" i="2"/>
  <c r="J225" i="2"/>
  <c r="K225" i="2"/>
  <c r="L225" i="2"/>
  <c r="M225" i="2"/>
  <c r="N225" i="2"/>
  <c r="O225" i="2"/>
  <c r="A226" i="2"/>
  <c r="B226" i="2"/>
  <c r="C226" i="2"/>
  <c r="D226" i="2"/>
  <c r="E226" i="2"/>
  <c r="F226" i="2"/>
  <c r="G226" i="2"/>
  <c r="H226" i="2"/>
  <c r="I226" i="2"/>
  <c r="J226" i="2"/>
  <c r="K226" i="2"/>
  <c r="L226" i="2"/>
  <c r="M226" i="2"/>
  <c r="N226" i="2"/>
  <c r="O226" i="2"/>
  <c r="A227" i="2"/>
  <c r="B227" i="2"/>
  <c r="C227" i="2"/>
  <c r="D227" i="2"/>
  <c r="E227" i="2"/>
  <c r="F227" i="2"/>
  <c r="G227" i="2"/>
  <c r="H227" i="2"/>
  <c r="I227" i="2"/>
  <c r="J227" i="2"/>
  <c r="K227" i="2"/>
  <c r="L227" i="2"/>
  <c r="M227" i="2"/>
  <c r="N227" i="2"/>
  <c r="O227" i="2"/>
  <c r="A228" i="2"/>
  <c r="B228" i="2"/>
  <c r="C228" i="2"/>
  <c r="D228" i="2"/>
  <c r="E228" i="2"/>
  <c r="F228" i="2"/>
  <c r="G228" i="2"/>
  <c r="H228" i="2"/>
  <c r="I228" i="2"/>
  <c r="J228" i="2"/>
  <c r="K228" i="2"/>
  <c r="L228" i="2"/>
  <c r="M228" i="2"/>
  <c r="N228" i="2"/>
  <c r="O228" i="2"/>
  <c r="A229" i="2"/>
  <c r="B229" i="2"/>
  <c r="C229" i="2"/>
  <c r="D229" i="2"/>
  <c r="E229" i="2"/>
  <c r="F229" i="2"/>
  <c r="G229" i="2"/>
  <c r="H229" i="2"/>
  <c r="I229" i="2"/>
  <c r="J229" i="2"/>
  <c r="K229" i="2"/>
  <c r="L229" i="2"/>
  <c r="M229" i="2"/>
  <c r="N229" i="2"/>
  <c r="O229" i="2"/>
  <c r="A230" i="2"/>
  <c r="B230" i="2"/>
  <c r="C230" i="2"/>
  <c r="D230" i="2"/>
  <c r="E230" i="2"/>
  <c r="F230" i="2"/>
  <c r="G230" i="2"/>
  <c r="H230" i="2"/>
  <c r="I230" i="2"/>
  <c r="J230" i="2"/>
  <c r="K230" i="2"/>
  <c r="L230" i="2"/>
  <c r="M230" i="2"/>
  <c r="N230" i="2"/>
  <c r="O230" i="2"/>
  <c r="A231" i="2"/>
  <c r="B231" i="2"/>
  <c r="C231" i="2"/>
  <c r="D231" i="2"/>
  <c r="E231" i="2"/>
  <c r="F231" i="2"/>
  <c r="G231" i="2"/>
  <c r="H231" i="2"/>
  <c r="I231" i="2"/>
  <c r="J231" i="2"/>
  <c r="K231" i="2"/>
  <c r="L231" i="2"/>
  <c r="M231" i="2"/>
  <c r="N231" i="2"/>
  <c r="O231" i="2"/>
  <c r="A232" i="2"/>
  <c r="B232" i="2"/>
  <c r="C232" i="2"/>
  <c r="D232" i="2"/>
  <c r="E232" i="2"/>
  <c r="F232" i="2"/>
  <c r="G232" i="2"/>
  <c r="H232" i="2"/>
  <c r="I232" i="2"/>
  <c r="J232" i="2"/>
  <c r="K232" i="2"/>
  <c r="L232" i="2"/>
  <c r="M232" i="2"/>
  <c r="N232" i="2"/>
  <c r="O232" i="2"/>
  <c r="A233" i="2"/>
  <c r="B233" i="2"/>
  <c r="C233" i="2"/>
  <c r="D233" i="2"/>
  <c r="E233" i="2"/>
  <c r="F233" i="2"/>
  <c r="G233" i="2"/>
  <c r="H233" i="2"/>
  <c r="I233" i="2"/>
  <c r="J233" i="2"/>
  <c r="K233" i="2"/>
  <c r="L233" i="2"/>
  <c r="M233" i="2"/>
  <c r="N233" i="2"/>
  <c r="O233" i="2"/>
  <c r="A234" i="2"/>
  <c r="B234" i="2"/>
  <c r="C234" i="2"/>
  <c r="D234" i="2"/>
  <c r="E234" i="2"/>
  <c r="F234" i="2"/>
  <c r="G234" i="2"/>
  <c r="H234" i="2"/>
  <c r="I234" i="2"/>
  <c r="J234" i="2"/>
  <c r="K234" i="2"/>
  <c r="L234" i="2"/>
  <c r="M234" i="2"/>
  <c r="N234" i="2"/>
  <c r="O234" i="2"/>
  <c r="A235" i="2"/>
  <c r="B235" i="2"/>
  <c r="C235" i="2"/>
  <c r="D235" i="2"/>
  <c r="E235" i="2"/>
  <c r="F235" i="2"/>
  <c r="G235" i="2"/>
  <c r="H235" i="2"/>
  <c r="I235" i="2"/>
  <c r="J235" i="2"/>
  <c r="K235" i="2"/>
  <c r="L235" i="2"/>
  <c r="M235" i="2"/>
  <c r="N235" i="2"/>
  <c r="O235" i="2"/>
  <c r="A236" i="2"/>
  <c r="B236" i="2"/>
  <c r="C236" i="2"/>
  <c r="D236" i="2"/>
  <c r="E236" i="2"/>
  <c r="F236" i="2"/>
  <c r="G236" i="2"/>
  <c r="H236" i="2"/>
  <c r="I236" i="2"/>
  <c r="J236" i="2"/>
  <c r="K236" i="2"/>
  <c r="L236" i="2"/>
  <c r="M236" i="2"/>
  <c r="N236" i="2"/>
  <c r="O236" i="2"/>
  <c r="A237" i="2"/>
  <c r="B237" i="2"/>
  <c r="C237" i="2"/>
  <c r="D237" i="2"/>
  <c r="E237" i="2"/>
  <c r="F237" i="2"/>
  <c r="G237" i="2"/>
  <c r="H237" i="2"/>
  <c r="I237" i="2"/>
  <c r="J237" i="2"/>
  <c r="K237" i="2"/>
  <c r="L237" i="2"/>
  <c r="M237" i="2"/>
  <c r="N237" i="2"/>
  <c r="O237" i="2"/>
  <c r="A238" i="2"/>
  <c r="B238" i="2"/>
  <c r="C238" i="2"/>
  <c r="D238" i="2"/>
  <c r="E238" i="2"/>
  <c r="F238" i="2"/>
  <c r="G238" i="2"/>
  <c r="H238" i="2"/>
  <c r="I238" i="2"/>
  <c r="J238" i="2"/>
  <c r="K238" i="2"/>
  <c r="L238" i="2"/>
  <c r="M238" i="2"/>
  <c r="N238" i="2"/>
  <c r="O238" i="2"/>
  <c r="A239" i="2"/>
  <c r="B239" i="2"/>
  <c r="C239" i="2"/>
  <c r="D239" i="2"/>
  <c r="E239" i="2"/>
  <c r="F239" i="2"/>
  <c r="G239" i="2"/>
  <c r="H239" i="2"/>
  <c r="I239" i="2"/>
  <c r="J239" i="2"/>
  <c r="K239" i="2"/>
  <c r="L239" i="2"/>
  <c r="M239" i="2"/>
  <c r="N239" i="2"/>
  <c r="O239" i="2"/>
  <c r="A240" i="2"/>
  <c r="B240" i="2"/>
  <c r="C240" i="2"/>
  <c r="D240" i="2"/>
  <c r="E240" i="2"/>
  <c r="F240" i="2"/>
  <c r="G240" i="2"/>
  <c r="H240" i="2"/>
  <c r="I240" i="2"/>
  <c r="J240" i="2"/>
  <c r="K240" i="2"/>
  <c r="L240" i="2"/>
  <c r="M240" i="2"/>
  <c r="N240" i="2"/>
  <c r="O240" i="2"/>
  <c r="A241" i="2"/>
  <c r="B241" i="2"/>
  <c r="C241" i="2"/>
  <c r="D241" i="2"/>
  <c r="E241" i="2"/>
  <c r="F241" i="2"/>
  <c r="G241" i="2"/>
  <c r="H241" i="2"/>
  <c r="I241" i="2"/>
  <c r="J241" i="2"/>
  <c r="K241" i="2"/>
  <c r="L241" i="2"/>
  <c r="M241" i="2"/>
  <c r="N241" i="2"/>
  <c r="O241" i="2"/>
  <c r="A242" i="2"/>
  <c r="B242" i="2"/>
  <c r="C242" i="2"/>
  <c r="D242" i="2"/>
  <c r="E242" i="2"/>
  <c r="F242" i="2"/>
  <c r="G242" i="2"/>
  <c r="H242" i="2"/>
  <c r="I242" i="2"/>
  <c r="J242" i="2"/>
  <c r="K242" i="2"/>
  <c r="L242" i="2"/>
  <c r="M242" i="2"/>
  <c r="N242" i="2"/>
  <c r="O242" i="2"/>
  <c r="A243" i="2"/>
  <c r="B243" i="2"/>
  <c r="C243" i="2"/>
  <c r="D243" i="2"/>
  <c r="E243" i="2"/>
  <c r="F243" i="2"/>
  <c r="G243" i="2"/>
  <c r="H243" i="2"/>
  <c r="I243" i="2"/>
  <c r="J243" i="2"/>
  <c r="K243" i="2"/>
  <c r="L243" i="2"/>
  <c r="M243" i="2"/>
  <c r="N243" i="2"/>
  <c r="O243" i="2"/>
  <c r="A244" i="2"/>
  <c r="B244" i="2"/>
  <c r="C244" i="2"/>
  <c r="D244" i="2"/>
  <c r="E244" i="2"/>
  <c r="F244" i="2"/>
  <c r="G244" i="2"/>
  <c r="H244" i="2"/>
  <c r="I244" i="2"/>
  <c r="J244" i="2"/>
  <c r="K244" i="2"/>
  <c r="L244" i="2"/>
  <c r="M244" i="2"/>
  <c r="N244" i="2"/>
  <c r="O244" i="2"/>
  <c r="A245" i="2"/>
  <c r="B245" i="2"/>
  <c r="C245" i="2"/>
  <c r="D245" i="2"/>
  <c r="E245" i="2"/>
  <c r="F245" i="2"/>
  <c r="G245" i="2"/>
  <c r="H245" i="2"/>
  <c r="I245" i="2"/>
  <c r="J245" i="2"/>
  <c r="K245" i="2"/>
  <c r="L245" i="2"/>
  <c r="M245" i="2"/>
  <c r="N245" i="2"/>
  <c r="O245" i="2"/>
  <c r="A246" i="2"/>
  <c r="B246" i="2"/>
  <c r="C246" i="2"/>
  <c r="D246" i="2"/>
  <c r="E246" i="2"/>
  <c r="F246" i="2"/>
  <c r="G246" i="2"/>
  <c r="H246" i="2"/>
  <c r="I246" i="2"/>
  <c r="J246" i="2"/>
  <c r="K246" i="2"/>
  <c r="L246" i="2"/>
  <c r="M246" i="2"/>
  <c r="N246" i="2"/>
  <c r="O246" i="2"/>
  <c r="A247" i="2"/>
  <c r="B247" i="2"/>
  <c r="C247" i="2"/>
  <c r="D247" i="2"/>
  <c r="E247" i="2"/>
  <c r="F247" i="2"/>
  <c r="G247" i="2"/>
  <c r="H247" i="2"/>
  <c r="I247" i="2"/>
  <c r="J247" i="2"/>
  <c r="K247" i="2"/>
  <c r="L247" i="2"/>
  <c r="M247" i="2"/>
  <c r="N247" i="2"/>
  <c r="O247" i="2"/>
  <c r="A248" i="2"/>
  <c r="B248" i="2"/>
  <c r="C248" i="2"/>
  <c r="D248" i="2"/>
  <c r="E248" i="2"/>
  <c r="F248" i="2"/>
  <c r="G248" i="2"/>
  <c r="H248" i="2"/>
  <c r="I248" i="2"/>
  <c r="J248" i="2"/>
  <c r="K248" i="2"/>
  <c r="L248" i="2"/>
  <c r="M248" i="2"/>
  <c r="N248" i="2"/>
  <c r="O248" i="2"/>
  <c r="A249" i="2"/>
  <c r="B249" i="2"/>
  <c r="C249" i="2"/>
  <c r="D249" i="2"/>
  <c r="E249" i="2"/>
  <c r="F249" i="2"/>
  <c r="G249" i="2"/>
  <c r="H249" i="2"/>
  <c r="I249" i="2"/>
  <c r="J249" i="2"/>
  <c r="K249" i="2"/>
  <c r="L249" i="2"/>
  <c r="M249" i="2"/>
  <c r="N249" i="2"/>
  <c r="O249" i="2"/>
  <c r="A250" i="2"/>
  <c r="B250" i="2"/>
  <c r="C250" i="2"/>
  <c r="D250" i="2"/>
  <c r="E250" i="2"/>
  <c r="F250" i="2"/>
  <c r="G250" i="2"/>
  <c r="H250" i="2"/>
  <c r="I250" i="2"/>
  <c r="J250" i="2"/>
  <c r="K250" i="2"/>
  <c r="L250" i="2"/>
  <c r="M250" i="2"/>
  <c r="N250" i="2"/>
  <c r="O250" i="2"/>
  <c r="A251" i="2"/>
  <c r="B251" i="2"/>
  <c r="C251" i="2"/>
  <c r="D251" i="2"/>
  <c r="E251" i="2"/>
  <c r="F251" i="2"/>
  <c r="G251" i="2"/>
  <c r="H251" i="2"/>
  <c r="I251" i="2"/>
  <c r="J251" i="2"/>
  <c r="K251" i="2"/>
  <c r="L251" i="2"/>
  <c r="M251" i="2"/>
  <c r="N251" i="2"/>
  <c r="O251" i="2"/>
  <c r="A252" i="2"/>
  <c r="B252" i="2"/>
  <c r="C252" i="2"/>
  <c r="D252" i="2"/>
  <c r="E252" i="2"/>
  <c r="F252" i="2"/>
  <c r="G252" i="2"/>
  <c r="H252" i="2"/>
  <c r="I252" i="2"/>
  <c r="J252" i="2"/>
  <c r="K252" i="2"/>
  <c r="L252" i="2"/>
  <c r="M252" i="2"/>
  <c r="N252" i="2"/>
  <c r="O252" i="2"/>
  <c r="A253" i="2"/>
  <c r="B253" i="2"/>
  <c r="C253" i="2"/>
  <c r="D253" i="2"/>
  <c r="E253" i="2"/>
  <c r="F253" i="2"/>
  <c r="G253" i="2"/>
  <c r="H253" i="2"/>
  <c r="I253" i="2"/>
  <c r="J253" i="2"/>
  <c r="K253" i="2"/>
  <c r="L253" i="2"/>
  <c r="M253" i="2"/>
  <c r="N253" i="2"/>
  <c r="O253" i="2"/>
  <c r="A254" i="2"/>
  <c r="B254" i="2"/>
  <c r="C254" i="2"/>
  <c r="D254" i="2"/>
  <c r="E254" i="2"/>
  <c r="F254" i="2"/>
  <c r="G254" i="2"/>
  <c r="H254" i="2"/>
  <c r="I254" i="2"/>
  <c r="J254" i="2"/>
  <c r="K254" i="2"/>
  <c r="L254" i="2"/>
  <c r="M254" i="2"/>
  <c r="N254" i="2"/>
  <c r="O254" i="2"/>
  <c r="A255" i="2"/>
  <c r="B255" i="2"/>
  <c r="C255" i="2"/>
  <c r="D255" i="2"/>
  <c r="E255" i="2"/>
  <c r="F255" i="2"/>
  <c r="G255" i="2"/>
  <c r="H255" i="2"/>
  <c r="I255" i="2"/>
  <c r="J255" i="2"/>
  <c r="K255" i="2"/>
  <c r="L255" i="2"/>
  <c r="M255" i="2"/>
  <c r="N255" i="2"/>
  <c r="O255" i="2"/>
  <c r="A256" i="2"/>
  <c r="B256" i="2"/>
  <c r="C256" i="2"/>
  <c r="D256" i="2"/>
  <c r="E256" i="2"/>
  <c r="F256" i="2"/>
  <c r="G256" i="2"/>
  <c r="H256" i="2"/>
  <c r="I256" i="2"/>
  <c r="J256" i="2"/>
  <c r="K256" i="2"/>
  <c r="L256" i="2"/>
  <c r="M256" i="2"/>
  <c r="N256" i="2"/>
  <c r="O256" i="2"/>
  <c r="A257" i="2"/>
  <c r="B257" i="2"/>
  <c r="C257" i="2"/>
  <c r="D257" i="2"/>
  <c r="E257" i="2"/>
  <c r="F257" i="2"/>
  <c r="G257" i="2"/>
  <c r="H257" i="2"/>
  <c r="I257" i="2"/>
  <c r="J257" i="2"/>
  <c r="K257" i="2"/>
  <c r="L257" i="2"/>
  <c r="M257" i="2"/>
  <c r="N257" i="2"/>
  <c r="O257" i="2"/>
  <c r="A258" i="2"/>
  <c r="B258" i="2"/>
  <c r="C258" i="2"/>
  <c r="D258" i="2"/>
  <c r="E258" i="2"/>
  <c r="F258" i="2"/>
  <c r="G258" i="2"/>
  <c r="H258" i="2"/>
  <c r="I258" i="2"/>
  <c r="J258" i="2"/>
  <c r="K258" i="2"/>
  <c r="L258" i="2"/>
  <c r="M258" i="2"/>
  <c r="N258" i="2"/>
  <c r="O258" i="2"/>
  <c r="A259" i="2"/>
  <c r="B259" i="2"/>
  <c r="C259" i="2"/>
  <c r="D259" i="2"/>
  <c r="E259" i="2"/>
  <c r="F259" i="2"/>
  <c r="G259" i="2"/>
  <c r="H259" i="2"/>
  <c r="I259" i="2"/>
  <c r="J259" i="2"/>
  <c r="K259" i="2"/>
  <c r="L259" i="2"/>
  <c r="M259" i="2"/>
  <c r="N259" i="2"/>
  <c r="O259" i="2"/>
  <c r="A260" i="2"/>
  <c r="B260" i="2"/>
  <c r="C260" i="2"/>
  <c r="D260" i="2"/>
  <c r="E260" i="2"/>
  <c r="F260" i="2"/>
  <c r="G260" i="2"/>
  <c r="H260" i="2"/>
  <c r="I260" i="2"/>
  <c r="J260" i="2"/>
  <c r="K260" i="2"/>
  <c r="L260" i="2"/>
  <c r="M260" i="2"/>
  <c r="N260" i="2"/>
  <c r="O260" i="2"/>
  <c r="A261" i="2"/>
  <c r="B261" i="2"/>
  <c r="C261" i="2"/>
  <c r="D261" i="2"/>
  <c r="E261" i="2"/>
  <c r="F261" i="2"/>
  <c r="G261" i="2"/>
  <c r="H261" i="2"/>
  <c r="I261" i="2"/>
  <c r="J261" i="2"/>
  <c r="K261" i="2"/>
  <c r="L261" i="2"/>
  <c r="M261" i="2"/>
  <c r="N261" i="2"/>
  <c r="O261" i="2"/>
  <c r="A262" i="2"/>
  <c r="B262" i="2"/>
  <c r="C262" i="2"/>
  <c r="D262" i="2"/>
  <c r="E262" i="2"/>
  <c r="F262" i="2"/>
  <c r="G262" i="2"/>
  <c r="H262" i="2"/>
  <c r="I262" i="2"/>
  <c r="J262" i="2"/>
  <c r="K262" i="2"/>
  <c r="L262" i="2"/>
  <c r="M262" i="2"/>
  <c r="N262" i="2"/>
  <c r="O262" i="2"/>
  <c r="A263" i="2"/>
  <c r="B263" i="2"/>
  <c r="C263" i="2"/>
  <c r="D263" i="2"/>
  <c r="E263" i="2"/>
  <c r="F263" i="2"/>
  <c r="G263" i="2"/>
  <c r="H263" i="2"/>
  <c r="I263" i="2"/>
  <c r="J263" i="2"/>
  <c r="K263" i="2"/>
  <c r="L263" i="2"/>
  <c r="M263" i="2"/>
  <c r="N263" i="2"/>
  <c r="O263" i="2"/>
  <c r="A264" i="2"/>
  <c r="B264" i="2"/>
  <c r="C264" i="2"/>
  <c r="D264" i="2"/>
  <c r="E264" i="2"/>
  <c r="F264" i="2"/>
  <c r="G264" i="2"/>
  <c r="H264" i="2"/>
  <c r="I264" i="2"/>
  <c r="J264" i="2"/>
  <c r="K264" i="2"/>
  <c r="L264" i="2"/>
  <c r="M264" i="2"/>
  <c r="N264" i="2"/>
  <c r="O264" i="2"/>
  <c r="A265" i="2"/>
  <c r="B265" i="2"/>
  <c r="C265" i="2"/>
  <c r="D265" i="2"/>
  <c r="E265" i="2"/>
  <c r="F265" i="2"/>
  <c r="G265" i="2"/>
  <c r="H265" i="2"/>
  <c r="I265" i="2"/>
  <c r="J265" i="2"/>
  <c r="K265" i="2"/>
  <c r="L265" i="2"/>
  <c r="M265" i="2"/>
  <c r="N265" i="2"/>
  <c r="O265" i="2"/>
  <c r="A266" i="2"/>
  <c r="B266" i="2"/>
  <c r="C266" i="2"/>
  <c r="D266" i="2"/>
  <c r="E266" i="2"/>
  <c r="F266" i="2"/>
  <c r="G266" i="2"/>
  <c r="H266" i="2"/>
  <c r="I266" i="2"/>
  <c r="J266" i="2"/>
  <c r="K266" i="2"/>
  <c r="L266" i="2"/>
  <c r="M266" i="2"/>
  <c r="N266" i="2"/>
  <c r="O266" i="2"/>
  <c r="A267" i="2"/>
  <c r="B267" i="2"/>
  <c r="C267" i="2"/>
  <c r="D267" i="2"/>
  <c r="E267" i="2"/>
  <c r="F267" i="2"/>
  <c r="G267" i="2"/>
  <c r="H267" i="2"/>
  <c r="I267" i="2"/>
  <c r="J267" i="2"/>
  <c r="K267" i="2"/>
  <c r="L267" i="2"/>
  <c r="M267" i="2"/>
  <c r="N267" i="2"/>
  <c r="O267" i="2"/>
  <c r="A268" i="2"/>
  <c r="B268" i="2"/>
  <c r="C268" i="2"/>
  <c r="D268" i="2"/>
  <c r="E268" i="2"/>
  <c r="F268" i="2"/>
  <c r="G268" i="2"/>
  <c r="H268" i="2"/>
  <c r="I268" i="2"/>
  <c r="J268" i="2"/>
  <c r="K268" i="2"/>
  <c r="L268" i="2"/>
  <c r="M268" i="2"/>
  <c r="N268" i="2"/>
  <c r="O268" i="2"/>
  <c r="A269" i="2"/>
  <c r="B269" i="2"/>
  <c r="C269" i="2"/>
  <c r="D269" i="2"/>
  <c r="E269" i="2"/>
  <c r="F269" i="2"/>
  <c r="G269" i="2"/>
  <c r="H269" i="2"/>
  <c r="I269" i="2"/>
  <c r="J269" i="2"/>
  <c r="K269" i="2"/>
  <c r="L269" i="2"/>
  <c r="M269" i="2"/>
  <c r="N269" i="2"/>
  <c r="O269" i="2"/>
  <c r="A270" i="2"/>
  <c r="B270" i="2"/>
  <c r="C270" i="2"/>
  <c r="D270" i="2"/>
  <c r="E270" i="2"/>
  <c r="F270" i="2"/>
  <c r="G270" i="2"/>
  <c r="H270" i="2"/>
  <c r="I270" i="2"/>
  <c r="J270" i="2"/>
  <c r="K270" i="2"/>
  <c r="L270" i="2"/>
  <c r="M270" i="2"/>
  <c r="N270" i="2"/>
  <c r="O270" i="2"/>
  <c r="A271" i="2"/>
  <c r="B271" i="2"/>
  <c r="C271" i="2"/>
  <c r="D271" i="2"/>
  <c r="E271" i="2"/>
  <c r="F271" i="2"/>
  <c r="G271" i="2"/>
  <c r="H271" i="2"/>
  <c r="I271" i="2"/>
  <c r="J271" i="2"/>
  <c r="K271" i="2"/>
  <c r="L271" i="2"/>
  <c r="M271" i="2"/>
  <c r="N271" i="2"/>
  <c r="O271" i="2"/>
  <c r="A272" i="2"/>
  <c r="B272" i="2"/>
  <c r="C272" i="2"/>
  <c r="D272" i="2"/>
  <c r="E272" i="2"/>
  <c r="F272" i="2"/>
  <c r="G272" i="2"/>
  <c r="H272" i="2"/>
  <c r="I272" i="2"/>
  <c r="J272" i="2"/>
  <c r="K272" i="2"/>
  <c r="L272" i="2"/>
  <c r="M272" i="2"/>
  <c r="N272" i="2"/>
  <c r="O272" i="2"/>
  <c r="A273" i="2"/>
  <c r="B273" i="2"/>
  <c r="C273" i="2"/>
  <c r="D273" i="2"/>
  <c r="E273" i="2"/>
  <c r="F273" i="2"/>
  <c r="G273" i="2"/>
  <c r="H273" i="2"/>
  <c r="I273" i="2"/>
  <c r="J273" i="2"/>
  <c r="K273" i="2"/>
  <c r="L273" i="2"/>
  <c r="M273" i="2"/>
  <c r="N273" i="2"/>
  <c r="O273" i="2"/>
  <c r="A274" i="2"/>
  <c r="B274" i="2"/>
  <c r="C274" i="2"/>
  <c r="D274" i="2"/>
  <c r="E274" i="2"/>
  <c r="F274" i="2"/>
  <c r="G274" i="2"/>
  <c r="H274" i="2"/>
  <c r="I274" i="2"/>
  <c r="J274" i="2"/>
  <c r="K274" i="2"/>
  <c r="L274" i="2"/>
  <c r="M274" i="2"/>
  <c r="N274" i="2"/>
  <c r="O274" i="2"/>
  <c r="A275" i="2"/>
  <c r="B275" i="2"/>
  <c r="C275" i="2"/>
  <c r="D275" i="2"/>
  <c r="E275" i="2"/>
  <c r="F275" i="2"/>
  <c r="G275" i="2"/>
  <c r="H275" i="2"/>
  <c r="I275" i="2"/>
  <c r="J275" i="2"/>
  <c r="K275" i="2"/>
  <c r="L275" i="2"/>
  <c r="M275" i="2"/>
  <c r="N275" i="2"/>
  <c r="O275" i="2"/>
  <c r="A276" i="2"/>
  <c r="B276" i="2"/>
  <c r="C276" i="2"/>
  <c r="D276" i="2"/>
  <c r="E276" i="2"/>
  <c r="F276" i="2"/>
  <c r="G276" i="2"/>
  <c r="H276" i="2"/>
  <c r="I276" i="2"/>
  <c r="J276" i="2"/>
  <c r="K276" i="2"/>
  <c r="L276" i="2"/>
  <c r="M276" i="2"/>
  <c r="N276" i="2"/>
  <c r="O276" i="2"/>
  <c r="A277" i="2"/>
  <c r="B277" i="2"/>
  <c r="C277" i="2"/>
  <c r="D277" i="2"/>
  <c r="E277" i="2"/>
  <c r="F277" i="2"/>
  <c r="G277" i="2"/>
  <c r="H277" i="2"/>
  <c r="I277" i="2"/>
  <c r="J277" i="2"/>
  <c r="K277" i="2"/>
  <c r="L277" i="2"/>
  <c r="M277" i="2"/>
  <c r="N277" i="2"/>
  <c r="O277" i="2"/>
  <c r="A278" i="2"/>
  <c r="B278" i="2"/>
  <c r="C278" i="2"/>
  <c r="D278" i="2"/>
  <c r="E278" i="2"/>
  <c r="F278" i="2"/>
  <c r="G278" i="2"/>
  <c r="H278" i="2"/>
  <c r="I278" i="2"/>
  <c r="J278" i="2"/>
  <c r="K278" i="2"/>
  <c r="L278" i="2"/>
  <c r="M278" i="2"/>
  <c r="N278" i="2"/>
  <c r="O278" i="2"/>
  <c r="A279" i="2"/>
  <c r="B279" i="2"/>
  <c r="C279" i="2"/>
  <c r="D279" i="2"/>
  <c r="E279" i="2"/>
  <c r="F279" i="2"/>
  <c r="G279" i="2"/>
  <c r="H279" i="2"/>
  <c r="I279" i="2"/>
  <c r="J279" i="2"/>
  <c r="K279" i="2"/>
  <c r="L279" i="2"/>
  <c r="M279" i="2"/>
  <c r="N279" i="2"/>
  <c r="O279" i="2"/>
  <c r="A280" i="2"/>
  <c r="B280" i="2"/>
  <c r="C280" i="2"/>
  <c r="D280" i="2"/>
  <c r="E280" i="2"/>
  <c r="F280" i="2"/>
  <c r="G280" i="2"/>
  <c r="H280" i="2"/>
  <c r="I280" i="2"/>
  <c r="J280" i="2"/>
  <c r="K280" i="2"/>
  <c r="L280" i="2"/>
  <c r="M280" i="2"/>
  <c r="N280" i="2"/>
  <c r="O280" i="2"/>
  <c r="A281" i="2"/>
  <c r="B281" i="2"/>
  <c r="C281" i="2"/>
  <c r="D281" i="2"/>
  <c r="E281" i="2"/>
  <c r="F281" i="2"/>
  <c r="G281" i="2"/>
  <c r="H281" i="2"/>
  <c r="I281" i="2"/>
  <c r="J281" i="2"/>
  <c r="K281" i="2"/>
  <c r="L281" i="2"/>
  <c r="M281" i="2"/>
  <c r="N281" i="2"/>
  <c r="O281" i="2"/>
  <c r="A282" i="2"/>
  <c r="B282" i="2"/>
  <c r="C282" i="2"/>
  <c r="D282" i="2"/>
  <c r="E282" i="2"/>
  <c r="F282" i="2"/>
  <c r="G282" i="2"/>
  <c r="H282" i="2"/>
  <c r="I282" i="2"/>
  <c r="J282" i="2"/>
  <c r="K282" i="2"/>
  <c r="L282" i="2"/>
  <c r="M282" i="2"/>
  <c r="N282" i="2"/>
  <c r="O282" i="2"/>
  <c r="A283" i="2"/>
  <c r="B283" i="2"/>
  <c r="C283" i="2"/>
  <c r="D283" i="2"/>
  <c r="E283" i="2"/>
  <c r="F283" i="2"/>
  <c r="G283" i="2"/>
  <c r="H283" i="2"/>
  <c r="I283" i="2"/>
  <c r="J283" i="2"/>
  <c r="K283" i="2"/>
  <c r="L283" i="2"/>
  <c r="M283" i="2"/>
  <c r="N283" i="2"/>
  <c r="O283" i="2"/>
  <c r="A284" i="2"/>
  <c r="B284" i="2"/>
  <c r="C284" i="2"/>
  <c r="D284" i="2"/>
  <c r="E284" i="2"/>
  <c r="F284" i="2"/>
  <c r="G284" i="2"/>
  <c r="H284" i="2"/>
  <c r="I284" i="2"/>
  <c r="J284" i="2"/>
  <c r="K284" i="2"/>
  <c r="L284" i="2"/>
  <c r="M284" i="2"/>
  <c r="N284" i="2"/>
  <c r="O284" i="2"/>
  <c r="A285" i="2"/>
  <c r="B285" i="2"/>
  <c r="C285" i="2"/>
  <c r="D285" i="2"/>
  <c r="E285" i="2"/>
  <c r="F285" i="2"/>
  <c r="G285" i="2"/>
  <c r="H285" i="2"/>
  <c r="I285" i="2"/>
  <c r="J285" i="2"/>
  <c r="K285" i="2"/>
  <c r="L285" i="2"/>
  <c r="M285" i="2"/>
  <c r="N285" i="2"/>
  <c r="O285" i="2"/>
  <c r="A286" i="2"/>
  <c r="B286" i="2"/>
  <c r="C286" i="2"/>
  <c r="D286" i="2"/>
  <c r="E286" i="2"/>
  <c r="F286" i="2"/>
  <c r="G286" i="2"/>
  <c r="H286" i="2"/>
  <c r="I286" i="2"/>
  <c r="J286" i="2"/>
  <c r="K286" i="2"/>
  <c r="L286" i="2"/>
  <c r="M286" i="2"/>
  <c r="N286" i="2"/>
  <c r="O286" i="2"/>
  <c r="A287" i="2"/>
  <c r="B287" i="2"/>
  <c r="C287" i="2"/>
  <c r="D287" i="2"/>
  <c r="E287" i="2"/>
  <c r="F287" i="2"/>
  <c r="G287" i="2"/>
  <c r="H287" i="2"/>
  <c r="I287" i="2"/>
  <c r="J287" i="2"/>
  <c r="K287" i="2"/>
  <c r="L287" i="2"/>
  <c r="M287" i="2"/>
  <c r="N287" i="2"/>
  <c r="O287" i="2"/>
  <c r="A288" i="2"/>
  <c r="B288" i="2"/>
  <c r="C288" i="2"/>
  <c r="D288" i="2"/>
  <c r="E288" i="2"/>
  <c r="F288" i="2"/>
  <c r="G288" i="2"/>
  <c r="H288" i="2"/>
  <c r="I288" i="2"/>
  <c r="J288" i="2"/>
  <c r="K288" i="2"/>
  <c r="L288" i="2"/>
  <c r="M288" i="2"/>
  <c r="N288" i="2"/>
  <c r="O288" i="2"/>
  <c r="A289" i="2"/>
  <c r="B289" i="2"/>
  <c r="C289" i="2"/>
  <c r="D289" i="2"/>
  <c r="E289" i="2"/>
  <c r="F289" i="2"/>
  <c r="G289" i="2"/>
  <c r="H289" i="2"/>
  <c r="I289" i="2"/>
  <c r="J289" i="2"/>
  <c r="K289" i="2"/>
  <c r="L289" i="2"/>
  <c r="M289" i="2"/>
  <c r="N289" i="2"/>
  <c r="O289" i="2"/>
  <c r="A290" i="2"/>
  <c r="B290" i="2"/>
  <c r="C290" i="2"/>
  <c r="D290" i="2"/>
  <c r="E290" i="2"/>
  <c r="F290" i="2"/>
  <c r="G290" i="2"/>
  <c r="H290" i="2"/>
  <c r="I290" i="2"/>
  <c r="J290" i="2"/>
  <c r="K290" i="2"/>
  <c r="L290" i="2"/>
  <c r="M290" i="2"/>
  <c r="N290" i="2"/>
  <c r="O290" i="2"/>
  <c r="A291" i="2"/>
  <c r="B291" i="2"/>
  <c r="C291" i="2"/>
  <c r="D291" i="2"/>
  <c r="E291" i="2"/>
  <c r="F291" i="2"/>
  <c r="G291" i="2"/>
  <c r="H291" i="2"/>
  <c r="I291" i="2"/>
  <c r="J291" i="2"/>
  <c r="K291" i="2"/>
  <c r="L291" i="2"/>
  <c r="M291" i="2"/>
  <c r="N291" i="2"/>
  <c r="O291" i="2"/>
  <c r="A292" i="2"/>
  <c r="B292" i="2"/>
  <c r="C292" i="2"/>
  <c r="D292" i="2"/>
  <c r="E292" i="2"/>
  <c r="F292" i="2"/>
  <c r="G292" i="2"/>
  <c r="H292" i="2"/>
  <c r="I292" i="2"/>
  <c r="J292" i="2"/>
  <c r="K292" i="2"/>
  <c r="L292" i="2"/>
  <c r="M292" i="2"/>
  <c r="N292" i="2"/>
  <c r="O292" i="2"/>
  <c r="A293" i="2"/>
  <c r="B293" i="2"/>
  <c r="C293" i="2"/>
  <c r="D293" i="2"/>
  <c r="E293" i="2"/>
  <c r="F293" i="2"/>
  <c r="G293" i="2"/>
  <c r="H293" i="2"/>
  <c r="I293" i="2"/>
  <c r="J293" i="2"/>
  <c r="K293" i="2"/>
  <c r="L293" i="2"/>
  <c r="M293" i="2"/>
  <c r="N293" i="2"/>
  <c r="O293" i="2"/>
  <c r="A294" i="2"/>
  <c r="B294" i="2"/>
  <c r="C294" i="2"/>
  <c r="D294" i="2"/>
  <c r="E294" i="2"/>
  <c r="F294" i="2"/>
  <c r="G294" i="2"/>
  <c r="H294" i="2"/>
  <c r="I294" i="2"/>
  <c r="J294" i="2"/>
  <c r="K294" i="2"/>
  <c r="L294" i="2"/>
  <c r="M294" i="2"/>
  <c r="N294" i="2"/>
  <c r="O294" i="2"/>
  <c r="A295" i="2"/>
  <c r="B295" i="2"/>
  <c r="C295" i="2"/>
  <c r="D295" i="2"/>
  <c r="E295" i="2"/>
  <c r="F295" i="2"/>
  <c r="G295" i="2"/>
  <c r="H295" i="2"/>
  <c r="I295" i="2"/>
  <c r="J295" i="2"/>
  <c r="K295" i="2"/>
  <c r="L295" i="2"/>
  <c r="M295" i="2"/>
  <c r="N295" i="2"/>
  <c r="O295" i="2"/>
  <c r="A296" i="2"/>
  <c r="B296" i="2"/>
  <c r="C296" i="2"/>
  <c r="D296" i="2"/>
  <c r="E296" i="2"/>
  <c r="F296" i="2"/>
  <c r="G296" i="2"/>
  <c r="H296" i="2"/>
  <c r="I296" i="2"/>
  <c r="J296" i="2"/>
  <c r="K296" i="2"/>
  <c r="L296" i="2"/>
  <c r="M296" i="2"/>
  <c r="N296" i="2"/>
  <c r="O296" i="2"/>
  <c r="A297" i="2"/>
  <c r="B297" i="2"/>
  <c r="C297" i="2"/>
  <c r="D297" i="2"/>
  <c r="E297" i="2"/>
  <c r="F297" i="2"/>
  <c r="G297" i="2"/>
  <c r="H297" i="2"/>
  <c r="I297" i="2"/>
  <c r="J297" i="2"/>
  <c r="K297" i="2"/>
  <c r="L297" i="2"/>
  <c r="M297" i="2"/>
  <c r="N297" i="2"/>
  <c r="O297" i="2"/>
  <c r="A298" i="2"/>
  <c r="B298" i="2"/>
  <c r="C298" i="2"/>
  <c r="D298" i="2"/>
  <c r="E298" i="2"/>
  <c r="F298" i="2"/>
  <c r="G298" i="2"/>
  <c r="H298" i="2"/>
  <c r="I298" i="2"/>
  <c r="J298" i="2"/>
  <c r="K298" i="2"/>
  <c r="L298" i="2"/>
  <c r="M298" i="2"/>
  <c r="N298" i="2"/>
  <c r="O298" i="2"/>
  <c r="A299" i="2"/>
  <c r="B299" i="2"/>
  <c r="C299" i="2"/>
  <c r="D299" i="2"/>
  <c r="E299" i="2"/>
  <c r="F299" i="2"/>
  <c r="G299" i="2"/>
  <c r="H299" i="2"/>
  <c r="I299" i="2"/>
  <c r="J299" i="2"/>
  <c r="K299" i="2"/>
  <c r="L299" i="2"/>
  <c r="M299" i="2"/>
  <c r="N299" i="2"/>
  <c r="O299" i="2"/>
  <c r="A300" i="2"/>
  <c r="B300" i="2"/>
  <c r="C300" i="2"/>
  <c r="D300" i="2"/>
  <c r="E300" i="2"/>
  <c r="F300" i="2"/>
  <c r="G300" i="2"/>
  <c r="H300" i="2"/>
  <c r="I300" i="2"/>
  <c r="J300" i="2"/>
  <c r="K300" i="2"/>
  <c r="L300" i="2"/>
  <c r="M300" i="2"/>
  <c r="N300" i="2"/>
  <c r="O300" i="2"/>
  <c r="A301" i="2"/>
  <c r="B301" i="2"/>
  <c r="C301" i="2"/>
  <c r="D301" i="2"/>
  <c r="E301" i="2"/>
  <c r="F301" i="2"/>
  <c r="G301" i="2"/>
  <c r="H301" i="2"/>
  <c r="I301" i="2"/>
  <c r="J301" i="2"/>
  <c r="K301" i="2"/>
  <c r="L301" i="2"/>
  <c r="M301" i="2"/>
  <c r="N301" i="2"/>
  <c r="O301" i="2"/>
  <c r="A302" i="2"/>
  <c r="B302" i="2"/>
  <c r="C302" i="2"/>
  <c r="D302" i="2"/>
  <c r="E302" i="2"/>
  <c r="F302" i="2"/>
  <c r="G302" i="2"/>
  <c r="H302" i="2"/>
  <c r="I302" i="2"/>
  <c r="J302" i="2"/>
  <c r="K302" i="2"/>
  <c r="L302" i="2"/>
  <c r="M302" i="2"/>
  <c r="N302" i="2"/>
  <c r="O302" i="2"/>
  <c r="A303" i="2"/>
  <c r="B303" i="2"/>
  <c r="C303" i="2"/>
  <c r="D303" i="2"/>
  <c r="E303" i="2"/>
  <c r="F303" i="2"/>
  <c r="G303" i="2"/>
  <c r="H303" i="2"/>
  <c r="I303" i="2"/>
  <c r="J303" i="2"/>
  <c r="K303" i="2"/>
  <c r="L303" i="2"/>
  <c r="M303" i="2"/>
  <c r="N303" i="2"/>
  <c r="O303" i="2"/>
  <c r="A304" i="2"/>
  <c r="B304" i="2"/>
  <c r="C304" i="2"/>
  <c r="D304" i="2"/>
  <c r="E304" i="2"/>
  <c r="F304" i="2"/>
  <c r="G304" i="2"/>
  <c r="H304" i="2"/>
  <c r="I304" i="2"/>
  <c r="J304" i="2"/>
  <c r="K304" i="2"/>
  <c r="L304" i="2"/>
  <c r="M304" i="2"/>
  <c r="N304" i="2"/>
  <c r="O304" i="2"/>
  <c r="A305" i="2"/>
  <c r="B305" i="2"/>
  <c r="C305" i="2"/>
  <c r="D305" i="2"/>
  <c r="E305" i="2"/>
  <c r="F305" i="2"/>
  <c r="G305" i="2"/>
  <c r="H305" i="2"/>
  <c r="I305" i="2"/>
  <c r="J305" i="2"/>
  <c r="K305" i="2"/>
  <c r="L305" i="2"/>
  <c r="M305" i="2"/>
  <c r="N305" i="2"/>
  <c r="O305" i="2"/>
  <c r="A306" i="2"/>
  <c r="B306" i="2"/>
  <c r="C306" i="2"/>
  <c r="D306" i="2"/>
  <c r="E306" i="2"/>
  <c r="F306" i="2"/>
  <c r="G306" i="2"/>
  <c r="H306" i="2"/>
  <c r="I306" i="2"/>
  <c r="J306" i="2"/>
  <c r="K306" i="2"/>
  <c r="L306" i="2"/>
  <c r="M306" i="2"/>
  <c r="N306" i="2"/>
  <c r="O306" i="2"/>
  <c r="A307" i="2"/>
  <c r="B307" i="2"/>
  <c r="C307" i="2"/>
  <c r="D307" i="2"/>
  <c r="E307" i="2"/>
  <c r="F307" i="2"/>
  <c r="G307" i="2"/>
  <c r="H307" i="2"/>
  <c r="I307" i="2"/>
  <c r="J307" i="2"/>
  <c r="K307" i="2"/>
  <c r="L307" i="2"/>
  <c r="M307" i="2"/>
  <c r="N307" i="2"/>
  <c r="O307" i="2"/>
  <c r="A308" i="2"/>
  <c r="B308" i="2"/>
  <c r="C308" i="2"/>
  <c r="D308" i="2"/>
  <c r="E308" i="2"/>
  <c r="F308" i="2"/>
  <c r="G308" i="2"/>
  <c r="H308" i="2"/>
  <c r="I308" i="2"/>
  <c r="J308" i="2"/>
  <c r="K308" i="2"/>
  <c r="L308" i="2"/>
  <c r="M308" i="2"/>
  <c r="N308" i="2"/>
  <c r="O308" i="2"/>
  <c r="A309" i="2"/>
  <c r="B309" i="2"/>
  <c r="C309" i="2"/>
  <c r="D309" i="2"/>
  <c r="E309" i="2"/>
  <c r="F309" i="2"/>
  <c r="G309" i="2"/>
  <c r="H309" i="2"/>
  <c r="I309" i="2"/>
  <c r="J309" i="2"/>
  <c r="K309" i="2"/>
  <c r="L309" i="2"/>
  <c r="M309" i="2"/>
  <c r="N309" i="2"/>
  <c r="O309" i="2"/>
  <c r="A310" i="2"/>
  <c r="B310" i="2"/>
  <c r="C310" i="2"/>
  <c r="D310" i="2"/>
  <c r="E310" i="2"/>
  <c r="F310" i="2"/>
  <c r="G310" i="2"/>
  <c r="H310" i="2"/>
  <c r="I310" i="2"/>
  <c r="J310" i="2"/>
  <c r="K310" i="2"/>
  <c r="L310" i="2"/>
  <c r="M310" i="2"/>
  <c r="N310" i="2"/>
  <c r="O310" i="2"/>
  <c r="A311" i="2"/>
  <c r="B311" i="2"/>
  <c r="C311" i="2"/>
  <c r="D311" i="2"/>
  <c r="E311" i="2"/>
  <c r="F311" i="2"/>
  <c r="G311" i="2"/>
  <c r="H311" i="2"/>
  <c r="I311" i="2"/>
  <c r="J311" i="2"/>
  <c r="K311" i="2"/>
  <c r="L311" i="2"/>
  <c r="M311" i="2"/>
  <c r="N311" i="2"/>
  <c r="O311" i="2"/>
  <c r="A312" i="2"/>
  <c r="B312" i="2"/>
  <c r="C312" i="2"/>
  <c r="D312" i="2"/>
  <c r="E312" i="2"/>
  <c r="F312" i="2"/>
  <c r="G312" i="2"/>
  <c r="H312" i="2"/>
  <c r="I312" i="2"/>
  <c r="J312" i="2"/>
  <c r="K312" i="2"/>
  <c r="L312" i="2"/>
  <c r="M312" i="2"/>
  <c r="N312" i="2"/>
  <c r="O312" i="2"/>
  <c r="A313" i="2"/>
  <c r="B313" i="2"/>
  <c r="C313" i="2"/>
  <c r="D313" i="2"/>
  <c r="E313" i="2"/>
  <c r="F313" i="2"/>
  <c r="G313" i="2"/>
  <c r="H313" i="2"/>
  <c r="I313" i="2"/>
  <c r="J313" i="2"/>
  <c r="K313" i="2"/>
  <c r="L313" i="2"/>
  <c r="M313" i="2"/>
  <c r="N313" i="2"/>
  <c r="O313" i="2"/>
  <c r="A314" i="2"/>
  <c r="B314" i="2"/>
  <c r="C314" i="2"/>
  <c r="D314" i="2"/>
  <c r="E314" i="2"/>
  <c r="F314" i="2"/>
  <c r="G314" i="2"/>
  <c r="H314" i="2"/>
  <c r="I314" i="2"/>
  <c r="J314" i="2"/>
  <c r="K314" i="2"/>
  <c r="L314" i="2"/>
  <c r="M314" i="2"/>
  <c r="N314" i="2"/>
  <c r="O314" i="2"/>
  <c r="A315" i="2"/>
  <c r="B315" i="2"/>
  <c r="C315" i="2"/>
  <c r="D315" i="2"/>
  <c r="E315" i="2"/>
  <c r="F315" i="2"/>
  <c r="G315" i="2"/>
  <c r="H315" i="2"/>
  <c r="I315" i="2"/>
  <c r="J315" i="2"/>
  <c r="K315" i="2"/>
  <c r="L315" i="2"/>
  <c r="M315" i="2"/>
  <c r="N315" i="2"/>
  <c r="O315" i="2"/>
  <c r="A316" i="2"/>
  <c r="B316" i="2"/>
  <c r="C316" i="2"/>
  <c r="D316" i="2"/>
  <c r="E316" i="2"/>
  <c r="F316" i="2"/>
  <c r="G316" i="2"/>
  <c r="H316" i="2"/>
  <c r="I316" i="2"/>
  <c r="J316" i="2"/>
  <c r="K316" i="2"/>
  <c r="L316" i="2"/>
  <c r="M316" i="2"/>
  <c r="N316" i="2"/>
  <c r="O316" i="2"/>
  <c r="A317" i="2"/>
  <c r="B317" i="2"/>
  <c r="C317" i="2"/>
  <c r="D317" i="2"/>
  <c r="E317" i="2"/>
  <c r="F317" i="2"/>
  <c r="G317" i="2"/>
  <c r="H317" i="2"/>
  <c r="I317" i="2"/>
  <c r="J317" i="2"/>
  <c r="K317" i="2"/>
  <c r="L317" i="2"/>
  <c r="M317" i="2"/>
  <c r="N317" i="2"/>
  <c r="O317" i="2"/>
  <c r="A318" i="2"/>
  <c r="B318" i="2"/>
  <c r="C318" i="2"/>
  <c r="D318" i="2"/>
  <c r="E318" i="2"/>
  <c r="F318" i="2"/>
  <c r="G318" i="2"/>
  <c r="H318" i="2"/>
  <c r="I318" i="2"/>
  <c r="J318" i="2"/>
  <c r="K318" i="2"/>
  <c r="L318" i="2"/>
  <c r="M318" i="2"/>
  <c r="N318" i="2"/>
  <c r="O318" i="2"/>
  <c r="A319" i="2"/>
  <c r="B319" i="2"/>
  <c r="C319" i="2"/>
  <c r="D319" i="2"/>
  <c r="E319" i="2"/>
  <c r="F319" i="2"/>
  <c r="G319" i="2"/>
  <c r="H319" i="2"/>
  <c r="I319" i="2"/>
  <c r="J319" i="2"/>
  <c r="K319" i="2"/>
  <c r="L319" i="2"/>
  <c r="M319" i="2"/>
  <c r="N319" i="2"/>
  <c r="O319" i="2"/>
  <c r="A320" i="2"/>
  <c r="B320" i="2"/>
  <c r="C320" i="2"/>
  <c r="D320" i="2"/>
  <c r="E320" i="2"/>
  <c r="F320" i="2"/>
  <c r="G320" i="2"/>
  <c r="H320" i="2"/>
  <c r="I320" i="2"/>
  <c r="J320" i="2"/>
  <c r="K320" i="2"/>
  <c r="L320" i="2"/>
  <c r="M320" i="2"/>
  <c r="N320" i="2"/>
  <c r="O320" i="2"/>
  <c r="A321" i="2"/>
  <c r="B321" i="2"/>
  <c r="C321" i="2"/>
  <c r="D321" i="2"/>
  <c r="E321" i="2"/>
  <c r="F321" i="2"/>
  <c r="G321" i="2"/>
  <c r="H321" i="2"/>
  <c r="I321" i="2"/>
  <c r="J321" i="2"/>
  <c r="K321" i="2"/>
  <c r="L321" i="2"/>
  <c r="M321" i="2"/>
  <c r="N321" i="2"/>
  <c r="O321" i="2"/>
  <c r="A322" i="2"/>
  <c r="B322" i="2"/>
  <c r="C322" i="2"/>
  <c r="D322" i="2"/>
  <c r="E322" i="2"/>
  <c r="F322" i="2"/>
  <c r="G322" i="2"/>
  <c r="H322" i="2"/>
  <c r="I322" i="2"/>
  <c r="J322" i="2"/>
  <c r="K322" i="2"/>
  <c r="L322" i="2"/>
  <c r="M322" i="2"/>
  <c r="N322" i="2"/>
  <c r="O322" i="2"/>
  <c r="A323" i="2"/>
  <c r="B323" i="2"/>
  <c r="C323" i="2"/>
  <c r="D323" i="2"/>
  <c r="E323" i="2"/>
  <c r="F323" i="2"/>
  <c r="G323" i="2"/>
  <c r="H323" i="2"/>
  <c r="I323" i="2"/>
  <c r="J323" i="2"/>
  <c r="K323" i="2"/>
  <c r="L323" i="2"/>
  <c r="M323" i="2"/>
  <c r="N323" i="2"/>
  <c r="O323" i="2"/>
  <c r="A324" i="2"/>
  <c r="B324" i="2"/>
  <c r="C324" i="2"/>
  <c r="D324" i="2"/>
  <c r="E324" i="2"/>
  <c r="F324" i="2"/>
  <c r="G324" i="2"/>
  <c r="H324" i="2"/>
  <c r="I324" i="2"/>
  <c r="J324" i="2"/>
  <c r="K324" i="2"/>
  <c r="L324" i="2"/>
  <c r="M324" i="2"/>
  <c r="N324" i="2"/>
  <c r="O324" i="2"/>
  <c r="A325" i="2"/>
  <c r="B325" i="2"/>
  <c r="C325" i="2"/>
  <c r="D325" i="2"/>
  <c r="E325" i="2"/>
  <c r="F325" i="2"/>
  <c r="G325" i="2"/>
  <c r="H325" i="2"/>
  <c r="I325" i="2"/>
  <c r="J325" i="2"/>
  <c r="K325" i="2"/>
  <c r="L325" i="2"/>
  <c r="M325" i="2"/>
  <c r="N325" i="2"/>
  <c r="O325" i="2"/>
  <c r="A326" i="2"/>
  <c r="B326" i="2"/>
  <c r="C326" i="2"/>
  <c r="D326" i="2"/>
  <c r="E326" i="2"/>
  <c r="F326" i="2"/>
  <c r="G326" i="2"/>
  <c r="H326" i="2"/>
  <c r="I326" i="2"/>
  <c r="J326" i="2"/>
  <c r="K326" i="2"/>
  <c r="L326" i="2"/>
  <c r="M326" i="2"/>
  <c r="N326" i="2"/>
  <c r="O326" i="2"/>
  <c r="A327" i="2"/>
  <c r="B327" i="2"/>
  <c r="C327" i="2"/>
  <c r="D327" i="2"/>
  <c r="E327" i="2"/>
  <c r="F327" i="2"/>
  <c r="G327" i="2"/>
  <c r="H327" i="2"/>
  <c r="I327" i="2"/>
  <c r="J327" i="2"/>
  <c r="K327" i="2"/>
  <c r="L327" i="2"/>
  <c r="M327" i="2"/>
  <c r="N327" i="2"/>
  <c r="O327" i="2"/>
  <c r="A328" i="2"/>
  <c r="B328" i="2"/>
  <c r="C328" i="2"/>
  <c r="D328" i="2"/>
  <c r="E328" i="2"/>
  <c r="F328" i="2"/>
  <c r="G328" i="2"/>
  <c r="H328" i="2"/>
  <c r="I328" i="2"/>
  <c r="J328" i="2"/>
  <c r="K328" i="2"/>
  <c r="L328" i="2"/>
  <c r="M328" i="2"/>
  <c r="N328" i="2"/>
  <c r="O328" i="2"/>
  <c r="A329" i="2"/>
  <c r="B329" i="2"/>
  <c r="C329" i="2"/>
  <c r="D329" i="2"/>
  <c r="E329" i="2"/>
  <c r="F329" i="2"/>
  <c r="G329" i="2"/>
  <c r="H329" i="2"/>
  <c r="I329" i="2"/>
  <c r="J329" i="2"/>
  <c r="K329" i="2"/>
  <c r="L329" i="2"/>
  <c r="M329" i="2"/>
  <c r="N329" i="2"/>
  <c r="O329" i="2"/>
  <c r="A330" i="2"/>
  <c r="B330" i="2"/>
  <c r="C330" i="2"/>
  <c r="D330" i="2"/>
  <c r="E330" i="2"/>
  <c r="F330" i="2"/>
  <c r="G330" i="2"/>
  <c r="H330" i="2"/>
  <c r="I330" i="2"/>
  <c r="J330" i="2"/>
  <c r="K330" i="2"/>
  <c r="L330" i="2"/>
  <c r="M330" i="2"/>
  <c r="N330" i="2"/>
  <c r="O330" i="2"/>
  <c r="A331" i="2"/>
  <c r="B331" i="2"/>
  <c r="C331" i="2"/>
  <c r="D331" i="2"/>
  <c r="E331" i="2"/>
  <c r="F331" i="2"/>
  <c r="G331" i="2"/>
  <c r="H331" i="2"/>
  <c r="I331" i="2"/>
  <c r="J331" i="2"/>
  <c r="K331" i="2"/>
  <c r="L331" i="2"/>
  <c r="M331" i="2"/>
  <c r="N331" i="2"/>
  <c r="O331" i="2"/>
  <c r="A332" i="2"/>
  <c r="B332" i="2"/>
  <c r="C332" i="2"/>
  <c r="D332" i="2"/>
  <c r="E332" i="2"/>
  <c r="F332" i="2"/>
  <c r="G332" i="2"/>
  <c r="H332" i="2"/>
  <c r="I332" i="2"/>
  <c r="J332" i="2"/>
  <c r="K332" i="2"/>
  <c r="L332" i="2"/>
  <c r="M332" i="2"/>
  <c r="N332" i="2"/>
  <c r="O332" i="2"/>
  <c r="A333" i="2"/>
  <c r="B333" i="2"/>
  <c r="C333" i="2"/>
  <c r="D333" i="2"/>
  <c r="E333" i="2"/>
  <c r="F333" i="2"/>
  <c r="G333" i="2"/>
  <c r="H333" i="2"/>
  <c r="I333" i="2"/>
  <c r="J333" i="2"/>
  <c r="K333" i="2"/>
  <c r="L333" i="2"/>
  <c r="M333" i="2"/>
  <c r="N333" i="2"/>
  <c r="O333" i="2"/>
  <c r="A334" i="2"/>
  <c r="B334" i="2"/>
  <c r="C334" i="2"/>
  <c r="D334" i="2"/>
  <c r="E334" i="2"/>
  <c r="F334" i="2"/>
  <c r="G334" i="2"/>
  <c r="H334" i="2"/>
  <c r="I334" i="2"/>
  <c r="J334" i="2"/>
  <c r="K334" i="2"/>
  <c r="L334" i="2"/>
  <c r="M334" i="2"/>
  <c r="N334" i="2"/>
  <c r="O334" i="2"/>
  <c r="A335" i="2"/>
  <c r="B335" i="2"/>
  <c r="C335" i="2"/>
  <c r="D335" i="2"/>
  <c r="E335" i="2"/>
  <c r="F335" i="2"/>
  <c r="G335" i="2"/>
  <c r="H335" i="2"/>
  <c r="I335" i="2"/>
  <c r="J335" i="2"/>
  <c r="K335" i="2"/>
  <c r="L335" i="2"/>
  <c r="M335" i="2"/>
  <c r="N335" i="2"/>
  <c r="O335" i="2"/>
  <c r="A336" i="2"/>
  <c r="B336" i="2"/>
  <c r="C336" i="2"/>
  <c r="D336" i="2"/>
  <c r="E336" i="2"/>
  <c r="F336" i="2"/>
  <c r="G336" i="2"/>
  <c r="H336" i="2"/>
  <c r="I336" i="2"/>
  <c r="J336" i="2"/>
  <c r="K336" i="2"/>
  <c r="L336" i="2"/>
  <c r="M336" i="2"/>
  <c r="N336" i="2"/>
  <c r="O336" i="2"/>
  <c r="A337" i="2"/>
  <c r="B337" i="2"/>
  <c r="C337" i="2"/>
  <c r="D337" i="2"/>
  <c r="E337" i="2"/>
  <c r="F337" i="2"/>
  <c r="G337" i="2"/>
  <c r="H337" i="2"/>
  <c r="I337" i="2"/>
  <c r="J337" i="2"/>
  <c r="K337" i="2"/>
  <c r="L337" i="2"/>
  <c r="M337" i="2"/>
  <c r="N337" i="2"/>
  <c r="O337" i="2"/>
  <c r="A338" i="2"/>
  <c r="B338" i="2"/>
  <c r="C338" i="2"/>
  <c r="D338" i="2"/>
  <c r="E338" i="2"/>
  <c r="F338" i="2"/>
  <c r="G338" i="2"/>
  <c r="H338" i="2"/>
  <c r="I338" i="2"/>
  <c r="J338" i="2"/>
  <c r="K338" i="2"/>
  <c r="L338" i="2"/>
  <c r="M338" i="2"/>
  <c r="N338" i="2"/>
  <c r="O338" i="2"/>
  <c r="A339" i="2"/>
  <c r="B339" i="2"/>
  <c r="C339" i="2"/>
  <c r="D339" i="2"/>
  <c r="E339" i="2"/>
  <c r="F339" i="2"/>
  <c r="G339" i="2"/>
  <c r="H339" i="2"/>
  <c r="I339" i="2"/>
  <c r="J339" i="2"/>
  <c r="K339" i="2"/>
  <c r="L339" i="2"/>
  <c r="M339" i="2"/>
  <c r="N339" i="2"/>
  <c r="O339" i="2"/>
  <c r="A340" i="2"/>
  <c r="B340" i="2"/>
  <c r="C340" i="2"/>
  <c r="D340" i="2"/>
  <c r="E340" i="2"/>
  <c r="F340" i="2"/>
  <c r="G340" i="2"/>
  <c r="H340" i="2"/>
  <c r="I340" i="2"/>
  <c r="J340" i="2"/>
  <c r="K340" i="2"/>
  <c r="L340" i="2"/>
  <c r="M340" i="2"/>
  <c r="N340" i="2"/>
  <c r="O340" i="2"/>
  <c r="A341" i="2"/>
  <c r="B341" i="2"/>
  <c r="C341" i="2"/>
  <c r="D341" i="2"/>
  <c r="E341" i="2"/>
  <c r="F341" i="2"/>
  <c r="G341" i="2"/>
  <c r="H341" i="2"/>
  <c r="I341" i="2"/>
  <c r="J341" i="2"/>
  <c r="K341" i="2"/>
  <c r="L341" i="2"/>
  <c r="M341" i="2"/>
  <c r="N341" i="2"/>
  <c r="O341" i="2"/>
  <c r="A342" i="2"/>
  <c r="B342" i="2"/>
  <c r="C342" i="2"/>
  <c r="D342" i="2"/>
  <c r="E342" i="2"/>
  <c r="F342" i="2"/>
  <c r="G342" i="2"/>
  <c r="H342" i="2"/>
  <c r="I342" i="2"/>
  <c r="J342" i="2"/>
  <c r="K342" i="2"/>
  <c r="L342" i="2"/>
  <c r="M342" i="2"/>
  <c r="N342" i="2"/>
  <c r="O342" i="2"/>
  <c r="A343" i="2"/>
  <c r="B343" i="2"/>
  <c r="C343" i="2"/>
  <c r="D343" i="2"/>
  <c r="E343" i="2"/>
  <c r="F343" i="2"/>
  <c r="G343" i="2"/>
  <c r="H343" i="2"/>
  <c r="I343" i="2"/>
  <c r="J343" i="2"/>
  <c r="K343" i="2"/>
  <c r="L343" i="2"/>
  <c r="M343" i="2"/>
  <c r="N343" i="2"/>
  <c r="O343" i="2"/>
  <c r="A344" i="2"/>
  <c r="B344" i="2"/>
  <c r="C344" i="2"/>
  <c r="D344" i="2"/>
  <c r="E344" i="2"/>
  <c r="F344" i="2"/>
  <c r="G344" i="2"/>
  <c r="H344" i="2"/>
  <c r="I344" i="2"/>
  <c r="J344" i="2"/>
  <c r="K344" i="2"/>
  <c r="L344" i="2"/>
  <c r="M344" i="2"/>
  <c r="N344" i="2"/>
  <c r="O344" i="2"/>
  <c r="A345" i="2"/>
  <c r="B345" i="2"/>
  <c r="C345" i="2"/>
  <c r="D345" i="2"/>
  <c r="E345" i="2"/>
  <c r="F345" i="2"/>
  <c r="G345" i="2"/>
  <c r="H345" i="2"/>
  <c r="I345" i="2"/>
  <c r="J345" i="2"/>
  <c r="K345" i="2"/>
  <c r="L345" i="2"/>
  <c r="M345" i="2"/>
  <c r="N345" i="2"/>
  <c r="O345" i="2"/>
  <c r="A346" i="2"/>
  <c r="B346" i="2"/>
  <c r="C346" i="2"/>
  <c r="D346" i="2"/>
  <c r="E346" i="2"/>
  <c r="F346" i="2"/>
  <c r="G346" i="2"/>
  <c r="H346" i="2"/>
  <c r="I346" i="2"/>
  <c r="J346" i="2"/>
  <c r="K346" i="2"/>
  <c r="L346" i="2"/>
  <c r="M346" i="2"/>
  <c r="N346" i="2"/>
  <c r="O346" i="2"/>
  <c r="A347" i="2"/>
  <c r="B347" i="2"/>
  <c r="C347" i="2"/>
  <c r="D347" i="2"/>
  <c r="E347" i="2"/>
  <c r="F347" i="2"/>
  <c r="G347" i="2"/>
  <c r="H347" i="2"/>
  <c r="I347" i="2"/>
  <c r="J347" i="2"/>
  <c r="K347" i="2"/>
  <c r="L347" i="2"/>
  <c r="M347" i="2"/>
  <c r="N347" i="2"/>
  <c r="O347" i="2"/>
  <c r="A348" i="2"/>
  <c r="B348" i="2"/>
  <c r="C348" i="2"/>
  <c r="D348" i="2"/>
  <c r="E348" i="2"/>
  <c r="F348" i="2"/>
  <c r="G348" i="2"/>
  <c r="H348" i="2"/>
  <c r="I348" i="2"/>
  <c r="J348" i="2"/>
  <c r="K348" i="2"/>
  <c r="L348" i="2"/>
  <c r="M348" i="2"/>
  <c r="N348" i="2"/>
  <c r="O348" i="2"/>
  <c r="A349" i="2"/>
  <c r="B349" i="2"/>
  <c r="C349" i="2"/>
  <c r="D349" i="2"/>
  <c r="E349" i="2"/>
  <c r="F349" i="2"/>
  <c r="G349" i="2"/>
  <c r="H349" i="2"/>
  <c r="I349" i="2"/>
  <c r="J349" i="2"/>
  <c r="K349" i="2"/>
  <c r="L349" i="2"/>
  <c r="M349" i="2"/>
  <c r="N349" i="2"/>
  <c r="O349" i="2"/>
  <c r="A350" i="2"/>
  <c r="B350" i="2"/>
  <c r="C350" i="2"/>
  <c r="D350" i="2"/>
  <c r="E350" i="2"/>
  <c r="F350" i="2"/>
  <c r="G350" i="2"/>
  <c r="H350" i="2"/>
  <c r="I350" i="2"/>
  <c r="J350" i="2"/>
  <c r="K350" i="2"/>
  <c r="L350" i="2"/>
  <c r="M350" i="2"/>
  <c r="N350" i="2"/>
  <c r="O350" i="2"/>
  <c r="A351" i="2"/>
  <c r="B351" i="2"/>
  <c r="C351" i="2"/>
  <c r="D351" i="2"/>
  <c r="E351" i="2"/>
  <c r="F351" i="2"/>
  <c r="G351" i="2"/>
  <c r="H351" i="2"/>
  <c r="I351" i="2"/>
  <c r="J351" i="2"/>
  <c r="K351" i="2"/>
  <c r="L351" i="2"/>
  <c r="M351" i="2"/>
  <c r="N351" i="2"/>
  <c r="O351" i="2"/>
  <c r="A352" i="2"/>
  <c r="B352" i="2"/>
  <c r="C352" i="2"/>
  <c r="D352" i="2"/>
  <c r="E352" i="2"/>
  <c r="F352" i="2"/>
  <c r="G352" i="2"/>
  <c r="H352" i="2"/>
  <c r="I352" i="2"/>
  <c r="J352" i="2"/>
  <c r="K352" i="2"/>
  <c r="L352" i="2"/>
  <c r="M352" i="2"/>
  <c r="N352" i="2"/>
  <c r="O352" i="2"/>
  <c r="A353" i="2"/>
  <c r="B353" i="2"/>
  <c r="C353" i="2"/>
  <c r="D353" i="2"/>
  <c r="E353" i="2"/>
  <c r="F353" i="2"/>
  <c r="G353" i="2"/>
  <c r="H353" i="2"/>
  <c r="I353" i="2"/>
  <c r="J353" i="2"/>
  <c r="K353" i="2"/>
  <c r="L353" i="2"/>
  <c r="M353" i="2"/>
  <c r="N353" i="2"/>
  <c r="O353" i="2"/>
  <c r="A354" i="2"/>
  <c r="B354" i="2"/>
  <c r="C354" i="2"/>
  <c r="D354" i="2"/>
  <c r="E354" i="2"/>
  <c r="F354" i="2"/>
  <c r="G354" i="2"/>
  <c r="H354" i="2"/>
  <c r="I354" i="2"/>
  <c r="J354" i="2"/>
  <c r="K354" i="2"/>
  <c r="L354" i="2"/>
  <c r="M354" i="2"/>
  <c r="N354" i="2"/>
  <c r="O354" i="2"/>
  <c r="A355" i="2"/>
  <c r="B355" i="2"/>
  <c r="C355" i="2"/>
  <c r="D355" i="2"/>
  <c r="E355" i="2"/>
  <c r="F355" i="2"/>
  <c r="G355" i="2"/>
  <c r="H355" i="2"/>
  <c r="I355" i="2"/>
  <c r="J355" i="2"/>
  <c r="K355" i="2"/>
  <c r="L355" i="2"/>
  <c r="M355" i="2"/>
  <c r="N355" i="2"/>
  <c r="O355" i="2"/>
  <c r="A356" i="2"/>
  <c r="B356" i="2"/>
  <c r="C356" i="2"/>
  <c r="D356" i="2"/>
  <c r="E356" i="2"/>
  <c r="F356" i="2"/>
  <c r="G356" i="2"/>
  <c r="H356" i="2"/>
  <c r="I356" i="2"/>
  <c r="J356" i="2"/>
  <c r="K356" i="2"/>
  <c r="L356" i="2"/>
  <c r="M356" i="2"/>
  <c r="N356" i="2"/>
  <c r="O356" i="2"/>
  <c r="A357" i="2"/>
  <c r="B357" i="2"/>
  <c r="C357" i="2"/>
  <c r="D357" i="2"/>
  <c r="E357" i="2"/>
  <c r="F357" i="2"/>
  <c r="G357" i="2"/>
  <c r="H357" i="2"/>
  <c r="I357" i="2"/>
  <c r="J357" i="2"/>
  <c r="K357" i="2"/>
  <c r="L357" i="2"/>
  <c r="M357" i="2"/>
  <c r="N357" i="2"/>
  <c r="O357" i="2"/>
  <c r="A358" i="2"/>
  <c r="B358" i="2"/>
  <c r="C358" i="2"/>
  <c r="D358" i="2"/>
  <c r="E358" i="2"/>
  <c r="F358" i="2"/>
  <c r="G358" i="2"/>
  <c r="H358" i="2"/>
  <c r="I358" i="2"/>
  <c r="J358" i="2"/>
  <c r="K358" i="2"/>
  <c r="L358" i="2"/>
  <c r="M358" i="2"/>
  <c r="N358" i="2"/>
  <c r="O358" i="2"/>
  <c r="A359" i="2"/>
  <c r="B359" i="2"/>
  <c r="C359" i="2"/>
  <c r="D359" i="2"/>
  <c r="E359" i="2"/>
  <c r="F359" i="2"/>
  <c r="G359" i="2"/>
  <c r="H359" i="2"/>
  <c r="I359" i="2"/>
  <c r="J359" i="2"/>
  <c r="K359" i="2"/>
  <c r="L359" i="2"/>
  <c r="M359" i="2"/>
  <c r="N359" i="2"/>
  <c r="O359" i="2"/>
  <c r="A360" i="2"/>
  <c r="B360" i="2"/>
  <c r="C360" i="2"/>
  <c r="D360" i="2"/>
  <c r="E360" i="2"/>
  <c r="F360" i="2"/>
  <c r="G360" i="2"/>
  <c r="H360" i="2"/>
  <c r="I360" i="2"/>
  <c r="J360" i="2"/>
  <c r="K360" i="2"/>
  <c r="L360" i="2"/>
  <c r="M360" i="2"/>
  <c r="N360" i="2"/>
  <c r="O360" i="2"/>
  <c r="A361" i="2"/>
  <c r="B361" i="2"/>
  <c r="C361" i="2"/>
  <c r="D361" i="2"/>
  <c r="E361" i="2"/>
  <c r="F361" i="2"/>
  <c r="G361" i="2"/>
  <c r="H361" i="2"/>
  <c r="I361" i="2"/>
  <c r="J361" i="2"/>
  <c r="K361" i="2"/>
  <c r="L361" i="2"/>
  <c r="M361" i="2"/>
  <c r="N361" i="2"/>
  <c r="O361" i="2"/>
  <c r="A362" i="2"/>
  <c r="B362" i="2"/>
  <c r="C362" i="2"/>
  <c r="D362" i="2"/>
  <c r="E362" i="2"/>
  <c r="F362" i="2"/>
  <c r="G362" i="2"/>
  <c r="H362" i="2"/>
  <c r="I362" i="2"/>
  <c r="J362" i="2"/>
  <c r="K362" i="2"/>
  <c r="L362" i="2"/>
  <c r="M362" i="2"/>
  <c r="N362" i="2"/>
  <c r="O362" i="2"/>
  <c r="A363" i="2"/>
  <c r="B363" i="2"/>
  <c r="C363" i="2"/>
  <c r="D363" i="2"/>
  <c r="E363" i="2"/>
  <c r="F363" i="2"/>
  <c r="G363" i="2"/>
  <c r="H363" i="2"/>
  <c r="I363" i="2"/>
  <c r="J363" i="2"/>
  <c r="K363" i="2"/>
  <c r="L363" i="2"/>
  <c r="M363" i="2"/>
  <c r="N363" i="2"/>
  <c r="O363" i="2"/>
  <c r="A364" i="2"/>
  <c r="B364" i="2"/>
  <c r="C364" i="2"/>
  <c r="D364" i="2"/>
  <c r="E364" i="2"/>
  <c r="F364" i="2"/>
  <c r="G364" i="2"/>
  <c r="H364" i="2"/>
  <c r="I364" i="2"/>
  <c r="J364" i="2"/>
  <c r="K364" i="2"/>
  <c r="L364" i="2"/>
  <c r="M364" i="2"/>
  <c r="N364" i="2"/>
  <c r="O364" i="2"/>
  <c r="A365" i="2"/>
  <c r="B365" i="2"/>
  <c r="C365" i="2"/>
  <c r="D365" i="2"/>
  <c r="E365" i="2"/>
  <c r="F365" i="2"/>
  <c r="G365" i="2"/>
  <c r="H365" i="2"/>
  <c r="I365" i="2"/>
  <c r="J365" i="2"/>
  <c r="K365" i="2"/>
  <c r="L365" i="2"/>
  <c r="M365" i="2"/>
  <c r="N365" i="2"/>
  <c r="O365" i="2"/>
  <c r="A366" i="2"/>
  <c r="B366" i="2"/>
  <c r="C366" i="2"/>
  <c r="D366" i="2"/>
  <c r="E366" i="2"/>
  <c r="F366" i="2"/>
  <c r="G366" i="2"/>
  <c r="H366" i="2"/>
  <c r="I366" i="2"/>
  <c r="J366" i="2"/>
  <c r="K366" i="2"/>
  <c r="L366" i="2"/>
  <c r="M366" i="2"/>
  <c r="N366" i="2"/>
  <c r="O366" i="2"/>
  <c r="A367" i="2"/>
  <c r="B367" i="2"/>
  <c r="C367" i="2"/>
  <c r="D367" i="2"/>
  <c r="E367" i="2"/>
  <c r="F367" i="2"/>
  <c r="G367" i="2"/>
  <c r="H367" i="2"/>
  <c r="I367" i="2"/>
  <c r="J367" i="2"/>
  <c r="K367" i="2"/>
  <c r="L367" i="2"/>
  <c r="M367" i="2"/>
  <c r="N367" i="2"/>
  <c r="O367" i="2"/>
  <c r="A368" i="2"/>
  <c r="B368" i="2"/>
  <c r="C368" i="2"/>
  <c r="D368" i="2"/>
  <c r="E368" i="2"/>
  <c r="F368" i="2"/>
  <c r="G368" i="2"/>
  <c r="H368" i="2"/>
  <c r="I368" i="2"/>
  <c r="J368" i="2"/>
  <c r="K368" i="2"/>
  <c r="L368" i="2"/>
  <c r="M368" i="2"/>
  <c r="N368" i="2"/>
  <c r="O368" i="2"/>
  <c r="A369" i="2"/>
  <c r="B369" i="2"/>
  <c r="C369" i="2"/>
  <c r="D369" i="2"/>
  <c r="E369" i="2"/>
  <c r="F369" i="2"/>
  <c r="G369" i="2"/>
  <c r="H369" i="2"/>
  <c r="I369" i="2"/>
  <c r="J369" i="2"/>
  <c r="K369" i="2"/>
  <c r="L369" i="2"/>
  <c r="M369" i="2"/>
  <c r="N369" i="2"/>
  <c r="O369" i="2"/>
  <c r="A370" i="2"/>
  <c r="B370" i="2"/>
  <c r="C370" i="2"/>
  <c r="D370" i="2"/>
  <c r="E370" i="2"/>
  <c r="F370" i="2"/>
  <c r="G370" i="2"/>
  <c r="H370" i="2"/>
  <c r="I370" i="2"/>
  <c r="J370" i="2"/>
  <c r="K370" i="2"/>
  <c r="L370" i="2"/>
  <c r="M370" i="2"/>
  <c r="N370" i="2"/>
  <c r="O370" i="2"/>
  <c r="A371" i="2"/>
  <c r="B371" i="2"/>
  <c r="C371" i="2"/>
  <c r="D371" i="2"/>
  <c r="E371" i="2"/>
  <c r="F371" i="2"/>
  <c r="G371" i="2"/>
  <c r="H371" i="2"/>
  <c r="I371" i="2"/>
  <c r="J371" i="2"/>
  <c r="K371" i="2"/>
  <c r="L371" i="2"/>
  <c r="M371" i="2"/>
  <c r="N371" i="2"/>
  <c r="O371" i="2"/>
  <c r="A372" i="2"/>
  <c r="B372" i="2"/>
  <c r="C372" i="2"/>
  <c r="D372" i="2"/>
  <c r="E372" i="2"/>
  <c r="F372" i="2"/>
  <c r="G372" i="2"/>
  <c r="H372" i="2"/>
  <c r="I372" i="2"/>
  <c r="J372" i="2"/>
  <c r="K372" i="2"/>
  <c r="L372" i="2"/>
  <c r="M372" i="2"/>
  <c r="N372" i="2"/>
  <c r="O372" i="2"/>
  <c r="A373" i="2"/>
  <c r="B373" i="2"/>
  <c r="C373" i="2"/>
  <c r="D373" i="2"/>
  <c r="E373" i="2"/>
  <c r="F373" i="2"/>
  <c r="G373" i="2"/>
  <c r="H373" i="2"/>
  <c r="I373" i="2"/>
  <c r="J373" i="2"/>
  <c r="K373" i="2"/>
  <c r="L373" i="2"/>
  <c r="M373" i="2"/>
  <c r="N373" i="2"/>
  <c r="O373" i="2"/>
  <c r="A374" i="2"/>
  <c r="B374" i="2"/>
  <c r="C374" i="2"/>
  <c r="D374" i="2"/>
  <c r="E374" i="2"/>
  <c r="F374" i="2"/>
  <c r="G374" i="2"/>
  <c r="H374" i="2"/>
  <c r="I374" i="2"/>
  <c r="J374" i="2"/>
  <c r="K374" i="2"/>
  <c r="L374" i="2"/>
  <c r="M374" i="2"/>
  <c r="N374" i="2"/>
  <c r="O374" i="2"/>
  <c r="A375" i="2"/>
  <c r="B375" i="2"/>
  <c r="C375" i="2"/>
  <c r="D375" i="2"/>
  <c r="E375" i="2"/>
  <c r="F375" i="2"/>
  <c r="G375" i="2"/>
  <c r="H375" i="2"/>
  <c r="I375" i="2"/>
  <c r="J375" i="2"/>
  <c r="K375" i="2"/>
  <c r="L375" i="2"/>
  <c r="M375" i="2"/>
  <c r="N375" i="2"/>
  <c r="O375" i="2"/>
  <c r="A376" i="2"/>
  <c r="B376" i="2"/>
  <c r="C376" i="2"/>
  <c r="D376" i="2"/>
  <c r="E376" i="2"/>
  <c r="F376" i="2"/>
  <c r="G376" i="2"/>
  <c r="H376" i="2"/>
  <c r="I376" i="2"/>
  <c r="J376" i="2"/>
  <c r="K376" i="2"/>
  <c r="L376" i="2"/>
  <c r="M376" i="2"/>
  <c r="N376" i="2"/>
  <c r="O376" i="2"/>
  <c r="A377" i="2"/>
  <c r="B377" i="2"/>
  <c r="C377" i="2"/>
  <c r="D377" i="2"/>
  <c r="E377" i="2"/>
  <c r="F377" i="2"/>
  <c r="G377" i="2"/>
  <c r="H377" i="2"/>
  <c r="I377" i="2"/>
  <c r="J377" i="2"/>
  <c r="K377" i="2"/>
  <c r="L377" i="2"/>
  <c r="M377" i="2"/>
  <c r="N377" i="2"/>
  <c r="O377" i="2"/>
  <c r="A378" i="2"/>
  <c r="B378" i="2"/>
  <c r="C378" i="2"/>
  <c r="D378" i="2"/>
  <c r="E378" i="2"/>
  <c r="F378" i="2"/>
  <c r="G378" i="2"/>
  <c r="H378" i="2"/>
  <c r="I378" i="2"/>
  <c r="J378" i="2"/>
  <c r="K378" i="2"/>
  <c r="L378" i="2"/>
  <c r="M378" i="2"/>
  <c r="N378" i="2"/>
  <c r="O378" i="2"/>
  <c r="A379" i="2"/>
  <c r="B379" i="2"/>
  <c r="C379" i="2"/>
  <c r="D379" i="2"/>
  <c r="E379" i="2"/>
  <c r="F379" i="2"/>
  <c r="G379" i="2"/>
  <c r="H379" i="2"/>
  <c r="I379" i="2"/>
  <c r="J379" i="2"/>
  <c r="K379" i="2"/>
  <c r="L379" i="2"/>
  <c r="M379" i="2"/>
  <c r="N379" i="2"/>
  <c r="O379" i="2"/>
  <c r="A380" i="2"/>
  <c r="B380" i="2"/>
  <c r="C380" i="2"/>
  <c r="D380" i="2"/>
  <c r="E380" i="2"/>
  <c r="F380" i="2"/>
  <c r="G380" i="2"/>
  <c r="H380" i="2"/>
  <c r="I380" i="2"/>
  <c r="J380" i="2"/>
  <c r="K380" i="2"/>
  <c r="L380" i="2"/>
  <c r="M380" i="2"/>
  <c r="N380" i="2"/>
  <c r="O380" i="2"/>
  <c r="A381" i="2"/>
  <c r="B381" i="2"/>
  <c r="C381" i="2"/>
  <c r="D381" i="2"/>
  <c r="E381" i="2"/>
  <c r="F381" i="2"/>
  <c r="G381" i="2"/>
  <c r="H381" i="2"/>
  <c r="I381" i="2"/>
  <c r="J381" i="2"/>
  <c r="K381" i="2"/>
  <c r="L381" i="2"/>
  <c r="M381" i="2"/>
  <c r="N381" i="2"/>
  <c r="O381" i="2"/>
  <c r="A382" i="2"/>
  <c r="B382" i="2"/>
  <c r="C382" i="2"/>
  <c r="D382" i="2"/>
  <c r="E382" i="2"/>
  <c r="F382" i="2"/>
  <c r="G382" i="2"/>
  <c r="H382" i="2"/>
  <c r="I382" i="2"/>
  <c r="J382" i="2"/>
  <c r="K382" i="2"/>
  <c r="L382" i="2"/>
  <c r="M382" i="2"/>
  <c r="N382" i="2"/>
  <c r="O382" i="2"/>
  <c r="A383" i="2"/>
  <c r="B383" i="2"/>
  <c r="C383" i="2"/>
  <c r="D383" i="2"/>
  <c r="E383" i="2"/>
  <c r="F383" i="2"/>
  <c r="G383" i="2"/>
  <c r="H383" i="2"/>
  <c r="I383" i="2"/>
  <c r="J383" i="2"/>
  <c r="K383" i="2"/>
  <c r="L383" i="2"/>
  <c r="M383" i="2"/>
  <c r="N383" i="2"/>
  <c r="O383" i="2"/>
  <c r="A384" i="2"/>
  <c r="B384" i="2"/>
  <c r="C384" i="2"/>
  <c r="D384" i="2"/>
  <c r="E384" i="2"/>
  <c r="F384" i="2"/>
  <c r="G384" i="2"/>
  <c r="H384" i="2"/>
  <c r="I384" i="2"/>
  <c r="J384" i="2"/>
  <c r="K384" i="2"/>
  <c r="L384" i="2"/>
  <c r="M384" i="2"/>
  <c r="N384" i="2"/>
  <c r="O384" i="2"/>
  <c r="A385" i="2"/>
  <c r="B385" i="2"/>
  <c r="C385" i="2"/>
  <c r="D385" i="2"/>
  <c r="E385" i="2"/>
  <c r="F385" i="2"/>
  <c r="G385" i="2"/>
  <c r="H385" i="2"/>
  <c r="I385" i="2"/>
  <c r="J385" i="2"/>
  <c r="K385" i="2"/>
  <c r="L385" i="2"/>
  <c r="M385" i="2"/>
  <c r="N385" i="2"/>
  <c r="O385" i="2"/>
  <c r="A386" i="2"/>
  <c r="B386" i="2"/>
  <c r="C386" i="2"/>
  <c r="D386" i="2"/>
  <c r="E386" i="2"/>
  <c r="F386" i="2"/>
  <c r="G386" i="2"/>
  <c r="H386" i="2"/>
  <c r="I386" i="2"/>
  <c r="J386" i="2"/>
  <c r="K386" i="2"/>
  <c r="L386" i="2"/>
  <c r="M386" i="2"/>
  <c r="N386" i="2"/>
  <c r="O386" i="2"/>
  <c r="A387" i="2"/>
  <c r="B387" i="2"/>
  <c r="C387" i="2"/>
  <c r="D387" i="2"/>
  <c r="E387" i="2"/>
  <c r="F387" i="2"/>
  <c r="G387" i="2"/>
  <c r="H387" i="2"/>
  <c r="I387" i="2"/>
  <c r="J387" i="2"/>
  <c r="K387" i="2"/>
  <c r="L387" i="2"/>
  <c r="M387" i="2"/>
  <c r="N387" i="2"/>
  <c r="O387" i="2"/>
  <c r="A388" i="2"/>
  <c r="B388" i="2"/>
  <c r="C388" i="2"/>
  <c r="D388" i="2"/>
  <c r="E388" i="2"/>
  <c r="F388" i="2"/>
  <c r="G388" i="2"/>
  <c r="H388" i="2"/>
  <c r="I388" i="2"/>
  <c r="J388" i="2"/>
  <c r="K388" i="2"/>
  <c r="L388" i="2"/>
  <c r="M388" i="2"/>
  <c r="N388" i="2"/>
  <c r="O388" i="2"/>
  <c r="A389" i="2"/>
  <c r="B389" i="2"/>
  <c r="C389" i="2"/>
  <c r="D389" i="2"/>
  <c r="E389" i="2"/>
  <c r="F389" i="2"/>
  <c r="G389" i="2"/>
  <c r="H389" i="2"/>
  <c r="I389" i="2"/>
  <c r="J389" i="2"/>
  <c r="K389" i="2"/>
  <c r="L389" i="2"/>
  <c r="M389" i="2"/>
  <c r="N389" i="2"/>
  <c r="O389" i="2"/>
  <c r="A390" i="2"/>
  <c r="B390" i="2"/>
  <c r="C390" i="2"/>
  <c r="D390" i="2"/>
  <c r="E390" i="2"/>
  <c r="F390" i="2"/>
  <c r="G390" i="2"/>
  <c r="H390" i="2"/>
  <c r="I390" i="2"/>
  <c r="J390" i="2"/>
  <c r="K390" i="2"/>
  <c r="L390" i="2"/>
  <c r="M390" i="2"/>
  <c r="N390" i="2"/>
  <c r="O390" i="2"/>
  <c r="A391" i="2"/>
  <c r="B391" i="2"/>
  <c r="C391" i="2"/>
  <c r="D391" i="2"/>
  <c r="E391" i="2"/>
  <c r="F391" i="2"/>
  <c r="G391" i="2"/>
  <c r="H391" i="2"/>
  <c r="I391" i="2"/>
  <c r="J391" i="2"/>
  <c r="K391" i="2"/>
  <c r="L391" i="2"/>
  <c r="M391" i="2"/>
  <c r="N391" i="2"/>
  <c r="O391" i="2"/>
  <c r="A392" i="2"/>
  <c r="B392" i="2"/>
  <c r="C392" i="2"/>
  <c r="D392" i="2"/>
  <c r="E392" i="2"/>
  <c r="F392" i="2"/>
  <c r="G392" i="2"/>
  <c r="H392" i="2"/>
  <c r="I392" i="2"/>
  <c r="J392" i="2"/>
  <c r="K392" i="2"/>
  <c r="L392" i="2"/>
  <c r="M392" i="2"/>
  <c r="N392" i="2"/>
  <c r="O392" i="2"/>
  <c r="A393" i="2"/>
  <c r="B393" i="2"/>
  <c r="C393" i="2"/>
  <c r="D393" i="2"/>
  <c r="E393" i="2"/>
  <c r="F393" i="2"/>
  <c r="G393" i="2"/>
  <c r="H393" i="2"/>
  <c r="I393" i="2"/>
  <c r="J393" i="2"/>
  <c r="K393" i="2"/>
  <c r="L393" i="2"/>
  <c r="M393" i="2"/>
  <c r="N393" i="2"/>
  <c r="O393" i="2"/>
  <c r="A394" i="2"/>
  <c r="B394" i="2"/>
  <c r="C394" i="2"/>
  <c r="D394" i="2"/>
  <c r="E394" i="2"/>
  <c r="F394" i="2"/>
  <c r="G394" i="2"/>
  <c r="H394" i="2"/>
  <c r="I394" i="2"/>
  <c r="J394" i="2"/>
  <c r="K394" i="2"/>
  <c r="L394" i="2"/>
  <c r="M394" i="2"/>
  <c r="N394" i="2"/>
  <c r="O394" i="2"/>
  <c r="A395" i="2"/>
  <c r="B395" i="2"/>
  <c r="C395" i="2"/>
  <c r="D395" i="2"/>
  <c r="E395" i="2"/>
  <c r="F395" i="2"/>
  <c r="G395" i="2"/>
  <c r="H395" i="2"/>
  <c r="I395" i="2"/>
  <c r="J395" i="2"/>
  <c r="K395" i="2"/>
  <c r="L395" i="2"/>
  <c r="M395" i="2"/>
  <c r="N395" i="2"/>
  <c r="O395" i="2"/>
  <c r="A396" i="2"/>
  <c r="B396" i="2"/>
  <c r="C396" i="2"/>
  <c r="D396" i="2"/>
  <c r="E396" i="2"/>
  <c r="F396" i="2"/>
  <c r="G396" i="2"/>
  <c r="H396" i="2"/>
  <c r="I396" i="2"/>
  <c r="J396" i="2"/>
  <c r="K396" i="2"/>
  <c r="L396" i="2"/>
  <c r="M396" i="2"/>
  <c r="N396" i="2"/>
  <c r="O396" i="2"/>
  <c r="A397" i="2"/>
  <c r="B397" i="2"/>
  <c r="C397" i="2"/>
  <c r="D397" i="2"/>
  <c r="E397" i="2"/>
  <c r="F397" i="2"/>
  <c r="G397" i="2"/>
  <c r="H397" i="2"/>
  <c r="I397" i="2"/>
  <c r="J397" i="2"/>
  <c r="K397" i="2"/>
  <c r="L397" i="2"/>
  <c r="M397" i="2"/>
  <c r="N397" i="2"/>
  <c r="O397" i="2"/>
  <c r="A398" i="2"/>
  <c r="B398" i="2"/>
  <c r="C398" i="2"/>
  <c r="D398" i="2"/>
  <c r="E398" i="2"/>
  <c r="F398" i="2"/>
  <c r="G398" i="2"/>
  <c r="H398" i="2"/>
  <c r="I398" i="2"/>
  <c r="J398" i="2"/>
  <c r="K398" i="2"/>
  <c r="L398" i="2"/>
  <c r="M398" i="2"/>
  <c r="N398" i="2"/>
  <c r="O398" i="2"/>
  <c r="A399" i="2"/>
  <c r="B399" i="2"/>
  <c r="C399" i="2"/>
  <c r="D399" i="2"/>
  <c r="E399" i="2"/>
  <c r="F399" i="2"/>
  <c r="G399" i="2"/>
  <c r="H399" i="2"/>
  <c r="I399" i="2"/>
  <c r="J399" i="2"/>
  <c r="K399" i="2"/>
  <c r="L399" i="2"/>
  <c r="M399" i="2"/>
  <c r="N399" i="2"/>
  <c r="O399" i="2"/>
  <c r="A400" i="2"/>
  <c r="B400" i="2"/>
  <c r="C400" i="2"/>
  <c r="D400" i="2"/>
  <c r="E400" i="2"/>
  <c r="F400" i="2"/>
  <c r="G400" i="2"/>
  <c r="H400" i="2"/>
  <c r="I400" i="2"/>
  <c r="J400" i="2"/>
  <c r="K400" i="2"/>
  <c r="L400" i="2"/>
  <c r="M400" i="2"/>
  <c r="N400" i="2"/>
  <c r="O400" i="2"/>
  <c r="A401" i="2"/>
  <c r="B401" i="2"/>
  <c r="C401" i="2"/>
  <c r="D401" i="2"/>
  <c r="E401" i="2"/>
  <c r="F401" i="2"/>
  <c r="G401" i="2"/>
  <c r="H401" i="2"/>
  <c r="I401" i="2"/>
  <c r="J401" i="2"/>
  <c r="K401" i="2"/>
  <c r="L401" i="2"/>
  <c r="M401" i="2"/>
  <c r="N401" i="2"/>
  <c r="O401" i="2"/>
  <c r="A402" i="2"/>
  <c r="B402" i="2"/>
  <c r="C402" i="2"/>
  <c r="D402" i="2"/>
  <c r="E402" i="2"/>
  <c r="F402" i="2"/>
  <c r="G402" i="2"/>
  <c r="H402" i="2"/>
  <c r="I402" i="2"/>
  <c r="J402" i="2"/>
  <c r="K402" i="2"/>
  <c r="L402" i="2"/>
  <c r="M402" i="2"/>
  <c r="N402" i="2"/>
  <c r="O402" i="2"/>
  <c r="A403" i="2"/>
  <c r="B403" i="2"/>
  <c r="C403" i="2"/>
  <c r="D403" i="2"/>
  <c r="E403" i="2"/>
  <c r="F403" i="2"/>
  <c r="G403" i="2"/>
  <c r="H403" i="2"/>
  <c r="I403" i="2"/>
  <c r="J403" i="2"/>
  <c r="K403" i="2"/>
  <c r="L403" i="2"/>
  <c r="M403" i="2"/>
  <c r="N403" i="2"/>
  <c r="O403" i="2"/>
  <c r="A404" i="2"/>
  <c r="B404" i="2"/>
  <c r="C404" i="2"/>
  <c r="D404" i="2"/>
  <c r="E404" i="2"/>
  <c r="F404" i="2"/>
  <c r="G404" i="2"/>
  <c r="H404" i="2"/>
  <c r="I404" i="2"/>
  <c r="J404" i="2"/>
  <c r="K404" i="2"/>
  <c r="L404" i="2"/>
  <c r="M404" i="2"/>
  <c r="N404" i="2"/>
  <c r="O404" i="2"/>
  <c r="A405" i="2"/>
  <c r="B405" i="2"/>
  <c r="C405" i="2"/>
  <c r="D405" i="2"/>
  <c r="E405" i="2"/>
  <c r="F405" i="2"/>
  <c r="G405" i="2"/>
  <c r="H405" i="2"/>
  <c r="I405" i="2"/>
  <c r="J405" i="2"/>
  <c r="K405" i="2"/>
  <c r="L405" i="2"/>
  <c r="M405" i="2"/>
  <c r="N405" i="2"/>
  <c r="O405" i="2"/>
  <c r="A406" i="2"/>
  <c r="B406" i="2"/>
  <c r="C406" i="2"/>
  <c r="D406" i="2"/>
  <c r="E406" i="2"/>
  <c r="F406" i="2"/>
  <c r="G406" i="2"/>
  <c r="H406" i="2"/>
  <c r="I406" i="2"/>
  <c r="J406" i="2"/>
  <c r="K406" i="2"/>
  <c r="L406" i="2"/>
  <c r="M406" i="2"/>
  <c r="N406" i="2"/>
  <c r="O406" i="2"/>
  <c r="A407" i="2"/>
  <c r="B407" i="2"/>
  <c r="C407" i="2"/>
  <c r="D407" i="2"/>
  <c r="E407" i="2"/>
  <c r="F407" i="2"/>
  <c r="G407" i="2"/>
  <c r="H407" i="2"/>
  <c r="I407" i="2"/>
  <c r="J407" i="2"/>
  <c r="K407" i="2"/>
  <c r="L407" i="2"/>
  <c r="M407" i="2"/>
  <c r="N407" i="2"/>
  <c r="O407" i="2"/>
  <c r="A408" i="2"/>
  <c r="B408" i="2"/>
  <c r="C408" i="2"/>
  <c r="D408" i="2"/>
  <c r="E408" i="2"/>
  <c r="F408" i="2"/>
  <c r="G408" i="2"/>
  <c r="H408" i="2"/>
  <c r="I408" i="2"/>
  <c r="J408" i="2"/>
  <c r="K408" i="2"/>
  <c r="L408" i="2"/>
  <c r="M408" i="2"/>
  <c r="N408" i="2"/>
  <c r="O408" i="2"/>
  <c r="A409" i="2"/>
  <c r="B409" i="2"/>
  <c r="C409" i="2"/>
  <c r="D409" i="2"/>
  <c r="E409" i="2"/>
  <c r="F409" i="2"/>
  <c r="G409" i="2"/>
  <c r="H409" i="2"/>
  <c r="I409" i="2"/>
  <c r="J409" i="2"/>
  <c r="K409" i="2"/>
  <c r="L409" i="2"/>
  <c r="M409" i="2"/>
  <c r="N409" i="2"/>
  <c r="O409" i="2"/>
  <c r="A410" i="2"/>
  <c r="B410" i="2"/>
  <c r="C410" i="2"/>
  <c r="D410" i="2"/>
  <c r="E410" i="2"/>
  <c r="F410" i="2"/>
  <c r="G410" i="2"/>
  <c r="H410" i="2"/>
  <c r="I410" i="2"/>
  <c r="J410" i="2"/>
  <c r="K410" i="2"/>
  <c r="L410" i="2"/>
  <c r="M410" i="2"/>
  <c r="N410" i="2"/>
  <c r="O410" i="2"/>
  <c r="A411" i="2"/>
  <c r="B411" i="2"/>
  <c r="C411" i="2"/>
  <c r="D411" i="2"/>
  <c r="E411" i="2"/>
  <c r="F411" i="2"/>
  <c r="G411" i="2"/>
  <c r="H411" i="2"/>
  <c r="I411" i="2"/>
  <c r="J411" i="2"/>
  <c r="K411" i="2"/>
  <c r="L411" i="2"/>
  <c r="M411" i="2"/>
  <c r="N411" i="2"/>
  <c r="O411" i="2"/>
  <c r="A412" i="2"/>
  <c r="B412" i="2"/>
  <c r="C412" i="2"/>
  <c r="D412" i="2"/>
  <c r="E412" i="2"/>
  <c r="F412" i="2"/>
  <c r="G412" i="2"/>
  <c r="H412" i="2"/>
  <c r="I412" i="2"/>
  <c r="J412" i="2"/>
  <c r="K412" i="2"/>
  <c r="L412" i="2"/>
  <c r="M412" i="2"/>
  <c r="N412" i="2"/>
  <c r="O412" i="2"/>
  <c r="A413" i="2"/>
  <c r="B413" i="2"/>
  <c r="C413" i="2"/>
  <c r="D413" i="2"/>
  <c r="E413" i="2"/>
  <c r="F413" i="2"/>
  <c r="G413" i="2"/>
  <c r="H413" i="2"/>
  <c r="I413" i="2"/>
  <c r="J413" i="2"/>
  <c r="K413" i="2"/>
  <c r="L413" i="2"/>
  <c r="M413" i="2"/>
  <c r="N413" i="2"/>
  <c r="O413" i="2"/>
  <c r="A414" i="2"/>
  <c r="B414" i="2"/>
  <c r="C414" i="2"/>
  <c r="D414" i="2"/>
  <c r="E414" i="2"/>
  <c r="F414" i="2"/>
  <c r="G414" i="2"/>
  <c r="H414" i="2"/>
  <c r="I414" i="2"/>
  <c r="J414" i="2"/>
  <c r="K414" i="2"/>
  <c r="L414" i="2"/>
  <c r="M414" i="2"/>
  <c r="N414" i="2"/>
  <c r="O414" i="2"/>
  <c r="A415" i="2"/>
  <c r="B415" i="2"/>
  <c r="C415" i="2"/>
  <c r="D415" i="2"/>
  <c r="E415" i="2"/>
  <c r="F415" i="2"/>
  <c r="G415" i="2"/>
  <c r="H415" i="2"/>
  <c r="I415" i="2"/>
  <c r="J415" i="2"/>
  <c r="K415" i="2"/>
  <c r="L415" i="2"/>
  <c r="M415" i="2"/>
  <c r="N415" i="2"/>
  <c r="O415" i="2"/>
  <c r="A416" i="2"/>
  <c r="B416" i="2"/>
  <c r="C416" i="2"/>
  <c r="D416" i="2"/>
  <c r="E416" i="2"/>
  <c r="F416" i="2"/>
  <c r="G416" i="2"/>
  <c r="H416" i="2"/>
  <c r="I416" i="2"/>
  <c r="J416" i="2"/>
  <c r="K416" i="2"/>
  <c r="L416" i="2"/>
  <c r="M416" i="2"/>
  <c r="N416" i="2"/>
  <c r="O416" i="2"/>
  <c r="A417" i="2"/>
  <c r="B417" i="2"/>
  <c r="C417" i="2"/>
  <c r="D417" i="2"/>
  <c r="E417" i="2"/>
  <c r="F417" i="2"/>
  <c r="G417" i="2"/>
  <c r="H417" i="2"/>
  <c r="I417" i="2"/>
  <c r="J417" i="2"/>
  <c r="K417" i="2"/>
  <c r="L417" i="2"/>
  <c r="M417" i="2"/>
  <c r="N417" i="2"/>
  <c r="O417" i="2"/>
  <c r="A418" i="2"/>
  <c r="B418" i="2"/>
  <c r="C418" i="2"/>
  <c r="D418" i="2"/>
  <c r="E418" i="2"/>
  <c r="F418" i="2"/>
  <c r="G418" i="2"/>
  <c r="H418" i="2"/>
  <c r="I418" i="2"/>
  <c r="J418" i="2"/>
  <c r="K418" i="2"/>
  <c r="L418" i="2"/>
  <c r="M418" i="2"/>
  <c r="N418" i="2"/>
  <c r="O418" i="2"/>
  <c r="A419" i="2"/>
  <c r="B419" i="2"/>
  <c r="C419" i="2"/>
  <c r="D419" i="2"/>
  <c r="E419" i="2"/>
  <c r="F419" i="2"/>
  <c r="G419" i="2"/>
  <c r="H419" i="2"/>
  <c r="I419" i="2"/>
  <c r="J419" i="2"/>
  <c r="K419" i="2"/>
  <c r="L419" i="2"/>
  <c r="M419" i="2"/>
  <c r="N419" i="2"/>
  <c r="O419" i="2"/>
  <c r="A420" i="2"/>
  <c r="B420" i="2"/>
  <c r="C420" i="2"/>
  <c r="D420" i="2"/>
  <c r="E420" i="2"/>
  <c r="F420" i="2"/>
  <c r="G420" i="2"/>
  <c r="H420" i="2"/>
  <c r="I420" i="2"/>
  <c r="J420" i="2"/>
  <c r="K420" i="2"/>
  <c r="L420" i="2"/>
  <c r="M420" i="2"/>
  <c r="N420" i="2"/>
  <c r="O420" i="2"/>
  <c r="A421" i="2"/>
  <c r="B421" i="2"/>
  <c r="C421" i="2"/>
  <c r="D421" i="2"/>
  <c r="E421" i="2"/>
  <c r="F421" i="2"/>
  <c r="G421" i="2"/>
  <c r="H421" i="2"/>
  <c r="I421" i="2"/>
  <c r="J421" i="2"/>
  <c r="K421" i="2"/>
  <c r="L421" i="2"/>
  <c r="M421" i="2"/>
  <c r="N421" i="2"/>
  <c r="O421" i="2"/>
  <c r="A422" i="2"/>
  <c r="B422" i="2"/>
  <c r="C422" i="2"/>
  <c r="D422" i="2"/>
  <c r="E422" i="2"/>
  <c r="F422" i="2"/>
  <c r="G422" i="2"/>
  <c r="H422" i="2"/>
  <c r="I422" i="2"/>
  <c r="J422" i="2"/>
  <c r="K422" i="2"/>
  <c r="L422" i="2"/>
  <c r="M422" i="2"/>
  <c r="N422" i="2"/>
  <c r="O422" i="2"/>
  <c r="A423" i="2"/>
  <c r="B423" i="2"/>
  <c r="C423" i="2"/>
  <c r="D423" i="2"/>
  <c r="E423" i="2"/>
  <c r="F423" i="2"/>
  <c r="G423" i="2"/>
  <c r="H423" i="2"/>
  <c r="I423" i="2"/>
  <c r="J423" i="2"/>
  <c r="K423" i="2"/>
  <c r="L423" i="2"/>
  <c r="M423" i="2"/>
  <c r="N423" i="2"/>
  <c r="O423" i="2"/>
  <c r="A424" i="2"/>
  <c r="B424" i="2"/>
  <c r="C424" i="2"/>
  <c r="D424" i="2"/>
  <c r="E424" i="2"/>
  <c r="F424" i="2"/>
  <c r="G424" i="2"/>
  <c r="H424" i="2"/>
  <c r="I424" i="2"/>
  <c r="J424" i="2"/>
  <c r="K424" i="2"/>
  <c r="L424" i="2"/>
  <c r="M424" i="2"/>
  <c r="N424" i="2"/>
  <c r="O424" i="2"/>
  <c r="A425" i="2"/>
  <c r="B425" i="2"/>
  <c r="C425" i="2"/>
  <c r="D425" i="2"/>
  <c r="E425" i="2"/>
  <c r="F425" i="2"/>
  <c r="G425" i="2"/>
  <c r="H425" i="2"/>
  <c r="I425" i="2"/>
  <c r="J425" i="2"/>
  <c r="K425" i="2"/>
  <c r="L425" i="2"/>
  <c r="M425" i="2"/>
  <c r="N425" i="2"/>
  <c r="O425" i="2"/>
  <c r="A426" i="2"/>
  <c r="B426" i="2"/>
  <c r="C426" i="2"/>
  <c r="D426" i="2"/>
  <c r="E426" i="2"/>
  <c r="F426" i="2"/>
  <c r="G426" i="2"/>
  <c r="H426" i="2"/>
  <c r="I426" i="2"/>
  <c r="J426" i="2"/>
  <c r="K426" i="2"/>
  <c r="L426" i="2"/>
  <c r="M426" i="2"/>
  <c r="N426" i="2"/>
  <c r="O426" i="2"/>
  <c r="A427" i="2"/>
  <c r="B427" i="2"/>
  <c r="C427" i="2"/>
  <c r="D427" i="2"/>
  <c r="E427" i="2"/>
  <c r="F427" i="2"/>
  <c r="G427" i="2"/>
  <c r="H427" i="2"/>
  <c r="I427" i="2"/>
  <c r="J427" i="2"/>
  <c r="K427" i="2"/>
  <c r="L427" i="2"/>
  <c r="M427" i="2"/>
  <c r="N427" i="2"/>
  <c r="O427" i="2"/>
  <c r="A428" i="2"/>
  <c r="B428" i="2"/>
  <c r="C428" i="2"/>
  <c r="D428" i="2"/>
  <c r="E428" i="2"/>
  <c r="F428" i="2"/>
  <c r="G428" i="2"/>
  <c r="H428" i="2"/>
  <c r="I428" i="2"/>
  <c r="J428" i="2"/>
  <c r="K428" i="2"/>
  <c r="L428" i="2"/>
  <c r="M428" i="2"/>
  <c r="N428" i="2"/>
  <c r="O428" i="2"/>
  <c r="A429" i="2"/>
  <c r="B429" i="2"/>
  <c r="C429" i="2"/>
  <c r="D429" i="2"/>
  <c r="E429" i="2"/>
  <c r="F429" i="2"/>
  <c r="G429" i="2"/>
  <c r="H429" i="2"/>
  <c r="I429" i="2"/>
  <c r="J429" i="2"/>
  <c r="K429" i="2"/>
  <c r="L429" i="2"/>
  <c r="M429" i="2"/>
  <c r="N429" i="2"/>
  <c r="O429" i="2"/>
  <c r="A430" i="2"/>
  <c r="B430" i="2"/>
  <c r="C430" i="2"/>
  <c r="D430" i="2"/>
  <c r="E430" i="2"/>
  <c r="F430" i="2"/>
  <c r="G430" i="2"/>
  <c r="H430" i="2"/>
  <c r="I430" i="2"/>
  <c r="J430" i="2"/>
  <c r="K430" i="2"/>
  <c r="L430" i="2"/>
  <c r="M430" i="2"/>
  <c r="N430" i="2"/>
  <c r="O430" i="2"/>
  <c r="A431" i="2"/>
  <c r="B431" i="2"/>
  <c r="C431" i="2"/>
  <c r="D431" i="2"/>
  <c r="E431" i="2"/>
  <c r="F431" i="2"/>
  <c r="G431" i="2"/>
  <c r="H431" i="2"/>
  <c r="I431" i="2"/>
  <c r="J431" i="2"/>
  <c r="K431" i="2"/>
  <c r="L431" i="2"/>
  <c r="M431" i="2"/>
  <c r="N431" i="2"/>
  <c r="O431" i="2"/>
  <c r="A432" i="2"/>
  <c r="B432" i="2"/>
  <c r="C432" i="2"/>
  <c r="D432" i="2"/>
  <c r="E432" i="2"/>
  <c r="F432" i="2"/>
  <c r="G432" i="2"/>
  <c r="H432" i="2"/>
  <c r="I432" i="2"/>
  <c r="J432" i="2"/>
  <c r="K432" i="2"/>
  <c r="L432" i="2"/>
  <c r="M432" i="2"/>
  <c r="N432" i="2"/>
  <c r="O432" i="2"/>
  <c r="A433" i="2"/>
  <c r="B433" i="2"/>
  <c r="C433" i="2"/>
  <c r="D433" i="2"/>
  <c r="E433" i="2"/>
  <c r="F433" i="2"/>
  <c r="G433" i="2"/>
  <c r="H433" i="2"/>
  <c r="I433" i="2"/>
  <c r="J433" i="2"/>
  <c r="K433" i="2"/>
  <c r="L433" i="2"/>
  <c r="M433" i="2"/>
  <c r="N433" i="2"/>
  <c r="O433" i="2"/>
  <c r="A434" i="2"/>
  <c r="B434" i="2"/>
  <c r="C434" i="2"/>
  <c r="D434" i="2"/>
  <c r="E434" i="2"/>
  <c r="F434" i="2"/>
  <c r="G434" i="2"/>
  <c r="H434" i="2"/>
  <c r="I434" i="2"/>
  <c r="J434" i="2"/>
  <c r="K434" i="2"/>
  <c r="L434" i="2"/>
  <c r="M434" i="2"/>
  <c r="N434" i="2"/>
  <c r="O434" i="2"/>
  <c r="A435" i="2"/>
  <c r="B435" i="2"/>
  <c r="C435" i="2"/>
  <c r="D435" i="2"/>
  <c r="E435" i="2"/>
  <c r="F435" i="2"/>
  <c r="G435" i="2"/>
  <c r="H435" i="2"/>
  <c r="I435" i="2"/>
  <c r="J435" i="2"/>
  <c r="K435" i="2"/>
  <c r="L435" i="2"/>
  <c r="M435" i="2"/>
  <c r="N435" i="2"/>
  <c r="O435" i="2"/>
  <c r="A436" i="2"/>
  <c r="B436" i="2"/>
  <c r="C436" i="2"/>
  <c r="D436" i="2"/>
  <c r="E436" i="2"/>
  <c r="F436" i="2"/>
  <c r="G436" i="2"/>
  <c r="H436" i="2"/>
  <c r="I436" i="2"/>
  <c r="J436" i="2"/>
  <c r="K436" i="2"/>
  <c r="L436" i="2"/>
  <c r="M436" i="2"/>
  <c r="N436" i="2"/>
  <c r="O436" i="2"/>
  <c r="A437" i="2"/>
  <c r="B437" i="2"/>
  <c r="C437" i="2"/>
  <c r="D437" i="2"/>
  <c r="E437" i="2"/>
  <c r="F437" i="2"/>
  <c r="G437" i="2"/>
  <c r="H437" i="2"/>
  <c r="I437" i="2"/>
  <c r="J437" i="2"/>
  <c r="K437" i="2"/>
  <c r="L437" i="2"/>
  <c r="M437" i="2"/>
  <c r="N437" i="2"/>
  <c r="O437" i="2"/>
  <c r="A438" i="2"/>
  <c r="B438" i="2"/>
  <c r="C438" i="2"/>
  <c r="D438" i="2"/>
  <c r="E438" i="2"/>
  <c r="F438" i="2"/>
  <c r="G438" i="2"/>
  <c r="H438" i="2"/>
  <c r="I438" i="2"/>
  <c r="J438" i="2"/>
  <c r="K438" i="2"/>
  <c r="L438" i="2"/>
  <c r="M438" i="2"/>
  <c r="N438" i="2"/>
  <c r="O438" i="2"/>
  <c r="A439" i="2"/>
  <c r="B439" i="2"/>
  <c r="C439" i="2"/>
  <c r="D439" i="2"/>
  <c r="E439" i="2"/>
  <c r="F439" i="2"/>
  <c r="G439" i="2"/>
  <c r="H439" i="2"/>
  <c r="I439" i="2"/>
  <c r="J439" i="2"/>
  <c r="K439" i="2"/>
  <c r="L439" i="2"/>
  <c r="M439" i="2"/>
  <c r="N439" i="2"/>
  <c r="O439" i="2"/>
  <c r="A440" i="2"/>
  <c r="B440" i="2"/>
  <c r="C440" i="2"/>
  <c r="D440" i="2"/>
  <c r="E440" i="2"/>
  <c r="F440" i="2"/>
  <c r="G440" i="2"/>
  <c r="H440" i="2"/>
  <c r="I440" i="2"/>
  <c r="J440" i="2"/>
  <c r="K440" i="2"/>
  <c r="L440" i="2"/>
  <c r="M440" i="2"/>
  <c r="N440" i="2"/>
  <c r="O440" i="2"/>
  <c r="A441" i="2"/>
  <c r="B441" i="2"/>
  <c r="C441" i="2"/>
  <c r="D441" i="2"/>
  <c r="E441" i="2"/>
  <c r="F441" i="2"/>
  <c r="G441" i="2"/>
  <c r="H441" i="2"/>
  <c r="I441" i="2"/>
  <c r="J441" i="2"/>
  <c r="K441" i="2"/>
  <c r="L441" i="2"/>
  <c r="M441" i="2"/>
  <c r="N441" i="2"/>
  <c r="O441" i="2"/>
  <c r="A442" i="2"/>
  <c r="B442" i="2"/>
  <c r="C442" i="2"/>
  <c r="D442" i="2"/>
  <c r="E442" i="2"/>
  <c r="F442" i="2"/>
  <c r="G442" i="2"/>
  <c r="H442" i="2"/>
  <c r="I442" i="2"/>
  <c r="J442" i="2"/>
  <c r="K442" i="2"/>
  <c r="L442" i="2"/>
  <c r="M442" i="2"/>
  <c r="N442" i="2"/>
  <c r="O442" i="2"/>
  <c r="A443" i="2"/>
  <c r="B443" i="2"/>
  <c r="C443" i="2"/>
  <c r="D443" i="2"/>
  <c r="E443" i="2"/>
  <c r="F443" i="2"/>
  <c r="G443" i="2"/>
  <c r="H443" i="2"/>
  <c r="I443" i="2"/>
  <c r="J443" i="2"/>
  <c r="K443" i="2"/>
  <c r="L443" i="2"/>
  <c r="M443" i="2"/>
  <c r="N443" i="2"/>
  <c r="O443" i="2"/>
  <c r="A444" i="2"/>
  <c r="B444" i="2"/>
  <c r="C444" i="2"/>
  <c r="D444" i="2"/>
  <c r="E444" i="2"/>
  <c r="F444" i="2"/>
  <c r="G444" i="2"/>
  <c r="H444" i="2"/>
  <c r="I444" i="2"/>
  <c r="J444" i="2"/>
  <c r="K444" i="2"/>
  <c r="L444" i="2"/>
  <c r="M444" i="2"/>
  <c r="N444" i="2"/>
  <c r="O444" i="2"/>
  <c r="A445" i="2"/>
  <c r="B445" i="2"/>
  <c r="C445" i="2"/>
  <c r="D445" i="2"/>
  <c r="E445" i="2"/>
  <c r="F445" i="2"/>
  <c r="G445" i="2"/>
  <c r="H445" i="2"/>
  <c r="I445" i="2"/>
  <c r="J445" i="2"/>
  <c r="K445" i="2"/>
  <c r="L445" i="2"/>
  <c r="M445" i="2"/>
  <c r="N445" i="2"/>
  <c r="O445" i="2"/>
  <c r="A446" i="2"/>
  <c r="B446" i="2"/>
  <c r="C446" i="2"/>
  <c r="D446" i="2"/>
  <c r="E446" i="2"/>
  <c r="F446" i="2"/>
  <c r="G446" i="2"/>
  <c r="H446" i="2"/>
  <c r="I446" i="2"/>
  <c r="J446" i="2"/>
  <c r="K446" i="2"/>
  <c r="L446" i="2"/>
  <c r="M446" i="2"/>
  <c r="N446" i="2"/>
  <c r="O446" i="2"/>
  <c r="A447" i="2"/>
  <c r="B447" i="2"/>
  <c r="C447" i="2"/>
  <c r="D447" i="2"/>
  <c r="E447" i="2"/>
  <c r="F447" i="2"/>
  <c r="G447" i="2"/>
  <c r="H447" i="2"/>
  <c r="I447" i="2"/>
  <c r="J447" i="2"/>
  <c r="K447" i="2"/>
  <c r="L447" i="2"/>
  <c r="M447" i="2"/>
  <c r="N447" i="2"/>
  <c r="O447" i="2"/>
  <c r="A448" i="2"/>
  <c r="B448" i="2"/>
  <c r="C448" i="2"/>
  <c r="D448" i="2"/>
  <c r="E448" i="2"/>
  <c r="F448" i="2"/>
  <c r="G448" i="2"/>
  <c r="H448" i="2"/>
  <c r="I448" i="2"/>
  <c r="J448" i="2"/>
  <c r="K448" i="2"/>
  <c r="L448" i="2"/>
  <c r="M448" i="2"/>
  <c r="N448" i="2"/>
  <c r="O448" i="2"/>
  <c r="A449" i="2"/>
  <c r="B449" i="2"/>
  <c r="C449" i="2"/>
  <c r="D449" i="2"/>
  <c r="E449" i="2"/>
  <c r="F449" i="2"/>
  <c r="G449" i="2"/>
  <c r="H449" i="2"/>
  <c r="I449" i="2"/>
  <c r="J449" i="2"/>
  <c r="K449" i="2"/>
  <c r="L449" i="2"/>
  <c r="M449" i="2"/>
  <c r="N449" i="2"/>
  <c r="O449" i="2"/>
  <c r="A450" i="2"/>
  <c r="B450" i="2"/>
  <c r="C450" i="2"/>
  <c r="D450" i="2"/>
  <c r="E450" i="2"/>
  <c r="F450" i="2"/>
  <c r="G450" i="2"/>
  <c r="H450" i="2"/>
  <c r="I450" i="2"/>
  <c r="J450" i="2"/>
  <c r="K450" i="2"/>
  <c r="L450" i="2"/>
  <c r="M450" i="2"/>
  <c r="N450" i="2"/>
  <c r="O450" i="2"/>
  <c r="A451" i="2"/>
  <c r="B451" i="2"/>
  <c r="C451" i="2"/>
  <c r="D451" i="2"/>
  <c r="E451" i="2"/>
  <c r="F451" i="2"/>
  <c r="G451" i="2"/>
  <c r="H451" i="2"/>
  <c r="I451" i="2"/>
  <c r="J451" i="2"/>
  <c r="K451" i="2"/>
  <c r="L451" i="2"/>
  <c r="M451" i="2"/>
  <c r="N451" i="2"/>
  <c r="O451" i="2"/>
  <c r="A452" i="2"/>
  <c r="B452" i="2"/>
  <c r="C452" i="2"/>
  <c r="D452" i="2"/>
  <c r="E452" i="2"/>
  <c r="F452" i="2"/>
  <c r="G452" i="2"/>
  <c r="H452" i="2"/>
  <c r="I452" i="2"/>
  <c r="J452" i="2"/>
  <c r="K452" i="2"/>
  <c r="L452" i="2"/>
  <c r="M452" i="2"/>
  <c r="N452" i="2"/>
  <c r="O452" i="2"/>
  <c r="A453" i="2"/>
  <c r="B453" i="2"/>
  <c r="C453" i="2"/>
  <c r="D453" i="2"/>
  <c r="E453" i="2"/>
  <c r="F453" i="2"/>
  <c r="G453" i="2"/>
  <c r="H453" i="2"/>
  <c r="I453" i="2"/>
  <c r="J453" i="2"/>
  <c r="K453" i="2"/>
  <c r="L453" i="2"/>
  <c r="M453" i="2"/>
  <c r="N453" i="2"/>
  <c r="O453" i="2"/>
  <c r="A454" i="2"/>
  <c r="B454" i="2"/>
  <c r="C454" i="2"/>
  <c r="D454" i="2"/>
  <c r="E454" i="2"/>
  <c r="F454" i="2"/>
  <c r="G454" i="2"/>
  <c r="H454" i="2"/>
  <c r="I454" i="2"/>
  <c r="J454" i="2"/>
  <c r="K454" i="2"/>
  <c r="L454" i="2"/>
  <c r="M454" i="2"/>
  <c r="N454" i="2"/>
  <c r="O454" i="2"/>
  <c r="A455" i="2"/>
  <c r="B455" i="2"/>
  <c r="C455" i="2"/>
  <c r="D455" i="2"/>
  <c r="E455" i="2"/>
  <c r="F455" i="2"/>
  <c r="G455" i="2"/>
  <c r="H455" i="2"/>
  <c r="I455" i="2"/>
  <c r="J455" i="2"/>
  <c r="K455" i="2"/>
  <c r="L455" i="2"/>
  <c r="M455" i="2"/>
  <c r="N455" i="2"/>
  <c r="O455" i="2"/>
  <c r="A456" i="2"/>
  <c r="B456" i="2"/>
  <c r="C456" i="2"/>
  <c r="D456" i="2"/>
  <c r="E456" i="2"/>
  <c r="F456" i="2"/>
  <c r="G456" i="2"/>
  <c r="H456" i="2"/>
  <c r="I456" i="2"/>
  <c r="J456" i="2"/>
  <c r="K456" i="2"/>
  <c r="L456" i="2"/>
  <c r="M456" i="2"/>
  <c r="N456" i="2"/>
  <c r="O456" i="2"/>
  <c r="A457" i="2"/>
  <c r="B457" i="2"/>
  <c r="C457" i="2"/>
  <c r="D457" i="2"/>
  <c r="E457" i="2"/>
  <c r="F457" i="2"/>
  <c r="G457" i="2"/>
  <c r="H457" i="2"/>
  <c r="I457" i="2"/>
  <c r="J457" i="2"/>
  <c r="K457" i="2"/>
  <c r="L457" i="2"/>
  <c r="M457" i="2"/>
  <c r="N457" i="2"/>
  <c r="O457" i="2"/>
  <c r="A458" i="2"/>
  <c r="B458" i="2"/>
  <c r="C458" i="2"/>
  <c r="D458" i="2"/>
  <c r="E458" i="2"/>
  <c r="F458" i="2"/>
  <c r="G458" i="2"/>
  <c r="H458" i="2"/>
  <c r="I458" i="2"/>
  <c r="J458" i="2"/>
  <c r="K458" i="2"/>
  <c r="L458" i="2"/>
  <c r="M458" i="2"/>
  <c r="N458" i="2"/>
  <c r="O458" i="2"/>
  <c r="A459" i="2"/>
  <c r="B459" i="2"/>
  <c r="C459" i="2"/>
  <c r="D459" i="2"/>
  <c r="E459" i="2"/>
  <c r="F459" i="2"/>
  <c r="G459" i="2"/>
  <c r="H459" i="2"/>
  <c r="I459" i="2"/>
  <c r="J459" i="2"/>
  <c r="K459" i="2"/>
  <c r="L459" i="2"/>
  <c r="M459" i="2"/>
  <c r="N459" i="2"/>
  <c r="O459" i="2"/>
  <c r="A460" i="2"/>
  <c r="B460" i="2"/>
  <c r="C460" i="2"/>
  <c r="D460" i="2"/>
  <c r="E460" i="2"/>
  <c r="F460" i="2"/>
  <c r="G460" i="2"/>
  <c r="H460" i="2"/>
  <c r="I460" i="2"/>
  <c r="J460" i="2"/>
  <c r="K460" i="2"/>
  <c r="L460" i="2"/>
  <c r="M460" i="2"/>
  <c r="N460" i="2"/>
  <c r="O460" i="2"/>
  <c r="A461" i="2"/>
  <c r="B461" i="2"/>
  <c r="C461" i="2"/>
  <c r="D461" i="2"/>
  <c r="E461" i="2"/>
  <c r="F461" i="2"/>
  <c r="G461" i="2"/>
  <c r="H461" i="2"/>
  <c r="I461" i="2"/>
  <c r="J461" i="2"/>
  <c r="K461" i="2"/>
  <c r="L461" i="2"/>
  <c r="M461" i="2"/>
  <c r="N461" i="2"/>
  <c r="O461" i="2"/>
  <c r="A462" i="2"/>
  <c r="B462" i="2"/>
  <c r="C462" i="2"/>
  <c r="D462" i="2"/>
  <c r="E462" i="2"/>
  <c r="F462" i="2"/>
  <c r="G462" i="2"/>
  <c r="H462" i="2"/>
  <c r="I462" i="2"/>
  <c r="J462" i="2"/>
  <c r="K462" i="2"/>
  <c r="L462" i="2"/>
  <c r="M462" i="2"/>
  <c r="N462" i="2"/>
  <c r="O462" i="2"/>
  <c r="A463" i="2"/>
  <c r="B463" i="2"/>
  <c r="C463" i="2"/>
  <c r="D463" i="2"/>
  <c r="E463" i="2"/>
  <c r="F463" i="2"/>
  <c r="G463" i="2"/>
  <c r="H463" i="2"/>
  <c r="I463" i="2"/>
  <c r="J463" i="2"/>
  <c r="K463" i="2"/>
  <c r="L463" i="2"/>
  <c r="M463" i="2"/>
  <c r="N463" i="2"/>
  <c r="O463" i="2"/>
  <c r="A464" i="2"/>
  <c r="B464" i="2"/>
  <c r="C464" i="2"/>
  <c r="D464" i="2"/>
  <c r="E464" i="2"/>
  <c r="F464" i="2"/>
  <c r="G464" i="2"/>
  <c r="H464" i="2"/>
  <c r="I464" i="2"/>
  <c r="J464" i="2"/>
  <c r="K464" i="2"/>
  <c r="L464" i="2"/>
  <c r="M464" i="2"/>
  <c r="N464" i="2"/>
  <c r="O464" i="2"/>
  <c r="A465" i="2"/>
  <c r="B465" i="2"/>
  <c r="C465" i="2"/>
  <c r="D465" i="2"/>
  <c r="E465" i="2"/>
  <c r="F465" i="2"/>
  <c r="G465" i="2"/>
  <c r="H465" i="2"/>
  <c r="I465" i="2"/>
  <c r="J465" i="2"/>
  <c r="K465" i="2"/>
  <c r="L465" i="2"/>
  <c r="M465" i="2"/>
  <c r="N465" i="2"/>
  <c r="O465" i="2"/>
  <c r="A466" i="2"/>
  <c r="B466" i="2"/>
  <c r="C466" i="2"/>
  <c r="D466" i="2"/>
  <c r="E466" i="2"/>
  <c r="F466" i="2"/>
  <c r="G466" i="2"/>
  <c r="H466" i="2"/>
  <c r="I466" i="2"/>
  <c r="J466" i="2"/>
  <c r="K466" i="2"/>
  <c r="L466" i="2"/>
  <c r="M466" i="2"/>
  <c r="N466" i="2"/>
  <c r="O466" i="2"/>
  <c r="A467" i="2"/>
  <c r="B467" i="2"/>
  <c r="C467" i="2"/>
  <c r="D467" i="2"/>
  <c r="E467" i="2"/>
  <c r="F467" i="2"/>
  <c r="G467" i="2"/>
  <c r="H467" i="2"/>
  <c r="I467" i="2"/>
  <c r="J467" i="2"/>
  <c r="K467" i="2"/>
  <c r="L467" i="2"/>
  <c r="M467" i="2"/>
  <c r="N467" i="2"/>
  <c r="O467" i="2"/>
  <c r="A468" i="2"/>
  <c r="B468" i="2"/>
  <c r="C468" i="2"/>
  <c r="D468" i="2"/>
  <c r="E468" i="2"/>
  <c r="F468" i="2"/>
  <c r="G468" i="2"/>
  <c r="H468" i="2"/>
  <c r="I468" i="2"/>
  <c r="J468" i="2"/>
  <c r="K468" i="2"/>
  <c r="L468" i="2"/>
  <c r="M468" i="2"/>
  <c r="N468" i="2"/>
  <c r="O468" i="2"/>
  <c r="A469" i="2"/>
  <c r="B469" i="2"/>
  <c r="C469" i="2"/>
  <c r="D469" i="2"/>
  <c r="E469" i="2"/>
  <c r="F469" i="2"/>
  <c r="G469" i="2"/>
  <c r="H469" i="2"/>
  <c r="I469" i="2"/>
  <c r="J469" i="2"/>
  <c r="K469" i="2"/>
  <c r="L469" i="2"/>
  <c r="M469" i="2"/>
  <c r="N469" i="2"/>
  <c r="O469" i="2"/>
  <c r="A470" i="2"/>
  <c r="B470" i="2"/>
  <c r="C470" i="2"/>
  <c r="D470" i="2"/>
  <c r="E470" i="2"/>
  <c r="F470" i="2"/>
  <c r="G470" i="2"/>
  <c r="H470" i="2"/>
  <c r="I470" i="2"/>
  <c r="J470" i="2"/>
  <c r="K470" i="2"/>
  <c r="L470" i="2"/>
  <c r="M470" i="2"/>
  <c r="N470" i="2"/>
  <c r="O470" i="2"/>
  <c r="A471" i="2"/>
  <c r="B471" i="2"/>
  <c r="C471" i="2"/>
  <c r="D471" i="2"/>
  <c r="E471" i="2"/>
  <c r="F471" i="2"/>
  <c r="G471" i="2"/>
  <c r="H471" i="2"/>
  <c r="I471" i="2"/>
  <c r="J471" i="2"/>
  <c r="K471" i="2"/>
  <c r="L471" i="2"/>
  <c r="M471" i="2"/>
  <c r="N471" i="2"/>
  <c r="O471" i="2"/>
  <c r="A472" i="2"/>
  <c r="B472" i="2"/>
  <c r="C472" i="2"/>
  <c r="D472" i="2"/>
  <c r="E472" i="2"/>
  <c r="F472" i="2"/>
  <c r="G472" i="2"/>
  <c r="H472" i="2"/>
  <c r="I472" i="2"/>
  <c r="J472" i="2"/>
  <c r="K472" i="2"/>
  <c r="L472" i="2"/>
  <c r="M472" i="2"/>
  <c r="N472" i="2"/>
  <c r="O472" i="2"/>
  <c r="A473" i="2"/>
  <c r="B473" i="2"/>
  <c r="C473" i="2"/>
  <c r="D473" i="2"/>
  <c r="E473" i="2"/>
  <c r="F473" i="2"/>
  <c r="G473" i="2"/>
  <c r="H473" i="2"/>
  <c r="I473" i="2"/>
  <c r="J473" i="2"/>
  <c r="K473" i="2"/>
  <c r="L473" i="2"/>
  <c r="M473" i="2"/>
  <c r="N473" i="2"/>
  <c r="O473" i="2"/>
  <c r="A474" i="2"/>
  <c r="B474" i="2"/>
  <c r="C474" i="2"/>
  <c r="D474" i="2"/>
  <c r="E474" i="2"/>
  <c r="F474" i="2"/>
  <c r="G474" i="2"/>
  <c r="H474" i="2"/>
  <c r="I474" i="2"/>
  <c r="J474" i="2"/>
  <c r="K474" i="2"/>
  <c r="L474" i="2"/>
  <c r="M474" i="2"/>
  <c r="N474" i="2"/>
  <c r="O474" i="2"/>
  <c r="A475" i="2"/>
  <c r="B475" i="2"/>
  <c r="C475" i="2"/>
  <c r="D475" i="2"/>
  <c r="E475" i="2"/>
  <c r="F475" i="2"/>
  <c r="G475" i="2"/>
  <c r="H475" i="2"/>
  <c r="I475" i="2"/>
  <c r="J475" i="2"/>
  <c r="K475" i="2"/>
  <c r="L475" i="2"/>
  <c r="M475" i="2"/>
  <c r="N475" i="2"/>
  <c r="O475" i="2"/>
  <c r="A476" i="2"/>
  <c r="B476" i="2"/>
  <c r="C476" i="2"/>
  <c r="D476" i="2"/>
  <c r="E476" i="2"/>
  <c r="F476" i="2"/>
  <c r="G476" i="2"/>
  <c r="H476" i="2"/>
  <c r="I476" i="2"/>
  <c r="J476" i="2"/>
  <c r="K476" i="2"/>
  <c r="L476" i="2"/>
  <c r="M476" i="2"/>
  <c r="N476" i="2"/>
  <c r="O476" i="2"/>
  <c r="A477" i="2"/>
  <c r="B477" i="2"/>
  <c r="C477" i="2"/>
  <c r="D477" i="2"/>
  <c r="E477" i="2"/>
  <c r="F477" i="2"/>
  <c r="G477" i="2"/>
  <c r="H477" i="2"/>
  <c r="I477" i="2"/>
  <c r="J477" i="2"/>
  <c r="K477" i="2"/>
  <c r="L477" i="2"/>
  <c r="M477" i="2"/>
  <c r="N477" i="2"/>
  <c r="O477" i="2"/>
  <c r="A478" i="2"/>
  <c r="B478" i="2"/>
  <c r="C478" i="2"/>
  <c r="D478" i="2"/>
  <c r="E478" i="2"/>
  <c r="F478" i="2"/>
  <c r="G478" i="2"/>
  <c r="H478" i="2"/>
  <c r="I478" i="2"/>
  <c r="J478" i="2"/>
  <c r="K478" i="2"/>
  <c r="L478" i="2"/>
  <c r="M478" i="2"/>
  <c r="N478" i="2"/>
  <c r="O478" i="2"/>
  <c r="A479" i="2"/>
  <c r="B479" i="2"/>
  <c r="C479" i="2"/>
  <c r="D479" i="2"/>
  <c r="E479" i="2"/>
  <c r="F479" i="2"/>
  <c r="G479" i="2"/>
  <c r="H479" i="2"/>
  <c r="I479" i="2"/>
  <c r="J479" i="2"/>
  <c r="K479" i="2"/>
  <c r="L479" i="2"/>
  <c r="M479" i="2"/>
  <c r="N479" i="2"/>
  <c r="O479" i="2"/>
  <c r="A480" i="2"/>
  <c r="B480" i="2"/>
  <c r="C480" i="2"/>
  <c r="D480" i="2"/>
  <c r="E480" i="2"/>
  <c r="F480" i="2"/>
  <c r="G480" i="2"/>
  <c r="H480" i="2"/>
  <c r="I480" i="2"/>
  <c r="J480" i="2"/>
  <c r="K480" i="2"/>
  <c r="L480" i="2"/>
  <c r="M480" i="2"/>
  <c r="N480" i="2"/>
  <c r="O480" i="2"/>
  <c r="A481" i="2"/>
  <c r="B481" i="2"/>
  <c r="C481" i="2"/>
  <c r="D481" i="2"/>
  <c r="E481" i="2"/>
  <c r="F481" i="2"/>
  <c r="G481" i="2"/>
  <c r="H481" i="2"/>
  <c r="I481" i="2"/>
  <c r="J481" i="2"/>
  <c r="K481" i="2"/>
  <c r="L481" i="2"/>
  <c r="M481" i="2"/>
  <c r="N481" i="2"/>
  <c r="O481" i="2"/>
  <c r="A482" i="2"/>
  <c r="B482" i="2"/>
  <c r="C482" i="2"/>
  <c r="D482" i="2"/>
  <c r="E482" i="2"/>
  <c r="F482" i="2"/>
  <c r="G482" i="2"/>
  <c r="H482" i="2"/>
  <c r="I482" i="2"/>
  <c r="J482" i="2"/>
  <c r="K482" i="2"/>
  <c r="L482" i="2"/>
  <c r="M482" i="2"/>
  <c r="N482" i="2"/>
  <c r="O482" i="2"/>
  <c r="A483" i="2"/>
  <c r="B483" i="2"/>
  <c r="C483" i="2"/>
  <c r="D483" i="2"/>
  <c r="E483" i="2"/>
  <c r="F483" i="2"/>
  <c r="G483" i="2"/>
  <c r="H483" i="2"/>
  <c r="I483" i="2"/>
  <c r="J483" i="2"/>
  <c r="K483" i="2"/>
  <c r="L483" i="2"/>
  <c r="M483" i="2"/>
  <c r="N483" i="2"/>
  <c r="O483" i="2"/>
  <c r="A484" i="2"/>
  <c r="B484" i="2"/>
  <c r="C484" i="2"/>
  <c r="D484" i="2"/>
  <c r="E484" i="2"/>
  <c r="F484" i="2"/>
  <c r="G484" i="2"/>
  <c r="H484" i="2"/>
  <c r="I484" i="2"/>
  <c r="J484" i="2"/>
  <c r="K484" i="2"/>
  <c r="L484" i="2"/>
  <c r="M484" i="2"/>
  <c r="N484" i="2"/>
  <c r="O484" i="2"/>
  <c r="A485" i="2"/>
  <c r="B485" i="2"/>
  <c r="C485" i="2"/>
  <c r="D485" i="2"/>
  <c r="E485" i="2"/>
  <c r="F485" i="2"/>
  <c r="G485" i="2"/>
  <c r="H485" i="2"/>
  <c r="I485" i="2"/>
  <c r="J485" i="2"/>
  <c r="K485" i="2"/>
  <c r="L485" i="2"/>
  <c r="M485" i="2"/>
  <c r="N485" i="2"/>
  <c r="O485" i="2"/>
  <c r="A486" i="2"/>
  <c r="B486" i="2"/>
  <c r="C486" i="2"/>
  <c r="D486" i="2"/>
  <c r="E486" i="2"/>
  <c r="F486" i="2"/>
  <c r="G486" i="2"/>
  <c r="H486" i="2"/>
  <c r="I486" i="2"/>
  <c r="J486" i="2"/>
  <c r="K486" i="2"/>
  <c r="L486" i="2"/>
  <c r="M486" i="2"/>
  <c r="N486" i="2"/>
  <c r="O486" i="2"/>
  <c r="A487" i="2"/>
  <c r="B487" i="2"/>
  <c r="C487" i="2"/>
  <c r="D487" i="2"/>
  <c r="E487" i="2"/>
  <c r="F487" i="2"/>
  <c r="G487" i="2"/>
  <c r="H487" i="2"/>
  <c r="I487" i="2"/>
  <c r="J487" i="2"/>
  <c r="K487" i="2"/>
  <c r="L487" i="2"/>
  <c r="M487" i="2"/>
  <c r="N487" i="2"/>
  <c r="O487" i="2"/>
  <c r="A488" i="2"/>
  <c r="B488" i="2"/>
  <c r="C488" i="2"/>
  <c r="D488" i="2"/>
  <c r="E488" i="2"/>
  <c r="F488" i="2"/>
  <c r="G488" i="2"/>
  <c r="H488" i="2"/>
  <c r="I488" i="2"/>
  <c r="J488" i="2"/>
  <c r="K488" i="2"/>
  <c r="L488" i="2"/>
  <c r="M488" i="2"/>
  <c r="N488" i="2"/>
  <c r="O488" i="2"/>
  <c r="A489" i="2"/>
  <c r="B489" i="2"/>
  <c r="C489" i="2"/>
  <c r="D489" i="2"/>
  <c r="E489" i="2"/>
  <c r="F489" i="2"/>
  <c r="G489" i="2"/>
  <c r="H489" i="2"/>
  <c r="I489" i="2"/>
  <c r="J489" i="2"/>
  <c r="K489" i="2"/>
  <c r="L489" i="2"/>
  <c r="M489" i="2"/>
  <c r="N489" i="2"/>
  <c r="O489" i="2"/>
  <c r="A490" i="2"/>
  <c r="B490" i="2"/>
  <c r="C490" i="2"/>
  <c r="D490" i="2"/>
  <c r="E490" i="2"/>
  <c r="F490" i="2"/>
  <c r="G490" i="2"/>
  <c r="H490" i="2"/>
  <c r="I490" i="2"/>
  <c r="J490" i="2"/>
  <c r="K490" i="2"/>
  <c r="L490" i="2"/>
  <c r="M490" i="2"/>
  <c r="N490" i="2"/>
  <c r="O490" i="2"/>
  <c r="A491" i="2"/>
  <c r="B491" i="2"/>
  <c r="C491" i="2"/>
  <c r="D491" i="2"/>
  <c r="E491" i="2"/>
  <c r="F491" i="2"/>
  <c r="G491" i="2"/>
  <c r="H491" i="2"/>
  <c r="I491" i="2"/>
  <c r="J491" i="2"/>
  <c r="K491" i="2"/>
  <c r="L491" i="2"/>
  <c r="M491" i="2"/>
  <c r="N491" i="2"/>
  <c r="O491" i="2"/>
  <c r="A492" i="2"/>
  <c r="B492" i="2"/>
  <c r="C492" i="2"/>
  <c r="D492" i="2"/>
  <c r="E492" i="2"/>
  <c r="F492" i="2"/>
  <c r="G492" i="2"/>
  <c r="H492" i="2"/>
  <c r="I492" i="2"/>
  <c r="J492" i="2"/>
  <c r="K492" i="2"/>
  <c r="L492" i="2"/>
  <c r="M492" i="2"/>
  <c r="N492" i="2"/>
  <c r="O492" i="2"/>
  <c r="A493" i="2"/>
  <c r="B493" i="2"/>
  <c r="C493" i="2"/>
  <c r="D493" i="2"/>
  <c r="E493" i="2"/>
  <c r="F493" i="2"/>
  <c r="G493" i="2"/>
  <c r="H493" i="2"/>
  <c r="I493" i="2"/>
  <c r="J493" i="2"/>
  <c r="K493" i="2"/>
  <c r="L493" i="2"/>
  <c r="M493" i="2"/>
  <c r="N493" i="2"/>
  <c r="O493" i="2"/>
  <c r="A494" i="2"/>
  <c r="B494" i="2"/>
  <c r="C494" i="2"/>
  <c r="D494" i="2"/>
  <c r="E494" i="2"/>
  <c r="F494" i="2"/>
  <c r="G494" i="2"/>
  <c r="H494" i="2"/>
  <c r="I494" i="2"/>
  <c r="J494" i="2"/>
  <c r="K494" i="2"/>
  <c r="L494" i="2"/>
  <c r="M494" i="2"/>
  <c r="N494" i="2"/>
  <c r="O494" i="2"/>
  <c r="A495" i="2"/>
  <c r="B495" i="2"/>
  <c r="C495" i="2"/>
  <c r="D495" i="2"/>
  <c r="E495" i="2"/>
  <c r="F495" i="2"/>
  <c r="G495" i="2"/>
  <c r="H495" i="2"/>
  <c r="I495" i="2"/>
  <c r="J495" i="2"/>
  <c r="K495" i="2"/>
  <c r="L495" i="2"/>
  <c r="M495" i="2"/>
  <c r="N495" i="2"/>
  <c r="O495" i="2"/>
  <c r="A496" i="2"/>
  <c r="B496" i="2"/>
  <c r="C496" i="2"/>
  <c r="D496" i="2"/>
  <c r="E496" i="2"/>
  <c r="F496" i="2"/>
  <c r="G496" i="2"/>
  <c r="H496" i="2"/>
  <c r="I496" i="2"/>
  <c r="J496" i="2"/>
  <c r="K496" i="2"/>
  <c r="L496" i="2"/>
  <c r="M496" i="2"/>
  <c r="N496" i="2"/>
  <c r="O496" i="2"/>
  <c r="A497" i="2"/>
  <c r="B497" i="2"/>
  <c r="C497" i="2"/>
  <c r="D497" i="2"/>
  <c r="E497" i="2"/>
  <c r="F497" i="2"/>
  <c r="G497" i="2"/>
  <c r="H497" i="2"/>
  <c r="I497" i="2"/>
  <c r="J497" i="2"/>
  <c r="K497" i="2"/>
  <c r="L497" i="2"/>
  <c r="M497" i="2"/>
  <c r="N497" i="2"/>
  <c r="O497" i="2"/>
  <c r="A498" i="2"/>
  <c r="B498" i="2"/>
  <c r="C498" i="2"/>
  <c r="D498" i="2"/>
  <c r="E498" i="2"/>
  <c r="F498" i="2"/>
  <c r="G498" i="2"/>
  <c r="H498" i="2"/>
  <c r="I498" i="2"/>
  <c r="J498" i="2"/>
  <c r="K498" i="2"/>
  <c r="L498" i="2"/>
  <c r="M498" i="2"/>
  <c r="N498" i="2"/>
  <c r="O498" i="2"/>
  <c r="A499" i="2"/>
  <c r="B499" i="2"/>
  <c r="C499" i="2"/>
  <c r="D499" i="2"/>
  <c r="E499" i="2"/>
  <c r="F499" i="2"/>
  <c r="G499" i="2"/>
  <c r="H499" i="2"/>
  <c r="I499" i="2"/>
  <c r="J499" i="2"/>
  <c r="K499" i="2"/>
  <c r="L499" i="2"/>
  <c r="M499" i="2"/>
  <c r="N499" i="2"/>
  <c r="O499" i="2"/>
  <c r="A500" i="2"/>
  <c r="B500" i="2"/>
  <c r="C500" i="2"/>
  <c r="D500" i="2"/>
  <c r="E500" i="2"/>
  <c r="F500" i="2"/>
  <c r="G500" i="2"/>
  <c r="H500" i="2"/>
  <c r="I500" i="2"/>
  <c r="J500" i="2"/>
  <c r="K500" i="2"/>
  <c r="L500" i="2"/>
  <c r="M500" i="2"/>
  <c r="N500" i="2"/>
  <c r="O500" i="2"/>
  <c r="A501" i="2"/>
  <c r="B501" i="2"/>
  <c r="C501" i="2"/>
  <c r="D501" i="2"/>
  <c r="E501" i="2"/>
  <c r="F501" i="2"/>
  <c r="G501" i="2"/>
  <c r="H501" i="2"/>
  <c r="I501" i="2"/>
  <c r="J501" i="2"/>
  <c r="K501" i="2"/>
  <c r="L501" i="2"/>
  <c r="M501" i="2"/>
  <c r="N501" i="2"/>
  <c r="O501" i="2"/>
  <c r="A502" i="2"/>
  <c r="B502" i="2"/>
  <c r="C502" i="2"/>
  <c r="D502" i="2"/>
  <c r="E502" i="2"/>
  <c r="F502" i="2"/>
  <c r="G502" i="2"/>
  <c r="H502" i="2"/>
  <c r="I502" i="2"/>
  <c r="J502" i="2"/>
  <c r="K502" i="2"/>
  <c r="L502" i="2"/>
  <c r="M502" i="2"/>
  <c r="N502" i="2"/>
  <c r="O502" i="2"/>
  <c r="A503" i="2"/>
  <c r="B503" i="2"/>
  <c r="C503" i="2"/>
  <c r="D503" i="2"/>
  <c r="E503" i="2"/>
  <c r="F503" i="2"/>
  <c r="G503" i="2"/>
  <c r="H503" i="2"/>
  <c r="I503" i="2"/>
  <c r="J503" i="2"/>
  <c r="K503" i="2"/>
  <c r="L503" i="2"/>
  <c r="M503" i="2"/>
  <c r="N503" i="2"/>
  <c r="O503" i="2"/>
  <c r="A504" i="2"/>
  <c r="B504" i="2"/>
  <c r="C504" i="2"/>
  <c r="D504" i="2"/>
  <c r="E504" i="2"/>
  <c r="F504" i="2"/>
  <c r="G504" i="2"/>
  <c r="H504" i="2"/>
  <c r="I504" i="2"/>
  <c r="J504" i="2"/>
  <c r="K504" i="2"/>
  <c r="L504" i="2"/>
  <c r="M504" i="2"/>
  <c r="N504" i="2"/>
  <c r="O504" i="2"/>
  <c r="A505" i="2"/>
  <c r="B505" i="2"/>
  <c r="C505" i="2"/>
  <c r="D505" i="2"/>
  <c r="E505" i="2"/>
  <c r="F505" i="2"/>
  <c r="G505" i="2"/>
  <c r="H505" i="2"/>
  <c r="I505" i="2"/>
  <c r="J505" i="2"/>
  <c r="K505" i="2"/>
  <c r="L505" i="2"/>
  <c r="M505" i="2"/>
  <c r="N505" i="2"/>
  <c r="O505" i="2"/>
  <c r="A506" i="2"/>
  <c r="B506" i="2"/>
  <c r="C506" i="2"/>
  <c r="D506" i="2"/>
  <c r="E506" i="2"/>
  <c r="F506" i="2"/>
  <c r="G506" i="2"/>
  <c r="H506" i="2"/>
  <c r="I506" i="2"/>
  <c r="J506" i="2"/>
  <c r="K506" i="2"/>
  <c r="L506" i="2"/>
  <c r="M506" i="2"/>
  <c r="N506" i="2"/>
  <c r="O506" i="2"/>
  <c r="A507" i="2"/>
  <c r="B507" i="2"/>
  <c r="C507" i="2"/>
  <c r="D507" i="2"/>
  <c r="E507" i="2"/>
  <c r="F507" i="2"/>
  <c r="G507" i="2"/>
  <c r="H507" i="2"/>
  <c r="I507" i="2"/>
  <c r="J507" i="2"/>
  <c r="K507" i="2"/>
  <c r="L507" i="2"/>
  <c r="M507" i="2"/>
  <c r="N507" i="2"/>
  <c r="O507" i="2"/>
  <c r="A508" i="2"/>
  <c r="B508" i="2"/>
  <c r="C508" i="2"/>
  <c r="D508" i="2"/>
  <c r="E508" i="2"/>
  <c r="F508" i="2"/>
  <c r="G508" i="2"/>
  <c r="H508" i="2"/>
  <c r="I508" i="2"/>
  <c r="J508" i="2"/>
  <c r="K508" i="2"/>
  <c r="L508" i="2"/>
  <c r="M508" i="2"/>
  <c r="N508" i="2"/>
  <c r="O508" i="2"/>
  <c r="A509" i="2"/>
  <c r="B509" i="2"/>
  <c r="C509" i="2"/>
  <c r="D509" i="2"/>
  <c r="E509" i="2"/>
  <c r="F509" i="2"/>
  <c r="G509" i="2"/>
  <c r="H509" i="2"/>
  <c r="I509" i="2"/>
  <c r="J509" i="2"/>
  <c r="K509" i="2"/>
  <c r="L509" i="2"/>
  <c r="M509" i="2"/>
  <c r="N509" i="2"/>
  <c r="O509" i="2"/>
  <c r="D53" i="6"/>
  <c r="D207" i="6" s="1"/>
  <c r="D54" i="6"/>
  <c r="D208" i="6" s="1"/>
  <c r="D25" i="6"/>
  <c r="D182" i="6" s="1"/>
  <c r="D27" i="6"/>
  <c r="D184" i="6" s="1"/>
  <c r="D28" i="6"/>
  <c r="D185" i="6" s="1"/>
  <c r="D29" i="6"/>
  <c r="D186" i="6" s="1"/>
  <c r="D30" i="6"/>
  <c r="D31" i="6"/>
  <c r="D32" i="6"/>
  <c r="D81" i="6" s="1"/>
  <c r="D262" i="6" s="1"/>
  <c r="D33" i="6"/>
  <c r="D8" i="6"/>
  <c r="D9" i="6"/>
  <c r="D10" i="6"/>
  <c r="D11" i="6"/>
  <c r="D12" i="6"/>
  <c r="D13" i="6"/>
  <c r="D15" i="6"/>
  <c r="D17" i="6"/>
  <c r="D18" i="6"/>
  <c r="D19" i="6"/>
  <c r="D20" i="6"/>
  <c r="D4" i="6"/>
  <c r="D145" i="6" l="1"/>
  <c r="D130" i="6"/>
  <c r="D266" i="6" s="1"/>
  <c r="D79" i="6"/>
  <c r="D260" i="6" s="1"/>
  <c r="D187" i="6"/>
  <c r="D80" i="6"/>
  <c r="D261" i="6" s="1"/>
  <c r="D188" i="6"/>
  <c r="D78" i="6"/>
  <c r="D259" i="6" s="1"/>
  <c r="D76" i="6"/>
  <c r="D257" i="6" s="1"/>
  <c r="D74" i="6"/>
  <c r="D255" i="6" s="1"/>
  <c r="D77" i="6"/>
  <c r="D258" i="6" s="1"/>
  <c r="D216" i="5"/>
  <c r="D217" i="5"/>
  <c r="D218" i="5"/>
  <c r="D219" i="5"/>
  <c r="D220" i="5"/>
  <c r="D221" i="5"/>
  <c r="D222" i="5"/>
  <c r="D223" i="5"/>
  <c r="D224" i="5"/>
  <c r="D225" i="5"/>
  <c r="D226" i="5"/>
  <c r="D227" i="5"/>
  <c r="D228" i="5"/>
  <c r="D229" i="5"/>
  <c r="D230" i="5"/>
  <c r="D231" i="5"/>
  <c r="D215" i="5"/>
  <c r="D188" i="5"/>
  <c r="D181" i="5"/>
  <c r="D182" i="5"/>
  <c r="D183" i="5"/>
  <c r="D184" i="5"/>
  <c r="D185" i="5"/>
  <c r="D186" i="5"/>
  <c r="D187" i="5"/>
  <c r="D180" i="5"/>
  <c r="D178" i="5"/>
  <c r="D179" i="5"/>
  <c r="D110" i="5"/>
  <c r="D234" i="5" s="1"/>
  <c r="D111" i="5"/>
  <c r="D235" i="5" s="1"/>
  <c r="D112" i="5"/>
  <c r="D236" i="5" s="1"/>
  <c r="D113" i="5"/>
  <c r="D237" i="5" s="1"/>
  <c r="D114" i="5"/>
  <c r="D238" i="5" s="1"/>
  <c r="D115" i="5"/>
  <c r="D239" i="5" s="1"/>
  <c r="D116" i="5"/>
  <c r="D240" i="5" s="1"/>
  <c r="D117" i="5"/>
  <c r="D241" i="5" s="1"/>
  <c r="D118" i="5"/>
  <c r="D242" i="5" s="1"/>
  <c r="D119" i="5"/>
  <c r="D243" i="5" s="1"/>
  <c r="D120" i="5"/>
  <c r="D244" i="5" s="1"/>
  <c r="D121" i="5"/>
  <c r="D245" i="5" s="1"/>
  <c r="D122" i="5"/>
  <c r="D246" i="5" s="1"/>
  <c r="D123" i="5"/>
  <c r="D247" i="5" s="1"/>
  <c r="D124" i="5"/>
  <c r="D248" i="5" s="1"/>
  <c r="D125" i="5"/>
  <c r="D249" i="5" s="1"/>
  <c r="D126" i="5"/>
  <c r="D250" i="5" s="1"/>
  <c r="D109" i="5"/>
  <c r="D233" i="5" s="1"/>
  <c r="D24" i="5" l="1"/>
  <c r="D170" i="5" s="1"/>
  <c r="D25" i="5"/>
  <c r="D26" i="5"/>
  <c r="D172" i="5" s="1"/>
  <c r="D27" i="5"/>
  <c r="D173" i="5" s="1"/>
  <c r="D28" i="5"/>
  <c r="D174" i="5" s="1"/>
  <c r="D29" i="5"/>
  <c r="D175" i="5" s="1"/>
  <c r="D30" i="5"/>
  <c r="D176" i="5" s="1"/>
  <c r="D169" i="5"/>
  <c r="D8" i="5"/>
  <c r="D9" i="5"/>
  <c r="D10" i="5"/>
  <c r="D11" i="5"/>
  <c r="D12" i="5"/>
  <c r="D13" i="5"/>
  <c r="D14" i="5"/>
  <c r="D148" i="5"/>
  <c r="D5" i="5"/>
  <c r="D4" i="5"/>
  <c r="C15" i="5"/>
  <c r="D15" i="5" s="1"/>
  <c r="H4" i="3"/>
  <c r="H5" i="3"/>
  <c r="D171" i="5" l="1"/>
  <c r="D73" i="5"/>
  <c r="D254" i="5" s="1"/>
  <c r="D130" i="5"/>
  <c r="D145" i="5"/>
  <c r="D131" i="5"/>
  <c r="D146" i="5"/>
  <c r="D31" i="5" l="1"/>
  <c r="D177" i="5" s="1"/>
  <c r="D16" i="5"/>
  <c r="F55" i="5"/>
  <c r="B55" i="5" s="1"/>
  <c r="J53" i="5"/>
  <c r="E53" i="5"/>
  <c r="J52" i="5"/>
  <c r="E52" i="5"/>
  <c r="J51" i="5"/>
  <c r="E51" i="5"/>
  <c r="J50" i="5"/>
  <c r="E50" i="5"/>
  <c r="J49" i="5"/>
  <c r="E49" i="5"/>
  <c r="J48" i="5"/>
  <c r="E48" i="5"/>
  <c r="J47" i="5"/>
  <c r="E47" i="5"/>
  <c r="G16" i="6" l="1"/>
  <c r="D16" i="6" s="1"/>
  <c r="J53" i="6" l="1"/>
  <c r="E53" i="6"/>
  <c r="B53" i="6"/>
  <c r="J52" i="6"/>
  <c r="E52" i="6"/>
  <c r="J51" i="6"/>
  <c r="E51" i="6"/>
  <c r="J50" i="6"/>
  <c r="E50" i="6"/>
  <c r="J49" i="6"/>
  <c r="E49" i="6"/>
  <c r="J48" i="6"/>
  <c r="E48" i="6"/>
  <c r="J47" i="6"/>
  <c r="E47" i="6"/>
  <c r="Q2" i="2"/>
  <c r="R2" i="2"/>
  <c r="S2" i="2"/>
  <c r="T2" i="2"/>
  <c r="U2" i="2"/>
  <c r="V2" i="2"/>
  <c r="W2" i="2"/>
  <c r="X2" i="2"/>
  <c r="Y2" i="2"/>
  <c r="Z2" i="2"/>
  <c r="AA2" i="2"/>
  <c r="AB2" i="2"/>
  <c r="AC2" i="2"/>
  <c r="AD2" i="2"/>
  <c r="AE2" i="2"/>
  <c r="AF2" i="2"/>
  <c r="Q3" i="2"/>
  <c r="R3" i="2"/>
  <c r="S3" i="2"/>
  <c r="T3" i="2"/>
  <c r="U3" i="2"/>
  <c r="V3" i="2"/>
  <c r="W3" i="2"/>
  <c r="X3" i="2"/>
  <c r="Y3" i="2"/>
  <c r="Z3" i="2"/>
  <c r="AA3" i="2"/>
  <c r="AB3" i="2"/>
  <c r="AC3" i="2"/>
  <c r="AD3" i="2"/>
  <c r="AE3" i="2"/>
  <c r="AF3" i="2"/>
  <c r="AG3" i="2"/>
  <c r="Q4" i="2"/>
  <c r="R4" i="2"/>
  <c r="S4" i="2"/>
  <c r="T4" i="2"/>
  <c r="U4" i="2"/>
  <c r="V4" i="2"/>
  <c r="W4" i="2"/>
  <c r="X4" i="2"/>
  <c r="Y4" i="2"/>
  <c r="Z4" i="2"/>
  <c r="AA4" i="2"/>
  <c r="AB4" i="2"/>
  <c r="AC4" i="2"/>
  <c r="AD4" i="2"/>
  <c r="AE4" i="2"/>
  <c r="AF4" i="2"/>
  <c r="AG4" i="2"/>
  <c r="Q5" i="2"/>
  <c r="R5" i="2"/>
  <c r="S5" i="2"/>
  <c r="T5" i="2"/>
  <c r="U5" i="2"/>
  <c r="V5" i="2"/>
  <c r="W5" i="2"/>
  <c r="X5" i="2"/>
  <c r="Y5" i="2"/>
  <c r="Z5" i="2"/>
  <c r="AA5" i="2"/>
  <c r="AB5" i="2"/>
  <c r="AC5" i="2"/>
  <c r="AD5" i="2"/>
  <c r="AE5" i="2"/>
  <c r="AF5" i="2"/>
  <c r="AG5" i="2"/>
  <c r="Q6" i="2"/>
  <c r="R6" i="2"/>
  <c r="S6" i="2"/>
  <c r="T6" i="2"/>
  <c r="U6" i="2"/>
  <c r="V6" i="2"/>
  <c r="W6" i="2"/>
  <c r="X6" i="2"/>
  <c r="Y6" i="2"/>
  <c r="Z6" i="2"/>
  <c r="AA6" i="2"/>
  <c r="AB6" i="2"/>
  <c r="AC6" i="2"/>
  <c r="AD6" i="2"/>
  <c r="AE6" i="2"/>
  <c r="AF6" i="2"/>
  <c r="AG6" i="2"/>
  <c r="Q7" i="2"/>
  <c r="R7" i="2"/>
  <c r="S7" i="2"/>
  <c r="T7" i="2"/>
  <c r="U7" i="2"/>
  <c r="V7" i="2"/>
  <c r="W7" i="2"/>
  <c r="X7" i="2"/>
  <c r="Y7" i="2"/>
  <c r="Z7" i="2"/>
  <c r="AA7" i="2"/>
  <c r="AB7" i="2"/>
  <c r="AC7" i="2"/>
  <c r="AD7" i="2"/>
  <c r="AE7" i="2"/>
  <c r="AF7" i="2"/>
  <c r="AG7" i="2"/>
  <c r="B59" i="3"/>
  <c r="B58" i="3"/>
  <c r="J57" i="3"/>
  <c r="B57" i="3"/>
  <c r="L56" i="3"/>
  <c r="J55" i="3"/>
  <c r="E55" i="3"/>
  <c r="J54" i="3"/>
  <c r="E54" i="3"/>
  <c r="J53" i="3"/>
  <c r="E53" i="3"/>
  <c r="J52" i="3"/>
  <c r="E52" i="3"/>
  <c r="J51" i="3"/>
  <c r="E51" i="3"/>
  <c r="J50" i="3"/>
  <c r="E50" i="3"/>
  <c r="G37" i="9" l="1"/>
  <c r="F37" i="9"/>
  <c r="D37" i="9" s="1"/>
  <c r="G38" i="9"/>
  <c r="F38" i="9"/>
  <c r="D38" i="9" l="1"/>
  <c r="D192" i="9" s="1"/>
  <c r="B37" i="9"/>
  <c r="B191" i="9" s="1"/>
  <c r="D191" i="9"/>
  <c r="C148" i="5"/>
  <c r="B148" i="5" s="1"/>
  <c r="C146" i="5"/>
  <c r="B146" i="5" s="1"/>
  <c r="C147" i="5"/>
  <c r="B147" i="5" s="1"/>
  <c r="D278" i="5"/>
  <c r="D276" i="5"/>
  <c r="D277" i="5"/>
  <c r="C130" i="5" l="1"/>
  <c r="C266" i="5" s="1"/>
  <c r="C131" i="5"/>
  <c r="C267" i="5" s="1"/>
  <c r="C132" i="5"/>
  <c r="C268" i="5" s="1"/>
  <c r="D71" i="5" l="1"/>
  <c r="D252" i="5" s="1"/>
  <c r="B147" i="6"/>
  <c r="B148" i="6"/>
  <c r="B142" i="6"/>
  <c r="B143" i="6"/>
  <c r="B144" i="6"/>
  <c r="B145" i="6"/>
  <c r="B146" i="6"/>
  <c r="B136" i="6"/>
  <c r="B137" i="6"/>
  <c r="B138" i="6"/>
  <c r="B139" i="6"/>
  <c r="B140" i="6"/>
  <c r="B141" i="6"/>
  <c r="B133" i="6"/>
  <c r="C14" i="3" l="1"/>
  <c r="C14" i="6"/>
  <c r="G15" i="6" l="1"/>
  <c r="B14" i="3" l="1"/>
  <c r="B6" i="3"/>
  <c r="B7" i="3"/>
  <c r="B8" i="3"/>
  <c r="B9" i="3"/>
  <c r="B10" i="3"/>
  <c r="B11" i="3"/>
  <c r="B12" i="3"/>
  <c r="B13" i="3"/>
  <c r="B15" i="3"/>
  <c r="D14" i="3" l="1"/>
  <c r="B6" i="5" l="1"/>
  <c r="B132" i="5" s="1"/>
  <c r="B268" i="5" s="1"/>
  <c r="B7" i="5"/>
  <c r="B8" i="5"/>
  <c r="B9" i="5"/>
  <c r="B10" i="5"/>
  <c r="B11" i="5"/>
  <c r="B12" i="5"/>
  <c r="B13" i="5"/>
  <c r="B14" i="5"/>
  <c r="B15" i="5"/>
  <c r="F15" i="5"/>
  <c r="B26" i="3"/>
  <c r="B27" i="3"/>
  <c r="B28" i="3"/>
  <c r="B29" i="3"/>
  <c r="B30" i="3"/>
  <c r="B16" i="3"/>
  <c r="B17" i="3"/>
  <c r="B18" i="3"/>
  <c r="B19" i="3"/>
  <c r="B20" i="3"/>
  <c r="B23" i="3"/>
  <c r="B24" i="3"/>
  <c r="B25" i="3"/>
  <c r="B46" i="3"/>
  <c r="B47" i="3"/>
  <c r="B48" i="3"/>
  <c r="B49" i="3"/>
  <c r="B60" i="3"/>
  <c r="B61" i="3"/>
  <c r="B62" i="3"/>
  <c r="B63" i="3"/>
  <c r="B64" i="3"/>
  <c r="B65" i="3"/>
  <c r="B66" i="3"/>
  <c r="B4" i="3"/>
  <c r="B5" i="3"/>
  <c r="C170" i="5" l="1"/>
  <c r="G14" i="6"/>
  <c r="D14" i="6" s="1"/>
  <c r="B6" i="6" l="1"/>
  <c r="B7" i="6"/>
  <c r="B8" i="6"/>
  <c r="B9" i="6"/>
  <c r="B10" i="6"/>
  <c r="B11" i="6"/>
  <c r="B12" i="6"/>
  <c r="B13" i="6"/>
  <c r="B14" i="6"/>
  <c r="B15" i="6"/>
  <c r="B16" i="6"/>
  <c r="B17" i="6"/>
  <c r="B190" i="5" l="1"/>
  <c r="C190" i="5"/>
  <c r="C191" i="5"/>
  <c r="B192" i="5"/>
  <c r="C192" i="5"/>
  <c r="B193" i="5"/>
  <c r="C193" i="5"/>
  <c r="C194" i="5"/>
  <c r="C195" i="5"/>
  <c r="C196" i="5"/>
  <c r="C197" i="5"/>
  <c r="C198" i="5"/>
  <c r="C199" i="5"/>
  <c r="B200" i="5"/>
  <c r="C200" i="5"/>
  <c r="C201" i="5"/>
  <c r="B202" i="5"/>
  <c r="C202" i="5"/>
  <c r="B203" i="5"/>
  <c r="C203" i="5"/>
  <c r="B204" i="5"/>
  <c r="C204" i="5"/>
  <c r="B205" i="5"/>
  <c r="C205" i="5"/>
  <c r="B206" i="5"/>
  <c r="C206" i="5"/>
  <c r="B207" i="5"/>
  <c r="C207" i="5"/>
  <c r="B208" i="5"/>
  <c r="C208" i="5"/>
  <c r="B209" i="5"/>
  <c r="C209" i="5"/>
  <c r="B5" i="5"/>
  <c r="B131" i="5" s="1"/>
  <c r="B267" i="5" s="1"/>
  <c r="B4" i="5"/>
  <c r="B130" i="5" s="1"/>
  <c r="B266" i="5" s="1"/>
  <c r="C169" i="5"/>
  <c r="B76" i="5"/>
  <c r="C75" i="5"/>
  <c r="B75" i="5" s="1"/>
  <c r="F36" i="9"/>
  <c r="F39" i="9" l="1"/>
  <c r="H39" i="9" s="1"/>
  <c r="D39" i="9" s="1"/>
  <c r="D193" i="9" s="1"/>
  <c r="H46" i="9"/>
  <c r="M46" i="9" s="1"/>
  <c r="D46" i="9" s="1"/>
  <c r="D200" i="9" s="1"/>
  <c r="D36" i="9"/>
  <c r="D190" i="9" s="1"/>
  <c r="B28" i="5"/>
  <c r="B29" i="5"/>
  <c r="B30" i="5"/>
  <c r="B24" i="5"/>
  <c r="B169" i="5" s="1"/>
  <c r="B25" i="5"/>
  <c r="B170" i="5" s="1"/>
  <c r="B26" i="5"/>
  <c r="B27" i="5"/>
  <c r="B23" i="5"/>
  <c r="G4" i="6" l="1"/>
  <c r="C149" i="6"/>
  <c r="B210" i="6"/>
  <c r="C210" i="6"/>
  <c r="B211" i="6"/>
  <c r="C211" i="6"/>
  <c r="B212" i="6"/>
  <c r="C212" i="6"/>
  <c r="B213" i="6"/>
  <c r="C213" i="6"/>
  <c r="B214" i="6"/>
  <c r="C214" i="6"/>
  <c r="B217" i="6"/>
  <c r="C217" i="6"/>
  <c r="B218" i="6"/>
  <c r="C218" i="6"/>
  <c r="B219" i="6"/>
  <c r="C219" i="6"/>
  <c r="C220" i="6"/>
  <c r="B221" i="6"/>
  <c r="C221" i="6"/>
  <c r="B222" i="6"/>
  <c r="C222" i="6"/>
  <c r="C223" i="6"/>
  <c r="C224" i="6"/>
  <c r="B225" i="6"/>
  <c r="C225" i="6"/>
  <c r="B226" i="6"/>
  <c r="C226" i="6"/>
  <c r="B227" i="6"/>
  <c r="C227" i="6"/>
  <c r="B228" i="6"/>
  <c r="C228" i="6"/>
  <c r="B229" i="6"/>
  <c r="C229" i="6"/>
  <c r="B230" i="6"/>
  <c r="C230" i="6"/>
  <c r="B231" i="6"/>
  <c r="C231" i="6"/>
  <c r="B235" i="6"/>
  <c r="C235" i="6"/>
  <c r="B236" i="6"/>
  <c r="C236" i="6"/>
  <c r="B237" i="6"/>
  <c r="C237" i="6"/>
  <c r="B238" i="6"/>
  <c r="C238" i="6"/>
  <c r="B239" i="6"/>
  <c r="C239" i="6"/>
  <c r="B240" i="6"/>
  <c r="C240" i="6"/>
  <c r="B241" i="6"/>
  <c r="C241" i="6"/>
  <c r="B242" i="6"/>
  <c r="C242" i="6"/>
  <c r="B243" i="6"/>
  <c r="C243" i="6"/>
  <c r="B244" i="6"/>
  <c r="C244" i="6"/>
  <c r="B245" i="6"/>
  <c r="C245" i="6"/>
  <c r="B246" i="6"/>
  <c r="C246" i="6"/>
  <c r="B247" i="6"/>
  <c r="C247" i="6"/>
  <c r="B248" i="6"/>
  <c r="C248" i="6"/>
  <c r="B249" i="6"/>
  <c r="C249" i="6"/>
  <c r="B254" i="6"/>
  <c r="C254" i="6"/>
  <c r="C255" i="6"/>
  <c r="B256" i="6"/>
  <c r="C256" i="6"/>
  <c r="B257" i="6"/>
  <c r="C257" i="6"/>
  <c r="B258" i="6"/>
  <c r="C258" i="6"/>
  <c r="C259" i="6"/>
  <c r="C260" i="6"/>
  <c r="C261" i="6"/>
  <c r="B262" i="6"/>
  <c r="C262" i="6"/>
  <c r="B263" i="6"/>
  <c r="C263" i="6"/>
  <c r="C264" i="6"/>
  <c r="C265" i="6"/>
  <c r="C266" i="6"/>
  <c r="C267" i="6"/>
  <c r="B268" i="6"/>
  <c r="C268" i="6"/>
  <c r="B269" i="6"/>
  <c r="C269" i="6"/>
  <c r="B270" i="6"/>
  <c r="C270" i="6"/>
  <c r="C150" i="6"/>
  <c r="C151" i="6"/>
  <c r="B152" i="6"/>
  <c r="C152" i="6"/>
  <c r="B153" i="6"/>
  <c r="C153" i="6"/>
  <c r="B154" i="6"/>
  <c r="C154" i="6"/>
  <c r="B155" i="6"/>
  <c r="C155" i="6"/>
  <c r="B156" i="6"/>
  <c r="C156" i="6"/>
  <c r="B157" i="6"/>
  <c r="C157" i="6"/>
  <c r="B158" i="6"/>
  <c r="C158" i="6"/>
  <c r="B159" i="6"/>
  <c r="C207" i="6"/>
  <c r="B208" i="6"/>
  <c r="C208" i="6"/>
  <c r="B209" i="6"/>
  <c r="C209" i="6"/>
  <c r="B194" i="6"/>
  <c r="C194" i="6"/>
  <c r="B195" i="6"/>
  <c r="C195" i="6"/>
  <c r="C196" i="6"/>
  <c r="C197" i="6"/>
  <c r="C198" i="6"/>
  <c r="C199" i="6"/>
  <c r="C200" i="6"/>
  <c r="C201" i="6"/>
  <c r="C202" i="6"/>
  <c r="C203" i="6"/>
  <c r="C204" i="6"/>
  <c r="B205" i="6"/>
  <c r="C205" i="6"/>
  <c r="C206" i="6"/>
  <c r="B193" i="6"/>
  <c r="C193" i="6"/>
  <c r="B31" i="6"/>
  <c r="B26" i="6"/>
  <c r="B24" i="6"/>
  <c r="B25" i="6"/>
  <c r="B27" i="6"/>
  <c r="B28" i="6"/>
  <c r="B29" i="6"/>
  <c r="B23" i="6"/>
  <c r="B150" i="6"/>
  <c r="B151" i="6"/>
  <c r="B4" i="6"/>
  <c r="B149" i="6" s="1"/>
  <c r="B176" i="3"/>
  <c r="B172" i="3"/>
  <c r="B173" i="3"/>
  <c r="B174" i="3"/>
  <c r="B175" i="3"/>
  <c r="J54" i="6"/>
  <c r="B54" i="6"/>
  <c r="B204" i="6" s="1"/>
  <c r="J46" i="6"/>
  <c r="E46" i="6"/>
  <c r="J45" i="6"/>
  <c r="E45" i="6"/>
  <c r="J44" i="6"/>
  <c r="E44" i="6"/>
  <c r="J43" i="6"/>
  <c r="E43" i="6"/>
  <c r="J42" i="6"/>
  <c r="E42" i="6"/>
  <c r="J41" i="6"/>
  <c r="E41" i="6"/>
  <c r="J40" i="6"/>
  <c r="E40" i="6"/>
  <c r="D85" i="6"/>
  <c r="D215" i="6" s="1"/>
  <c r="E62" i="6"/>
  <c r="G31" i="6"/>
  <c r="G29" i="6"/>
  <c r="G28" i="6"/>
  <c r="G27" i="6"/>
  <c r="G26" i="6"/>
  <c r="G25" i="6"/>
  <c r="G24" i="6"/>
  <c r="D24" i="6" s="1"/>
  <c r="D181" i="6" s="1"/>
  <c r="G23" i="6"/>
  <c r="D23" i="6" s="1"/>
  <c r="D180" i="6" s="1"/>
  <c r="G5" i="6"/>
  <c r="D5" i="6" s="1"/>
  <c r="J54" i="5"/>
  <c r="J46" i="5"/>
  <c r="E46" i="5"/>
  <c r="J45" i="5"/>
  <c r="E45" i="5"/>
  <c r="J44" i="5"/>
  <c r="E44" i="5"/>
  <c r="J43" i="5"/>
  <c r="E43" i="5"/>
  <c r="J42" i="5"/>
  <c r="E42" i="5"/>
  <c r="J41" i="5"/>
  <c r="E41" i="5"/>
  <c r="J40" i="5"/>
  <c r="E40" i="5"/>
  <c r="D139" i="5"/>
  <c r="D275" i="5" s="1"/>
  <c r="D138" i="5"/>
  <c r="D274" i="5" s="1"/>
  <c r="D137" i="5"/>
  <c r="D273" i="5" s="1"/>
  <c r="D136" i="5"/>
  <c r="D272" i="5" s="1"/>
  <c r="D135" i="5"/>
  <c r="D271" i="5" s="1"/>
  <c r="D134" i="5"/>
  <c r="D270" i="5" s="1"/>
  <c r="D133" i="5"/>
  <c r="D269" i="5" s="1"/>
  <c r="E62" i="5"/>
  <c r="G62" i="5"/>
  <c r="G29" i="5"/>
  <c r="G28" i="5"/>
  <c r="G27" i="5"/>
  <c r="G26" i="5"/>
  <c r="G25" i="5"/>
  <c r="G24" i="5"/>
  <c r="G23" i="5"/>
  <c r="F6" i="5"/>
  <c r="F5" i="5"/>
  <c r="D267" i="5" s="1"/>
  <c r="F4" i="5"/>
  <c r="D266" i="5" s="1"/>
  <c r="J41" i="3"/>
  <c r="J42" i="3"/>
  <c r="J43" i="3"/>
  <c r="J44" i="3"/>
  <c r="J45" i="3"/>
  <c r="J46" i="3"/>
  <c r="J40" i="3"/>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4" i="4"/>
  <c r="D146" i="6" l="1"/>
  <c r="D131" i="6"/>
  <c r="L52" i="9"/>
  <c r="F52" i="9" s="1"/>
  <c r="L50" i="9"/>
  <c r="F50" i="9" s="1"/>
  <c r="L51" i="9"/>
  <c r="F51" i="9" s="1"/>
  <c r="L48" i="9"/>
  <c r="F48" i="9" s="1"/>
  <c r="L43" i="9"/>
  <c r="F43" i="9" s="1"/>
  <c r="L44" i="9"/>
  <c r="F44" i="9" s="1"/>
  <c r="L49" i="9"/>
  <c r="F49" i="9" s="1"/>
  <c r="L47" i="9"/>
  <c r="F47" i="9" s="1"/>
  <c r="L40" i="9"/>
  <c r="F40" i="9" s="1"/>
  <c r="L53" i="9"/>
  <c r="F53" i="9" s="1"/>
  <c r="L41" i="9"/>
  <c r="F41" i="9" s="1"/>
  <c r="L42" i="9"/>
  <c r="F42" i="9" s="1"/>
  <c r="L54" i="9"/>
  <c r="F54" i="9" s="1"/>
  <c r="B54" i="9" s="1"/>
  <c r="B201" i="9" s="1"/>
  <c r="L46" i="9"/>
  <c r="L45" i="9"/>
  <c r="F45" i="9" s="1"/>
  <c r="D26" i="6"/>
  <c r="D183" i="6" s="1"/>
  <c r="D6" i="5"/>
  <c r="L48" i="5"/>
  <c r="F48" i="5" s="1"/>
  <c r="L47" i="5"/>
  <c r="F47" i="5" s="1"/>
  <c r="L51" i="5"/>
  <c r="F51" i="5" s="1"/>
  <c r="B51" i="5" s="1"/>
  <c r="L52" i="5"/>
  <c r="F52" i="5" s="1"/>
  <c r="B52" i="5" s="1"/>
  <c r="L49" i="5"/>
  <c r="F49" i="5" s="1"/>
  <c r="L53" i="5"/>
  <c r="F53" i="5" s="1"/>
  <c r="B53" i="5" s="1"/>
  <c r="L50" i="5"/>
  <c r="F50" i="5" s="1"/>
  <c r="B50" i="5" s="1"/>
  <c r="L51" i="6"/>
  <c r="F51" i="6" s="1"/>
  <c r="L47" i="6"/>
  <c r="F47" i="6" s="1"/>
  <c r="L48" i="6"/>
  <c r="F48" i="6" s="1"/>
  <c r="L52" i="6"/>
  <c r="F52" i="6" s="1"/>
  <c r="L49" i="6"/>
  <c r="F49" i="6" s="1"/>
  <c r="L53" i="6"/>
  <c r="L50" i="6"/>
  <c r="F50" i="6" s="1"/>
  <c r="L57" i="3"/>
  <c r="L52" i="3"/>
  <c r="F52" i="3" s="1"/>
  <c r="B52" i="3" s="1"/>
  <c r="L55" i="3"/>
  <c r="F55" i="3" s="1"/>
  <c r="B55" i="3" s="1"/>
  <c r="L53" i="3"/>
  <c r="F53" i="3" s="1"/>
  <c r="B53" i="3" s="1"/>
  <c r="L51" i="3"/>
  <c r="F51" i="3" s="1"/>
  <c r="B51" i="3" s="1"/>
  <c r="L50" i="3"/>
  <c r="F50" i="3" s="1"/>
  <c r="B50" i="3" s="1"/>
  <c r="L54" i="3"/>
  <c r="F54" i="3" s="1"/>
  <c r="B54" i="3" s="1"/>
  <c r="L42" i="5"/>
  <c r="F42" i="5" s="1"/>
  <c r="M54" i="6"/>
  <c r="L41" i="5"/>
  <c r="F41" i="5" s="1"/>
  <c r="B41" i="5" s="1"/>
  <c r="B195" i="5" s="1"/>
  <c r="L42" i="3"/>
  <c r="L41" i="3"/>
  <c r="L44" i="5"/>
  <c r="F44" i="5" s="1"/>
  <c r="B44" i="5" s="1"/>
  <c r="B198" i="5" s="1"/>
  <c r="L41" i="6"/>
  <c r="F41" i="6" s="1"/>
  <c r="L40" i="3"/>
  <c r="L46" i="5"/>
  <c r="L44" i="6"/>
  <c r="F44" i="6" s="1"/>
  <c r="L46" i="6"/>
  <c r="F46" i="6" s="1"/>
  <c r="B46" i="6" s="1"/>
  <c r="B203" i="6" s="1"/>
  <c r="L40" i="5"/>
  <c r="F40" i="5" s="1"/>
  <c r="L46" i="3"/>
  <c r="L45" i="5"/>
  <c r="F45" i="5" s="1"/>
  <c r="B45" i="5" s="1"/>
  <c r="B199" i="5" s="1"/>
  <c r="L45" i="3"/>
  <c r="L42" i="6"/>
  <c r="F42" i="6" s="1"/>
  <c r="L43" i="5"/>
  <c r="F43" i="5" s="1"/>
  <c r="L45" i="6"/>
  <c r="F45" i="6" s="1"/>
  <c r="L44" i="3"/>
  <c r="L43" i="3"/>
  <c r="L40" i="6"/>
  <c r="F40" i="6" s="1"/>
  <c r="L43" i="6"/>
  <c r="F43" i="6" s="1"/>
  <c r="L54" i="6"/>
  <c r="L54" i="5"/>
  <c r="F54" i="5" s="1"/>
  <c r="B54" i="5" s="1"/>
  <c r="B201" i="5" s="1"/>
  <c r="D267" i="6" l="1"/>
  <c r="B134" i="6"/>
  <c r="B47" i="9"/>
  <c r="D47" i="9"/>
  <c r="D201" i="9" s="1"/>
  <c r="H47" i="9"/>
  <c r="M47" i="9" s="1"/>
  <c r="B45" i="9"/>
  <c r="B199" i="9" s="1"/>
  <c r="H45" i="9"/>
  <c r="M45" i="9" s="1"/>
  <c r="D45" i="9" s="1"/>
  <c r="D199" i="9" s="1"/>
  <c r="B49" i="9"/>
  <c r="D49" i="9"/>
  <c r="D203" i="9" s="1"/>
  <c r="H49" i="9"/>
  <c r="B44" i="9"/>
  <c r="B198" i="9" s="1"/>
  <c r="H44" i="9"/>
  <c r="M44" i="9" s="1"/>
  <c r="D44" i="9" s="1"/>
  <c r="D198" i="9" s="1"/>
  <c r="B43" i="9"/>
  <c r="B197" i="9" s="1"/>
  <c r="H43" i="9"/>
  <c r="M43" i="9" s="1"/>
  <c r="D43" i="9" s="1"/>
  <c r="D197" i="9" s="1"/>
  <c r="B42" i="9"/>
  <c r="B196" i="9" s="1"/>
  <c r="H42" i="9"/>
  <c r="M42" i="9" s="1"/>
  <c r="D42" i="9" s="1"/>
  <c r="D196" i="9" s="1"/>
  <c r="B48" i="9"/>
  <c r="D48" i="9"/>
  <c r="D202" i="9" s="1"/>
  <c r="H48" i="9"/>
  <c r="B41" i="9"/>
  <c r="B195" i="9" s="1"/>
  <c r="H41" i="9"/>
  <c r="M41" i="9" s="1"/>
  <c r="D41" i="9" s="1"/>
  <c r="D195" i="9" s="1"/>
  <c r="B51" i="9"/>
  <c r="H51" i="9"/>
  <c r="B53" i="9"/>
  <c r="H53" i="9"/>
  <c r="B50" i="9"/>
  <c r="H50" i="9"/>
  <c r="D40" i="9"/>
  <c r="D194" i="9" s="1"/>
  <c r="B40" i="9"/>
  <c r="B194" i="9" s="1"/>
  <c r="H40" i="9"/>
  <c r="M40" i="9" s="1"/>
  <c r="B52" i="9"/>
  <c r="H52" i="9"/>
  <c r="D132" i="5"/>
  <c r="D268" i="5" s="1"/>
  <c r="D147" i="5"/>
  <c r="B42" i="6"/>
  <c r="B199" i="6" s="1"/>
  <c r="B50" i="6"/>
  <c r="D50" i="6"/>
  <c r="D204" i="6" s="1"/>
  <c r="B49" i="6"/>
  <c r="D49" i="6"/>
  <c r="D203" i="6" s="1"/>
  <c r="B52" i="6"/>
  <c r="D52" i="6"/>
  <c r="D206" i="6" s="1"/>
  <c r="B48" i="6"/>
  <c r="D48" i="6"/>
  <c r="D202" i="6" s="1"/>
  <c r="B47" i="6"/>
  <c r="D47" i="6"/>
  <c r="D201" i="6" s="1"/>
  <c r="B41" i="6"/>
  <c r="B198" i="6" s="1"/>
  <c r="D41" i="6"/>
  <c r="D195" i="6" s="1"/>
  <c r="B43" i="6"/>
  <c r="B200" i="6" s="1"/>
  <c r="B40" i="6"/>
  <c r="B197" i="6" s="1"/>
  <c r="D40" i="6"/>
  <c r="D194" i="6" s="1"/>
  <c r="B51" i="6"/>
  <c r="D51" i="6"/>
  <c r="D205" i="6" s="1"/>
  <c r="B45" i="6"/>
  <c r="B202" i="6" s="1"/>
  <c r="B44" i="6"/>
  <c r="B201" i="6" s="1"/>
  <c r="D75" i="6"/>
  <c r="D256" i="6" s="1"/>
  <c r="B42" i="5"/>
  <c r="B196" i="5" s="1"/>
  <c r="B49" i="5"/>
  <c r="D49" i="5"/>
  <c r="D203" i="5" s="1"/>
  <c r="B40" i="5"/>
  <c r="B194" i="5" s="1"/>
  <c r="D40" i="5"/>
  <c r="D194" i="5" s="1"/>
  <c r="B47" i="5"/>
  <c r="D47" i="5"/>
  <c r="D201" i="5" s="1"/>
  <c r="B43" i="5"/>
  <c r="B197" i="5" s="1"/>
  <c r="B48" i="5"/>
  <c r="D48" i="5"/>
  <c r="D202" i="5" s="1"/>
  <c r="D273" i="3"/>
  <c r="D272" i="3"/>
  <c r="D271" i="3"/>
  <c r="D270" i="3"/>
  <c r="D269" i="3"/>
  <c r="D268" i="3"/>
  <c r="D241" i="3"/>
  <c r="D240" i="3"/>
  <c r="D239" i="3"/>
  <c r="D238" i="3"/>
  <c r="D237" i="3"/>
  <c r="D236" i="3"/>
  <c r="D234" i="3"/>
  <c r="D233" i="3"/>
  <c r="D231" i="3"/>
  <c r="D226" i="3"/>
  <c r="D223" i="3"/>
  <c r="D222" i="3"/>
  <c r="D221" i="3"/>
  <c r="D220" i="3"/>
  <c r="D219" i="3"/>
  <c r="D218" i="3"/>
  <c r="D217" i="3"/>
  <c r="D216" i="3"/>
  <c r="D181" i="3"/>
  <c r="D179" i="3"/>
  <c r="D167" i="3"/>
  <c r="D166" i="3"/>
  <c r="D157" i="3"/>
  <c r="D232" i="3"/>
  <c r="D230" i="3"/>
  <c r="D229" i="3"/>
  <c r="D228" i="3"/>
  <c r="D227" i="3"/>
  <c r="J47" i="3"/>
  <c r="L47" i="3" s="1"/>
  <c r="E46" i="3"/>
  <c r="F45" i="3"/>
  <c r="B45" i="3" s="1"/>
  <c r="E45" i="3"/>
  <c r="F44" i="3"/>
  <c r="B44" i="3" s="1"/>
  <c r="E44" i="3"/>
  <c r="F43" i="3"/>
  <c r="B43" i="3" s="1"/>
  <c r="E43" i="3"/>
  <c r="F42" i="3"/>
  <c r="B42" i="3" s="1"/>
  <c r="E42" i="3"/>
  <c r="F41" i="3"/>
  <c r="B41" i="3" s="1"/>
  <c r="E41" i="3"/>
  <c r="E40" i="3"/>
  <c r="F40" i="3"/>
  <c r="B40" i="3" s="1"/>
  <c r="G31" i="3"/>
  <c r="D180" i="3" s="1"/>
  <c r="G29" i="3"/>
  <c r="D178" i="3" s="1"/>
  <c r="G28" i="3"/>
  <c r="D177" i="3" s="1"/>
  <c r="G27" i="3"/>
  <c r="D176" i="3" s="1"/>
  <c r="D26" i="3"/>
  <c r="D175" i="3" s="1"/>
  <c r="D25" i="3"/>
  <c r="D174" i="3" s="1"/>
  <c r="D24" i="3"/>
  <c r="D173" i="3" s="1"/>
  <c r="D23" i="3"/>
  <c r="D172" i="3" s="1"/>
  <c r="G6" i="3"/>
  <c r="F149" i="3"/>
  <c r="D275" i="3" s="1"/>
  <c r="F148" i="3"/>
  <c r="D274" i="3" s="1"/>
  <c r="F1" i="3"/>
  <c r="D154" i="3" l="1"/>
  <c r="F36" i="5"/>
  <c r="F36" i="6"/>
  <c r="F36" i="3"/>
  <c r="F56" i="6"/>
  <c r="F68" i="3"/>
  <c r="D214" i="3"/>
  <c r="D213" i="3"/>
  <c r="D215" i="3"/>
  <c r="F150" i="3"/>
  <c r="D276" i="3" s="1"/>
  <c r="D158" i="3"/>
  <c r="D156" i="3"/>
  <c r="D155" i="3"/>
  <c r="H53" i="5" l="1"/>
  <c r="H50" i="5"/>
  <c r="H51" i="5"/>
  <c r="H48" i="5"/>
  <c r="H49" i="5"/>
  <c r="H47" i="5"/>
  <c r="M47" i="5" s="1"/>
  <c r="H52" i="5"/>
  <c r="H53" i="6"/>
  <c r="M53" i="6" s="1"/>
  <c r="H50" i="6"/>
  <c r="M50" i="6" s="1"/>
  <c r="H51" i="6"/>
  <c r="M51" i="6" s="1"/>
  <c r="H52" i="6"/>
  <c r="M52" i="6" s="1"/>
  <c r="H47" i="6"/>
  <c r="M47" i="6" s="1"/>
  <c r="H48" i="6"/>
  <c r="M48" i="6" s="1"/>
  <c r="H49" i="6"/>
  <c r="M49" i="6" s="1"/>
  <c r="H51" i="3"/>
  <c r="H53" i="3"/>
  <c r="H54" i="3"/>
  <c r="H52" i="3"/>
  <c r="H55" i="3"/>
  <c r="H50" i="3"/>
  <c r="F69" i="3"/>
  <c r="B69" i="3" s="1"/>
  <c r="B68" i="3"/>
  <c r="F39" i="3"/>
  <c r="B39" i="3" s="1"/>
  <c r="B36" i="3"/>
  <c r="H40" i="3"/>
  <c r="D40" i="3" s="1"/>
  <c r="D206" i="3" s="1"/>
  <c r="H45" i="3"/>
  <c r="D45" i="3" s="1"/>
  <c r="D211" i="3" s="1"/>
  <c r="H41" i="3"/>
  <c r="D41" i="3" s="1"/>
  <c r="D207" i="3" s="1"/>
  <c r="H44" i="3"/>
  <c r="I67" i="3" s="1"/>
  <c r="D36" i="3"/>
  <c r="D202" i="3" s="1"/>
  <c r="H68" i="3"/>
  <c r="D68" i="3" s="1"/>
  <c r="D224" i="3" s="1"/>
  <c r="H43" i="3"/>
  <c r="D43" i="3" s="1"/>
  <c r="D209" i="3" s="1"/>
  <c r="H42" i="3"/>
  <c r="D42" i="3" s="1"/>
  <c r="D208" i="3" s="1"/>
  <c r="M36" i="6"/>
  <c r="D36" i="6" s="1"/>
  <c r="D190" i="6" s="1"/>
  <c r="H45" i="6"/>
  <c r="M45" i="6" s="1"/>
  <c r="D45" i="6" s="1"/>
  <c r="D199" i="6" s="1"/>
  <c r="H41" i="6"/>
  <c r="M41" i="6" s="1"/>
  <c r="H44" i="6"/>
  <c r="M44" i="6" s="1"/>
  <c r="D44" i="6" s="1"/>
  <c r="D198" i="6" s="1"/>
  <c r="H40" i="6"/>
  <c r="M40" i="6" s="1"/>
  <c r="H43" i="6"/>
  <c r="M43" i="6" s="1"/>
  <c r="D43" i="6" s="1"/>
  <c r="D197" i="6" s="1"/>
  <c r="H42" i="6"/>
  <c r="M42" i="6" s="1"/>
  <c r="D42" i="6" s="1"/>
  <c r="D196" i="6" s="1"/>
  <c r="F39" i="6"/>
  <c r="H46" i="6"/>
  <c r="M46" i="6" s="1"/>
  <c r="H46" i="5"/>
  <c r="M46" i="5" s="1"/>
  <c r="H44" i="5"/>
  <c r="M44" i="5" s="1"/>
  <c r="D36" i="5"/>
  <c r="D190" i="5" s="1"/>
  <c r="H42" i="5"/>
  <c r="M42" i="5" s="1"/>
  <c r="H41" i="5"/>
  <c r="M41" i="5" s="1"/>
  <c r="H45" i="5"/>
  <c r="M45" i="5" s="1"/>
  <c r="H40" i="5"/>
  <c r="M40" i="5" s="1"/>
  <c r="F39" i="5"/>
  <c r="H43" i="5"/>
  <c r="M43" i="5" s="1"/>
  <c r="D43" i="5" s="1"/>
  <c r="D197" i="5" s="1"/>
  <c r="B56" i="6"/>
  <c r="B206" i="6" s="1"/>
  <c r="F57" i="6"/>
  <c r="B57" i="6" s="1"/>
  <c r="B207" i="6" s="1"/>
  <c r="H46" i="3"/>
  <c r="D46" i="3" s="1"/>
  <c r="D212" i="3" s="1"/>
  <c r="D46" i="6" l="1"/>
  <c r="D200" i="6" s="1"/>
  <c r="D42" i="5"/>
  <c r="D196" i="5" s="1"/>
  <c r="D45" i="5"/>
  <c r="D199" i="5" s="1"/>
  <c r="D44" i="5"/>
  <c r="D198" i="5" s="1"/>
  <c r="D41" i="5"/>
  <c r="D195" i="5" s="1"/>
  <c r="D46" i="5"/>
  <c r="D200" i="5" s="1"/>
  <c r="H69" i="3"/>
  <c r="D69" i="3" s="1"/>
  <c r="D225" i="3" s="1"/>
  <c r="H39" i="3"/>
  <c r="D39" i="3" s="1"/>
  <c r="D205" i="3" s="1"/>
  <c r="D44" i="3"/>
  <c r="D210" i="3" s="1"/>
  <c r="H39" i="5"/>
  <c r="D39" i="5" s="1"/>
  <c r="D193" i="5" s="1"/>
  <c r="H39" i="6"/>
  <c r="M39" i="6" s="1"/>
  <c r="D39" i="6" s="1"/>
  <c r="D193" i="6" s="1"/>
  <c r="B39" i="6"/>
  <c r="B196" i="6" s="1"/>
  <c r="D159" i="3"/>
  <c r="D164" i="3"/>
  <c r="D160" i="3"/>
  <c r="D163" i="3"/>
  <c r="D162" i="3"/>
  <c r="D161" i="3"/>
  <c r="D165" i="3"/>
  <c r="G6" i="6" l="1"/>
  <c r="D6" i="6" s="1"/>
  <c r="D56" i="6"/>
  <c r="D210" i="6" s="1"/>
  <c r="D57" i="6"/>
  <c r="D211" i="6" s="1"/>
  <c r="D147" i="6" l="1"/>
  <c r="D132" i="6"/>
  <c r="G37" i="6"/>
  <c r="F37" i="6"/>
  <c r="D37" i="6" s="1"/>
  <c r="D191" i="6" s="1"/>
  <c r="G38" i="3"/>
  <c r="F38" i="3"/>
  <c r="G38" i="5"/>
  <c r="F38" i="5"/>
  <c r="G38" i="6"/>
  <c r="F38" i="6"/>
  <c r="D38" i="6" s="1"/>
  <c r="D192" i="6" s="1"/>
  <c r="G37" i="5"/>
  <c r="F37" i="5"/>
  <c r="D37" i="5" s="1"/>
  <c r="D191" i="5" s="1"/>
  <c r="G37" i="3"/>
  <c r="F37" i="3"/>
  <c r="D38" i="5" l="1"/>
  <c r="D192" i="5" s="1"/>
  <c r="D268" i="6"/>
  <c r="B135" i="6"/>
  <c r="M38" i="6"/>
  <c r="M37" i="6"/>
  <c r="D38" i="3"/>
  <c r="D204" i="3" s="1"/>
  <c r="B38" i="3"/>
  <c r="D37" i="3"/>
  <c r="D203" i="3" s="1"/>
  <c r="B37" i="3"/>
  <c r="B37" i="5"/>
  <c r="B191" i="5" s="1"/>
</calcChain>
</file>

<file path=xl/sharedStrings.xml><?xml version="1.0" encoding="utf-8"?>
<sst xmlns="http://schemas.openxmlformats.org/spreadsheetml/2006/main" count="675" uniqueCount="208">
  <si>
    <t>بلقـــــــــــــــــــــــاس</t>
  </si>
  <si>
    <r>
      <t>4.</t>
    </r>
    <r>
      <rPr>
        <b/>
        <u/>
        <sz val="11"/>
        <color rgb="FFFF0000"/>
        <rFont val="Segoe UI"/>
        <family val="2"/>
      </rPr>
      <t>مراجعة ارصدة المخازن </t>
    </r>
  </si>
  <si>
    <t>فلتر</t>
  </si>
  <si>
    <t>ملاحظات على الجرد </t>
  </si>
  <si>
    <t>توجد أمانات موزعين للتوكيل بالتوكيلات الاخرى لم يتم الانتهاء من استلامها ويتم ارسال ميل يومي بها</t>
  </si>
  <si>
    <r>
      <t>9.</t>
    </r>
    <r>
      <rPr>
        <b/>
        <u/>
        <sz val="14.3"/>
        <color rgb="FFFF0000"/>
        <rFont val="Segoe UI"/>
        <family val="2"/>
      </rPr>
      <t>مراجعة ارصدة الخزينة</t>
    </r>
  </si>
  <si>
    <t>ملاحظات على جرد الخزينة</t>
  </si>
  <si>
    <t>34961.47 ج</t>
  </si>
  <si>
    <t xml:space="preserve">← توجد فواتير بدون بعد مالي عافيه بمبلغ </t>
  </si>
  <si>
    <t xml:space="preserve">لم يتم الانتهاء من حله حتى الان ويتم الارسال بالمشكلة بصفة دورية إلى الادارة </t>
  </si>
  <si>
    <t xml:space="preserve">←  يوجد فكة بالتوكيل  بمبلغ  </t>
  </si>
  <si>
    <t>تم ارسال مبلغ منهم الموزع للقيام بتجميدهم على ان يتم القيام بدفع دفعات منهم</t>
  </si>
  <si>
    <t xml:space="preserve">← يوجد مبلغ </t>
  </si>
  <si>
    <t>تأمينات اجتماعية وضريبة دخل تم صرفها من الخزنه ولم يتم حتى الان صرفها على البرنامج من المخصص وتم ارسال ميل بها للادارة لصرفها</t>
  </si>
  <si>
    <t>فكة تم ارساله للموزع لتجميده ويتم ارسال مبلغ كل يوم او يومين منه</t>
  </si>
  <si>
    <t>مبلغ فكة لدى الموزع لتجميده</t>
  </si>
  <si>
    <t>سيتم ارسال الفكة للموزع غدا وفقا لما تم الاتفاق به مع مدير الاقليم</t>
  </si>
  <si>
    <r>
      <t>13.</t>
    </r>
    <r>
      <rPr>
        <b/>
        <sz val="14.3"/>
        <color rgb="FFFF0000"/>
        <rFont val="Segoe UI"/>
        <family val="2"/>
      </rPr>
      <t>مراجعة المديونية </t>
    </r>
  </si>
  <si>
    <t>Dakahlia - Al Yasmine</t>
  </si>
  <si>
    <t>ملاحظات على تنفيذ سياسة الاجل </t>
  </si>
  <si>
    <t>إجمالي مديونية التوكيل مبلغ</t>
  </si>
  <si>
    <t>← نسبة المديونية من الهدف</t>
  </si>
  <si>
    <t>← يتم ارسال ميل يومي بالمديونية ومتأخراتها لمدير الاقليم والادارة لمتابعة التحصيل .</t>
  </si>
  <si>
    <t xml:space="preserve">← تبلغ مديونية الموزع مبلغ </t>
  </si>
  <si>
    <t>بنسبة</t>
  </si>
  <si>
    <t xml:space="preserve">← تبلغ متأخرات الموزع مبلغ </t>
  </si>
  <si>
    <t xml:space="preserve"> - يتم ارسال ميل يومي بمديونية الموزع ومتأخراتها للمتابعة مع مدير الاقليم</t>
  </si>
  <si>
    <t>←</t>
  </si>
  <si>
    <t>← يتم خروج فواتير اجل للموزع مع وجود متأخرات بموافقة من أ. ايمن فهيد او بوضعه في الميل</t>
  </si>
  <si>
    <r>
      <t>17.</t>
    </r>
    <r>
      <rPr>
        <b/>
        <sz val="14.3"/>
        <color rgb="FF242424"/>
        <rFont val="Segoe UI"/>
        <family val="2"/>
      </rPr>
      <t>مراجعة المصروفات</t>
    </r>
  </si>
  <si>
    <t>ملاحظات على تنفيذ شروط صرف المصاريف ومصاريف التشغيل والمرتبات</t>
  </si>
  <si>
    <t>يوجد رسوم عبور بالتوكيل   بسبب وجود بوابات عبور جديدة تم وضعها على الطريق الدولي السريع بعد التوكيل مباشرة وفي دخول بعض المراكز</t>
  </si>
  <si>
    <t>تم ارسال طلب موافقة رسوم عبور لتوكيل بلقاس في انتظار الموافقة عليها</t>
  </si>
  <si>
    <r>
      <t>21.</t>
    </r>
    <r>
      <rPr>
        <b/>
        <sz val="14.3"/>
        <color rgb="FF242424"/>
        <rFont val="Segoe UI"/>
        <family val="2"/>
      </rPr>
      <t>مراجعة الحوافز والخصومات</t>
    </r>
  </si>
  <si>
    <t>ملاحظات على تنفيذ شروط صرف الحوافز والخصومات المؤجلة</t>
  </si>
  <si>
    <t>←  الحوافز المتواجدة عبارة عن كوبونات واشعارات منها ما هو موقع ومنها ما هو مختوم ولكن معظمها مختوم</t>
  </si>
  <si>
    <t>←  توجد حوافز منتهية تم صرفها بموافقة من التسويق التجاري</t>
  </si>
  <si>
    <r>
      <t>25.</t>
    </r>
    <r>
      <rPr>
        <b/>
        <u/>
        <sz val="14.3"/>
        <color rgb="FFFF0000"/>
        <rFont val="Segoe UI"/>
        <family val="2"/>
      </rPr>
      <t>الدورة المستندية</t>
    </r>
  </si>
  <si>
    <t>ملاحظات على الدورة المستندية </t>
  </si>
  <si>
    <t>بعض المندوبين غير ملتزمين بكتابة تفريدة النقدية . ( الأمر مكرر )</t>
  </si>
  <si>
    <t>يوجد تقصير في ارفاق صور فواتير الجملة في بيان متحصلات الجملة . وتم التأكيد على ضرورة طباعة الفواتير كاملة وارفاقها في بيان المتحصلات .</t>
  </si>
  <si>
    <t>يوجد مندوب تجزئة عافيه عبد الله رزق الطابعة لا تعمل ولا يستطيع طباعة الفواتير ولا الاغلاق الخاص به . وتم ارسال ميل بمشكلة الطابعة لادارة IS .</t>
  </si>
  <si>
    <t>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t>
  </si>
  <si>
    <t>لا يتم تسجيل التحصيلات على فواتير الاجل من المحاسبين .</t>
  </si>
  <si>
    <t>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t>
  </si>
  <si>
    <t>تم التزام التوكيل بطباعة مصادقة المديونية للمندوبين وارسالها على الميل .</t>
  </si>
  <si>
    <t xml:space="preserve"> تم التأكيد على ضرورة تسجيل رقم إيصال استلام النقدية بدفتر الخزنه وليس رقم الحركة على البرنامج .</t>
  </si>
  <si>
    <t xml:space="preserve"> تم التأكيد على ضرورة التفرقة في تسجيل الشيكات عن الايداعات البنكية في الدفتر من خلال الوصف وليس جمعهم على بعضهم البعض .</t>
  </si>
  <si>
    <t xml:space="preserve"> عدم استلام أي بيان متحصلات غير مستوفى البيانات ومطابقة تفريدة النقدية للفعلي .</t>
  </si>
  <si>
    <t>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t>
  </si>
  <si>
    <t xml:space="preserve"> التأكيد على استكمال أرشيف الخزنة . وطباعة الجرد اليومي وارفاقه مع الأرشيف . تم الالتزام .</t>
  </si>
  <si>
    <t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t>
  </si>
  <si>
    <t>ـــ يوجد عدد 5 طابعات بالتوكيل بهم مشاكل تم ارسال اكثر من ميل لحل مشاكلهم دون جدوى</t>
  </si>
  <si>
    <t>NFSA</t>
  </si>
  <si>
    <t>ملاحظات على الجودة </t>
  </si>
  <si>
    <t>ــ   توجد أتربة باستمرار داخل مخزن الملكة ناتجة عن مصنع الأدوات الصحية المقابل للمخزن . تم التوجيه بضرورة النظافة المستمرة لتلك الأتربة وعمل خطة محكمة من أجل القضاء عليها . لحين وضع حل جذري لتلك المشكلة . مع التأكيد على تفعيل خطة النظافة .</t>
  </si>
  <si>
    <t>ــ   توجد صندوق سيارة مغلق بجوار المبني الاداري يتم وضع هالك السوس الخاص بالعملاء والتي يتم احضاره عن طريق مندوبي التسليم اثناء زيارة العملاء لحين ارسالها للمصنع . تبعد عن مخزن الملكة بحوالي 400 م .</t>
  </si>
  <si>
    <t>·        الستارة الهوائية بالتوكيل غير فعالة .</t>
  </si>
  <si>
    <t xml:space="preserve">توجد عيوب بسقف مخزن عافية تسمح بمرور الأمطار . </t>
  </si>
  <si>
    <t xml:space="preserve"> الاضاءة ضعيفة جدا داخل مخزن الملكة وعافية   </t>
  </si>
  <si>
    <t>عدم وجود غرفة للتوالف بمخزن الملكة وعافيه .</t>
  </si>
  <si>
    <t>30.ملاحظات على تقييم المخازن </t>
  </si>
  <si>
    <t>32.ملاحظات على تقييم الخزينة </t>
  </si>
  <si>
    <r>
      <t>·</t>
    </r>
    <r>
      <rPr>
        <sz val="7"/>
        <color rgb="FF000000"/>
        <rFont val="Times New Roman"/>
        <family val="1"/>
      </rPr>
      <t xml:space="preserve">         </t>
    </r>
    <r>
      <rPr>
        <sz val="12"/>
        <color theme="1"/>
        <rFont val="Calibri"/>
        <family val="2"/>
      </rPr>
      <t>تم التأكيد على ضرورة تسجيل رقم إيصال استلام النقدية بدفتر الخزنه وليس رقم الحركة على البرنامج .</t>
    </r>
  </si>
  <si>
    <r>
      <t>·</t>
    </r>
    <r>
      <rPr>
        <sz val="7"/>
        <color rgb="FF000000"/>
        <rFont val="Times New Roman"/>
        <family val="1"/>
      </rPr>
      <t xml:space="preserve">         </t>
    </r>
    <r>
      <rPr>
        <sz val="12"/>
        <color theme="1"/>
        <rFont val="Calibri"/>
        <family val="2"/>
      </rPr>
      <t>تم التأكيد على ضرورة التفرقة في تسجيل الشيكات عن الايداعات البنكية في الدفتر من خلال الوصف وليس جمعهم على بعضهم البعض .</t>
    </r>
  </si>
  <si>
    <r>
      <t>·</t>
    </r>
    <r>
      <rPr>
        <sz val="7"/>
        <color rgb="FF000000"/>
        <rFont val="Times New Roman"/>
        <family val="1"/>
      </rPr>
      <t xml:space="preserve">         </t>
    </r>
    <r>
      <rPr>
        <sz val="12"/>
        <color theme="1"/>
        <rFont val="Calibri"/>
        <family val="2"/>
      </rPr>
      <t>عدم استلام أي بيان متحصلات غير مستوفى البيانات ومطابقة تفريدة النقدية للفعلي .</t>
    </r>
  </si>
  <si>
    <r>
      <t>·</t>
    </r>
    <r>
      <rPr>
        <sz val="7"/>
        <color rgb="FF000000"/>
        <rFont val="Times New Roman"/>
        <family val="1"/>
      </rPr>
      <t xml:space="preserve">         </t>
    </r>
    <r>
      <rPr>
        <sz val="12"/>
        <color theme="1"/>
        <rFont val="Calibri"/>
        <family val="2"/>
      </rPr>
      <t>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t>
    </r>
  </si>
  <si>
    <r>
      <t>·</t>
    </r>
    <r>
      <rPr>
        <sz val="7"/>
        <color rgb="FF000000"/>
        <rFont val="Times New Roman"/>
        <family val="1"/>
      </rPr>
      <t xml:space="preserve">         </t>
    </r>
    <r>
      <rPr>
        <sz val="12"/>
        <color theme="1"/>
        <rFont val="Calibri"/>
        <family val="2"/>
      </rPr>
      <t>التأكيد على استكمال أرشيف الخزنة . وطباعة الجرد اليومي وارفاقه مع الأرشيف . تم الالتزام .</t>
    </r>
  </si>
  <si>
    <r>
      <t>·</t>
    </r>
    <r>
      <rPr>
        <sz val="7"/>
        <color rgb="FF000000"/>
        <rFont val="Times New Roman"/>
        <family val="1"/>
      </rPr>
      <t xml:space="preserve">         </t>
    </r>
    <r>
      <rPr>
        <sz val="12"/>
        <color theme="1"/>
        <rFont val="Calibri"/>
        <family val="2"/>
      </rPr>
      <t>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t>
    </r>
  </si>
  <si>
    <r>
      <t>·</t>
    </r>
    <r>
      <rPr>
        <sz val="7"/>
        <color rgb="FF000000"/>
        <rFont val="Times New Roman"/>
        <family val="1"/>
      </rPr>
      <t xml:space="preserve">         </t>
    </r>
    <r>
      <rPr>
        <sz val="12"/>
        <color theme="1"/>
        <rFont val="Calibri"/>
        <family val="2"/>
      </rPr>
      <t>يتم تسليم الموزع بنهاية عمل كل يوم كراتين مغلقة بكامل الخزنه وملزوقة بالكامل في بيت الموزع ويتم تسليمها بالكامل في اليوم التالي للخزنه عن طريق سيارة تابعة للموزع .</t>
    </r>
  </si>
  <si>
    <r>
      <t>·</t>
    </r>
    <r>
      <rPr>
        <sz val="7"/>
        <color rgb="FF000000"/>
        <rFont val="Times New Roman"/>
        <family val="1"/>
      </rPr>
      <t xml:space="preserve">         </t>
    </r>
    <r>
      <rPr>
        <sz val="12"/>
        <color theme="1"/>
        <rFont val="Calibri"/>
        <family val="2"/>
      </rPr>
      <t>تم التأكيد على ضرورة التسجيل في الدفتر وفقا للتوريد الفعلي للمندوب وعدم استلام أي مبالغ لم يتم توريدها إلى الخزنه .</t>
    </r>
  </si>
  <si>
    <r>
      <t>·</t>
    </r>
    <r>
      <rPr>
        <sz val="7"/>
        <color rgb="FF000000"/>
        <rFont val="Times New Roman"/>
        <family val="1"/>
      </rPr>
      <t xml:space="preserve">         </t>
    </r>
    <r>
      <rPr>
        <sz val="12"/>
        <color theme="1"/>
        <rFont val="Calibri"/>
        <family val="2"/>
      </rPr>
      <t>التسجيل الصحيح في دفتر الخزنه وفقا لاسم المندوب الصحيح .</t>
    </r>
  </si>
  <si>
    <r>
      <t>·</t>
    </r>
    <r>
      <rPr>
        <sz val="7"/>
        <color rgb="FF000000"/>
        <rFont val="Times New Roman"/>
        <family val="1"/>
      </rPr>
      <t xml:space="preserve">         </t>
    </r>
    <r>
      <rPr>
        <sz val="12"/>
        <color theme="1"/>
        <rFont val="Calibri"/>
        <family val="2"/>
      </rPr>
      <t>التأكيد على توقيع امين الخزنه والمحاسب على بيان المتحصلات بما يفيد المراجعة لتفادي الوقوع في مثل الأخطاء السابقة .</t>
    </r>
  </si>
  <si>
    <r>
      <t>33.</t>
    </r>
    <r>
      <rPr>
        <b/>
        <sz val="13"/>
        <color rgb="FF242424"/>
        <rFont val="Segoe UI"/>
        <family val="2"/>
      </rPr>
      <t>تقيم المديونية</t>
    </r>
  </si>
  <si>
    <t>36.ملاحظات على تقييم صرف الحوافز </t>
  </si>
  <si>
    <t>38.ملاحظات على الدورة المستندية </t>
  </si>
  <si>
    <t>42.ملاحظات على الجودة </t>
  </si>
  <si>
    <t>Dirstributor</t>
  </si>
  <si>
    <t>Row Labels</t>
  </si>
  <si>
    <t>Sum of Value</t>
  </si>
  <si>
    <t>21 : 30 Days</t>
  </si>
  <si>
    <t>11 : 20 Days</t>
  </si>
  <si>
    <t>Not Due</t>
  </si>
  <si>
    <t>Grand Total</t>
  </si>
  <si>
    <t>Customer name</t>
  </si>
  <si>
    <t>مصطفى حسيب</t>
  </si>
  <si>
    <t>مدة التأخير</t>
  </si>
  <si>
    <t>Dakahlia - Al Yasmine Total</t>
  </si>
  <si>
    <t>Dakahlia Aga – Al Yasmine</t>
  </si>
  <si>
    <t>Dakahlia Aga – Al Yasmine Total</t>
  </si>
  <si>
    <t>Damietta - Khaled Ismaiel Al-Fath</t>
  </si>
  <si>
    <t>Damietta - Khaled Ismaiel Al-Fath Total</t>
  </si>
  <si>
    <t>أجــــــــــــــــــــــــــــــــــــــــــــــــــــــــــــــــــــــــــــا</t>
  </si>
  <si>
    <t>قيمة فواتير اجل تم ظهورها في المديونية نتيجة مشكلة في الهاند هيلد وليست في المديونية وقيمتها موجودة بخزينة الشركة بالزيادة</t>
  </si>
  <si>
    <t>راتب السائق عبدالله شطا لم يتم استلامه حتى الان من خلال السائق</t>
  </si>
  <si>
    <t>تم حل مشكلة تحصيل نقدي ببعد مالي مختلف يوم الزيارة .</t>
  </si>
  <si>
    <t>الاجمالي</t>
  </si>
  <si>
    <t>← يتم خروج فواتير اجل مع وجود متأخرات بموافقة من مدير القطاع مع وضع نائب مدير عام البيع في الميل</t>
  </si>
  <si>
    <t xml:space="preserve">• عدد البضاعة المرشحة </t>
  </si>
  <si>
    <t xml:space="preserve">• عدد توالف الملكة </t>
  </si>
  <si>
    <t xml:space="preserve">• عدد رواكد التوكيل </t>
  </si>
  <si>
    <t xml:space="preserve">• قيمة الفكة بالتوكيل </t>
  </si>
  <si>
    <t>• المتبقي على العميل المتحدة واخر تاريخ سداد والقيمة .</t>
  </si>
  <si>
    <t>• هل يوجد صرف حوافز منتهية بموافقة التسويق التجاري ـ ارسال الميل وعدد الحوافز .</t>
  </si>
  <si>
    <t>←  الحوافز المتواجدة عبارة عن كوبونات واشعارات منها ما هو موقع ومنها ما هو مختوم</t>
  </si>
  <si>
    <t>معادلة</t>
  </si>
  <si>
    <t>← يوجد انحراف بمخزن عافيه بقيمة 30,997.27 ناتج عن فاتورة مرتجعات توالف عملاء برقم D24_O_00033238 ولم يتم ترحيلها بشكل سليم على البرنامج من خلال فريق IS  مما أدى إلى وجود انحراف في تقييم المخزون.</t>
  </si>
  <si>
    <t>← يوجد انحراف في  مخزن الملكة بقيمة  6195 بسبب فاتورة مهرجان أسواق الندى برقم  D24_O_00032928 وتم ارسال اكثر من ميل بذلك ولم يتم الحل حتى الان.</t>
  </si>
  <si>
    <t>← مساحة المخزن لا تكفي لحجم اعمال التوكيل ويتم رص بضاعة للعافيه بمخزن الملكة لعدم وجود مساحة كافية.</t>
  </si>
  <si>
    <t>← الأصناف بالمخزنين غير مرتبة وفقا للحجم والنوع وتم التأكيد على سرعة الانتها ء من ترتيب البضاعة وذلك بسبب صغر حجم المخزن مقارنة بالشحن .</t>
  </si>
  <si>
    <t>← ارتفاع درجات الحرارة بالمخزنين مما قد يؤثر سلبا على البضاعة المتواجدة بالمخزن من جهة السوس او الترشيح</t>
  </si>
  <si>
    <t xml:space="preserve">← تم ابعاد البضاعة عن الحائط في المخزنين </t>
  </si>
  <si>
    <t>← لا يوجد شفاطات بالمخزن مما أدى إلى ارتفاع درجات الحرارة</t>
  </si>
  <si>
    <t>← لا توجد طفايات حريق بالمخزنين .</t>
  </si>
  <si>
    <t>← وجود أتربة على بعض المنتجات .</t>
  </si>
  <si>
    <r>
      <t>·</t>
    </r>
    <r>
      <rPr>
        <sz val="7"/>
        <color rgb="FF000000"/>
        <rFont val="Times New Roman"/>
        <family val="1"/>
      </rPr>
      <t xml:space="preserve">         </t>
    </r>
    <r>
      <rPr>
        <sz val="12"/>
        <color theme="1"/>
        <rFont val="Calibri"/>
        <family val="2"/>
      </rPr>
      <t>يتم استلام بعض النقدية مساءا على البرنامج في حين يتم استلامها فعليا في الخزنه ، وذلك يظهر بوضوح اثناء قيام امين الخزنه بعد مبالغ نقدية من الخزنه صباحا لأول مرة . وذلك بعلم من مدير الإقليم .</t>
    </r>
  </si>
  <si>
    <t>دمياط</t>
  </si>
  <si>
    <t xml:space="preserve">7461.5  وملكة مبلغ 19229.5  </t>
  </si>
  <si>
    <t xml:space="preserve">840 ج ج </t>
  </si>
  <si>
    <t xml:space="preserve">←  يوجد انحراف استلام نقدية ملكة بمبلغ  </t>
  </si>
  <si>
    <t>لم يتم الانتهاء من حله حتى الان ويتم الارسال بالمشكلة بصفة دورية إلى الادارة</t>
  </si>
  <si>
    <t>ضريبة الدخل زيادة بالخزنه لم يتم الانتهاء من دفعه من خلال الموزع في انتظار مطالبة المحاسب القانوني للدفع وتم ارسال ميل بذلك</t>
  </si>
  <si>
    <t>عبارة تأمينات اجتماعية عن شهر نوفمبر تم صرفها على البرنامج ولم يتم تسليمها للموزع بعد</t>
  </si>
  <si>
    <t>فواتير تجزئة بها انحراف تم ايداعها بالخزنه ولم نستطع سدادها لوجود انحراف بها وتم جردها مع الخزنه</t>
  </si>
  <si>
    <t>تم التأكيد على مراجعة العداد الحالي والسابق في فواتير السولار لوجود بعض الاخطاء بها .</t>
  </si>
  <si>
    <t xml:space="preserve">تم الالتزام بكتابة العداد السابق على فواتير السولار </t>
  </si>
  <si>
    <t>ضرورة التوقيع رباعي بالرقم القومي على المصاريف وبخاصة مصاريف السولار والزيت</t>
  </si>
  <si>
    <t>←  الحوافز المتواجدة عبارة عن كوبونات واشعارات منها ما هو موقع ومنها ما هو مختوم وعددها</t>
  </si>
  <si>
    <t>←  ضرورة تسجيل الحوافز المخصومة من المديونية في دفتر المديونية بعد التاكد من تسجيلها في بيان المتحصلات</t>
  </si>
  <si>
    <t xml:space="preserve">←  توجد حوافز تم اصدارها من فريق التنسيق باختلاف في كود العميل بالخطأ وتم التصحيح </t>
  </si>
  <si>
    <t>يوجد عدد 5 مندوب تجزئة الطابعة لا تعمل ولا يستطيع طباعة الفواتير ولا الاغلاق الخاص به . وتم ارسال ميل بمشكلة الطابعة لادارة IS .</t>
  </si>
  <si>
    <t xml:space="preserve"> قصور في تحديث دفتر مديونية العملاء لبعض العملاء وتم التأكيد بعدم تكرار الامر</t>
  </si>
  <si>
    <r>
      <t>34.</t>
    </r>
    <r>
      <rPr>
        <b/>
        <sz val="13"/>
        <color rgb="FF242424"/>
        <rFont val="Segoe UI"/>
        <family val="2"/>
      </rPr>
      <t>تقيم المديونية</t>
    </r>
  </si>
  <si>
    <t>40.ملاحظات على المصاريف </t>
  </si>
  <si>
    <t>شركة الرحمة</t>
  </si>
  <si>
    <t>لا يتم التزام التوكيل بطباعة مصادقة المديونية للمندوبين وارسالها على الميل . - وانما في نهاية الشهر فقط .</t>
  </si>
  <si>
    <t>← توجد فواتير اجل بدون ختم لبعض العملاء</t>
  </si>
  <si>
    <t xml:space="preserve">يوجد مبلغ بالخزنه 6600 ج عبارة عن فلوس زيادة عن التامينات الاجتماعية تم صرف البرنامج مثلا 200 الف والموزع اخد 195 فقط للعلم والمراجعة مع عبد الرحمن يوميا وشهريا على وجود المبلغ </t>
  </si>
  <si>
    <t>يوجد عدد مندوب لا توجد له طابعة ( مشروع التجزئة ) ، وعدد 3 مندوب اخرين لديهم مشكلة في الطابعة الخاصة به ، وعدد 6 شواحن طابعة لا تعمل بالتوكيل ـ تم ارسال ميل اكثر من مرة لحل المشكلة . ولم يتم الانتهاء من المشكلة .</t>
  </si>
  <si>
    <t>← نسبة المتأخرات من الهدف</t>
  </si>
  <si>
    <t xml:space="preserve">← متاخرات المديونية     مبلغ </t>
  </si>
  <si>
    <t xml:space="preserve">←      مبلغ </t>
  </si>
  <si>
    <t>تبلغ عدد فواتير الاجل بالتوكيل عدد  70 الفواتير المختومة منها عدد  54 والفواتير الموقعة منها عدد 16</t>
  </si>
  <si>
    <t xml:space="preserve">- عدد 0 صفيحه الشمس الذهبية أصفر 11 كجم صفيح  (ال س.ب.م/ كجم) متبقي على الانتهاء </t>
  </si>
  <si>
    <t xml:space="preserve">- عدد 0 صفيحه مكرونة نيو ايطاليانوعود 400جم متبقي على الانتهاء </t>
  </si>
  <si>
    <t xml:space="preserve">- عدد 0 صفيحه الشمس الذهبية أبيض 11 كجم صفيح  (ال س.ب.م/ كجم) متبقي على الانتهاء </t>
  </si>
  <si>
    <t xml:space="preserve">- عدد 0 كرتونة  متبقي على الانتهاء </t>
  </si>
  <si>
    <t>- عدد 49 كرتونة سلايت ذرة 2.25 لتر * 4 متبقي على الانتهاء 5 شهور</t>
  </si>
  <si>
    <t>- عدد 0 كرتونة بنت البلد أبيض 1.45 كجم * 4 - سهلة الفتح متبقي على الانتهاء 7 شهور</t>
  </si>
  <si>
    <t>- عدد 0 كرتونة بنت البلد أصفر 1.45 كجم * 4 - سهلة الفتح متبقي على الانتهاء 7 شهور</t>
  </si>
  <si>
    <t>- عدد 48.000001 كرتونة سلايت ذرة 0.750 لتر*12   متبقي على الانتهاء 10 شهور</t>
  </si>
  <si>
    <t>- عدد 50 كرتونة سلايت عباد 1.5 لتر*6 متبقي على الانتهاء 12 شهر</t>
  </si>
  <si>
    <t>- عدد 45 كرتونة عافية بلس 1.6 لتر * 6 - مجدى يعقوب متبقي على الانتهاء 13 شهر</t>
  </si>
  <si>
    <t>- عدد 38.500005 كرتونة عافية عباد 1.6 لتر * 6 - لايف أويل متبقي على الانتهاء 14 شهر</t>
  </si>
  <si>
    <t xml:space="preserve"> عدد 7 صفيحه الشمس الذهبية أصفر 11 كجم صفيح انتهت مدة الصلاحية الخاصة بهم</t>
  </si>
  <si>
    <t xml:space="preserve">رواتب </t>
  </si>
  <si>
    <t>سيتم عمل ايداع بها لدى تارجت</t>
  </si>
  <si>
    <t>طن</t>
  </si>
  <si>
    <t>مصاريف تامينات وضريبة دخل وسولار لم يتم صرفهم على البرنامج حتى الان ..</t>
  </si>
  <si>
    <t>Damietta - Khaled Ismaiel -  Al-Fath</t>
  </si>
  <si>
    <t>← يوجد عدد 1 عملاء لم يتم تحديث المديونية الخاصة بهم</t>
  </si>
  <si>
    <t>يوجد عدد من الفواتير الاجل غير موجودة بالملف</t>
  </si>
  <si>
    <t xml:space="preserve"> تمت مراجعة وارد عافيه المرسل للتوكيل</t>
  </si>
  <si>
    <t xml:space="preserve"> تمت مراجعة وارد الملكة المرسل للتوكيل حتى تاريخه</t>
  </si>
  <si>
    <t xml:space="preserve"> تمت مراجعة ايداعات عافيه حتى تاريخه</t>
  </si>
  <si>
    <t xml:space="preserve"> تمت مراجعة ايداعات الملكة حتى تاريخه</t>
  </si>
  <si>
    <t xml:space="preserve"> تمت مراجعة التحصيل النقدي والتاكد من التوجيه الصحيح للحركات حتى تاريخه</t>
  </si>
  <si>
    <t>توجد بعض البالتات مكسرة بالتوكيل</t>
  </si>
  <si>
    <t xml:space="preserve"> لا يتم فصل الزيت عن السمنة</t>
  </si>
  <si>
    <t>← لا يوجد ممرات بين البضاعة بسبب صغر حجم المخزن</t>
  </si>
  <si>
    <t>31 : 60 Days</t>
  </si>
  <si>
    <t>1 : 10 Days</t>
  </si>
  <si>
    <t>61 : 120 Days</t>
  </si>
  <si>
    <t>&gt; 120 Days</t>
  </si>
  <si>
    <t xml:space="preserve">← تمت مراجعة الايداعات التي تم اثباتها بالمالية حتى اليوم </t>
  </si>
  <si>
    <r>
      <t>·</t>
    </r>
    <r>
      <rPr>
        <sz val="7"/>
        <color rgb="FF000000"/>
        <rFont val="Times New Roman"/>
        <family val="1"/>
      </rPr>
      <t xml:space="preserve">         </t>
    </r>
    <r>
      <rPr>
        <sz val="12"/>
        <color theme="1"/>
        <rFont val="Calibri"/>
        <family val="2"/>
      </rPr>
      <t>يتم ترك كامل الخزنة بغرفة امين الخزنه بالتوكيل داخل الخزنه الجديدة ولا يتم تسليمها للموزع بنهاية عمل اليوم . مع العلم ان المنطقة التي بها التوكيل هي منطقة زراعية وبها العديد من التوكيلات التجارية وفي منطقة غير مأهولة بالسكان . مما قد يعرضها للسرقة .</t>
    </r>
  </si>
  <si>
    <t>تم ارسال طلب موافقة مطبوعات لتوكيل بلقاس في انتظار الموافقة عليها</t>
  </si>
  <si>
    <t>تم مراجعة الوارد الـ وصل للتوكيلات</t>
  </si>
  <si>
    <t>تم مراجعة الايداعات مع المالية</t>
  </si>
  <si>
    <t>(Multiple Items)</t>
  </si>
  <si>
    <t>لا يتم الالتزام  بطباعة مصادقة المديونية للمندوبين وارسالها على الميل .</t>
  </si>
  <si>
    <r>
      <t>·</t>
    </r>
    <r>
      <rPr>
        <sz val="7"/>
        <color rgb="FF000000"/>
        <rFont val="Times New Roman"/>
        <family val="1"/>
      </rPr>
      <t xml:space="preserve">         تم شراء </t>
    </r>
    <r>
      <rPr>
        <sz val="12"/>
        <color theme="1"/>
        <rFont val="Calibri"/>
        <family val="2"/>
      </rPr>
      <t xml:space="preserve"> خزنه حديدية بالتوكيل . وفي حالة وجود فلوس كثيرة يتم وضع الفلوس في الدولاب ..</t>
    </r>
  </si>
  <si>
    <t xml:space="preserve"> توجد مصاريف تخص التامينات الاجتماعية وضريبة الدخل لم يستطع الموزع حتى الان باحضار برنت تاميني لصرفها</t>
  </si>
  <si>
    <t>لا يوجد انحراف مالي بالتوكيل</t>
  </si>
  <si>
    <t xml:space="preserve"> مصاريف سولار وزيت لم يتم ترحيلها حتى الان</t>
  </si>
  <si>
    <t>تمت الموافقة على المصاريف المرفوعة على البرنامج</t>
  </si>
  <si>
    <t>Date</t>
  </si>
  <si>
    <t>Damietta</t>
  </si>
  <si>
    <t>Distributor</t>
  </si>
  <si>
    <t>بلقاس</t>
  </si>
  <si>
    <t>DAM</t>
  </si>
  <si>
    <t>BLQ</t>
  </si>
  <si>
    <t>AGA</t>
  </si>
  <si>
    <t>البياثون المطلوب تشغيله</t>
  </si>
  <si>
    <t>Region</t>
  </si>
  <si>
    <t>Salesmannamee</t>
  </si>
  <si>
    <t>Customer no</t>
  </si>
  <si>
    <t>Description</t>
  </si>
  <si>
    <t>Invoice No</t>
  </si>
  <si>
    <t>Creditlimit</t>
  </si>
  <si>
    <t>Value</t>
  </si>
  <si>
    <t>Total O.D</t>
  </si>
  <si>
    <t>Due Date</t>
  </si>
  <si>
    <t xml:space="preserve">vendor
</t>
  </si>
  <si>
    <t>مدة التأخير باليوم</t>
  </si>
  <si>
    <t xml:space="preserve">← وجود أثار فئران بالمخازن نتيجة وجود فتحات في المخازن تسمح بدخول فئران </t>
  </si>
  <si>
    <t xml:space="preserve">← وجود على اتربة على المنتجات ناتجة عن وجود مصنع ادوات صحية مقابل المخازن </t>
  </si>
  <si>
    <t>← معظم المراوح بكلا المخزنين لا تعمل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</si>
</sst>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mmm\ d&quot;, &quot;yyyy"/>
    <numFmt numFmtId="165" formatCode="[$-409]ddd\-d\-mmm;@"/>
  </numFmts>
  <fonts count="30"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9"/>
      <color rgb="FFFFFFFF"/>
      <name val="Arial"/>
      <family val="2"/>
    </font>
    <font>
      <sz val="9"/>
      <color rgb="FF333333"/>
      <name val="Arial"/>
      <family val="2"/>
    </font>
    <font>
      <b/>
      <sz val="20"/>
      <color theme="1"/>
      <name val="Aptos Narrow"/>
      <family val="2"/>
      <scheme val="minor"/>
    </font>
    <font>
      <sz val="11"/>
      <color rgb="FFFF0000"/>
      <name val="Segoe UI"/>
      <family val="2"/>
    </font>
    <font>
      <b/>
      <u/>
      <sz val="11"/>
      <color rgb="FFFF0000"/>
      <name val="Segoe UI"/>
      <family val="2"/>
    </font>
    <font>
      <b/>
      <u/>
      <sz val="14.3"/>
      <color rgb="FFFF0000"/>
      <name val="Segoe UI"/>
      <family val="2"/>
    </font>
    <font>
      <b/>
      <sz val="12"/>
      <color theme="1"/>
      <name val="Aptos Narrow"/>
      <family val="2"/>
      <scheme val="minor"/>
    </font>
    <font>
      <b/>
      <sz val="14.3"/>
      <color rgb="FFFF0000"/>
      <name val="Segoe UI"/>
      <family val="2"/>
    </font>
    <font>
      <b/>
      <sz val="11"/>
      <color rgb="FFFF0000"/>
      <name val="Segoe UI"/>
      <family val="2"/>
    </font>
    <font>
      <b/>
      <sz val="14.3"/>
      <color rgb="FF242424"/>
      <name val="Segoe UI"/>
      <family val="2"/>
    </font>
    <font>
      <sz val="11"/>
      <color rgb="FF242424"/>
      <name val="Segoe UI"/>
      <family val="2"/>
    </font>
    <font>
      <sz val="12"/>
      <color theme="1"/>
      <name val="Calibri"/>
      <family val="2"/>
    </font>
    <font>
      <b/>
      <sz val="13"/>
      <color rgb="FFFF0000"/>
      <name val="Segoe UI"/>
      <family val="2"/>
    </font>
    <font>
      <b/>
      <sz val="10"/>
      <name val="Aptos Narrow"/>
      <family val="2"/>
      <scheme val="minor"/>
    </font>
    <font>
      <sz val="12"/>
      <color rgb="FF000000"/>
      <name val="Symbol"/>
      <family val="1"/>
      <charset val="2"/>
    </font>
    <font>
      <sz val="7"/>
      <color rgb="FF000000"/>
      <name val="Times New Roman"/>
      <family val="1"/>
    </font>
    <font>
      <b/>
      <sz val="13"/>
      <color rgb="FF242424"/>
      <name val="Segoe UI"/>
      <family val="2"/>
    </font>
    <font>
      <b/>
      <sz val="12"/>
      <color theme="1"/>
      <name val="Calibri"/>
      <family val="2"/>
    </font>
    <font>
      <sz val="11"/>
      <color theme="1"/>
      <name val="Calibri"/>
      <family val="2"/>
    </font>
    <font>
      <b/>
      <sz val="11"/>
      <color rgb="FFFF0000"/>
      <name val="Calibri"/>
      <family val="2"/>
    </font>
    <font>
      <b/>
      <sz val="11"/>
      <color theme="1"/>
      <name val="Calibri"/>
      <family val="2"/>
    </font>
    <font>
      <sz val="11"/>
      <color theme="1"/>
      <name val="Calibri"/>
      <family val="2"/>
    </font>
    <font>
      <b/>
      <sz val="11"/>
      <color rgb="FFFF0000"/>
      <name val="Calibri"/>
      <family val="2"/>
    </font>
    <font>
      <b/>
      <sz val="11"/>
      <color theme="1"/>
      <name val="Calibri"/>
      <family val="2"/>
    </font>
    <font>
      <sz val="9"/>
      <name val="Calibri Light"/>
      <family val="2"/>
    </font>
    <font>
      <sz val="9"/>
      <color indexed="56"/>
      <name val="Century Gothic"/>
      <family val="2"/>
    </font>
  </fonts>
  <fills count="10">
    <fill>
      <patternFill patternType="none"/>
    </fill>
    <fill>
      <patternFill patternType="gray125"/>
    </fill>
    <fill>
      <patternFill patternType="solid">
        <fgColor rgb="FF3366FF"/>
        <bgColor rgb="FFFFFFFF"/>
      </patternFill>
    </fill>
    <fill>
      <patternFill patternType="solid">
        <fgColor rgb="FFF7F7F7"/>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1"/>
        <bgColor indexed="64"/>
      </patternFill>
    </fill>
    <fill>
      <patternFill patternType="solid">
        <fgColor theme="9" tint="0.79998168889431442"/>
        <bgColor indexed="64"/>
      </patternFill>
    </fill>
    <fill>
      <patternFill patternType="solid">
        <fgColor theme="0"/>
        <bgColor indexed="64"/>
      </patternFill>
    </fill>
    <fill>
      <patternFill patternType="solid">
        <fgColor rgb="FFFFFFCC"/>
        <bgColor indexed="64"/>
      </patternFill>
    </fill>
  </fills>
  <borders count="8">
    <border>
      <left/>
      <right/>
      <top/>
      <bottom/>
      <diagonal/>
    </border>
    <border>
      <left style="thin">
        <color rgb="FFDDDDDD"/>
      </left>
      <right style="thin">
        <color rgb="FFDDDDDD"/>
      </right>
      <top style="thin">
        <color rgb="FFDDDDDD"/>
      </top>
      <bottom style="thin">
        <color rgb="FFDDDDDD"/>
      </bottom>
      <diagonal/>
    </border>
    <border>
      <left/>
      <right/>
      <top style="thin">
        <color theme="4" tint="0.39997558519241921"/>
      </top>
      <bottom/>
      <diagonal/>
    </border>
    <border>
      <left/>
      <right/>
      <top/>
      <bottom style="thin">
        <color theme="4" tint="0.39997558519241921"/>
      </bottom>
      <diagonal/>
    </border>
    <border>
      <left style="medium">
        <color indexed="64"/>
      </left>
      <right/>
      <top style="hair">
        <color indexed="64"/>
      </top>
      <bottom style="hair">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hair">
        <color indexed="64"/>
      </top>
      <bottom style="hair">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7">
    <xf numFmtId="0" fontId="0" fillId="0" borderId="0" xfId="0"/>
    <xf numFmtId="49" fontId="4" fillId="2" borderId="0" xfId="0" applyNumberFormat="1" applyFont="1" applyFill="1" applyAlignment="1">
      <alignment horizontal="center" vertical="center"/>
    </xf>
    <xf numFmtId="49" fontId="4" fillId="2" borderId="0" xfId="1" applyNumberFormat="1" applyFont="1" applyFill="1" applyAlignment="1">
      <alignment horizontal="center" vertical="center"/>
    </xf>
    <xf numFmtId="49" fontId="4" fillId="2" borderId="0" xfId="0" applyNumberFormat="1" applyFont="1" applyFill="1" applyAlignment="1">
      <alignment horizontal="center" vertical="center" wrapText="1"/>
    </xf>
    <xf numFmtId="49" fontId="5" fillId="3" borderId="1" xfId="0" applyNumberFormat="1" applyFont="1" applyFill="1" applyBorder="1" applyAlignment="1">
      <alignment horizontal="center" vertical="center"/>
    </xf>
    <xf numFmtId="49" fontId="5" fillId="3" borderId="1" xfId="0" applyNumberFormat="1" applyFont="1" applyFill="1" applyBorder="1" applyAlignment="1">
      <alignment horizontal="center"/>
    </xf>
    <xf numFmtId="164" fontId="5" fillId="3" borderId="1" xfId="0" applyNumberFormat="1" applyFont="1" applyFill="1" applyBorder="1" applyAlignment="1">
      <alignment horizontal="center"/>
    </xf>
    <xf numFmtId="49" fontId="5" fillId="3" borderId="1" xfId="1" applyNumberFormat="1" applyFont="1" applyFill="1" applyBorder="1" applyAlignment="1">
      <alignment horizontal="center"/>
    </xf>
    <xf numFmtId="0" fontId="6" fillId="0" borderId="0" xfId="0" applyFont="1" applyAlignment="1">
      <alignment horizontal="center" vertical="center"/>
    </xf>
    <xf numFmtId="43" fontId="0" fillId="0" borderId="0" xfId="1" applyFont="1"/>
    <xf numFmtId="9" fontId="0" fillId="0" borderId="0" xfId="2" applyFont="1"/>
    <xf numFmtId="0" fontId="7" fillId="4" borderId="0" xfId="0" applyFont="1" applyFill="1" applyAlignment="1">
      <alignment horizontal="right" vertical="center"/>
    </xf>
    <xf numFmtId="0" fontId="0" fillId="0" borderId="0" xfId="0" applyAlignment="1">
      <alignment horizontal="right" readingOrder="2"/>
    </xf>
    <xf numFmtId="0" fontId="0" fillId="0" borderId="0" xfId="0" applyAlignment="1">
      <alignment horizontal="right"/>
    </xf>
    <xf numFmtId="0" fontId="8" fillId="4" borderId="0" xfId="0" applyFont="1" applyFill="1" applyAlignment="1">
      <alignment horizontal="right" vertical="center"/>
    </xf>
    <xf numFmtId="43" fontId="0" fillId="4" borderId="0" xfId="1" applyFont="1" applyFill="1"/>
    <xf numFmtId="0" fontId="0" fillId="0" borderId="0" xfId="0" applyAlignment="1">
      <alignment readingOrder="2"/>
    </xf>
    <xf numFmtId="0" fontId="7" fillId="4" borderId="0" xfId="0" applyFont="1" applyFill="1" applyAlignment="1">
      <alignment horizontal="right" vertical="center" wrapText="1"/>
    </xf>
    <xf numFmtId="0" fontId="12" fillId="4" borderId="0" xfId="0" applyFont="1" applyFill="1" applyAlignment="1">
      <alignment horizontal="right" vertical="center" wrapText="1"/>
    </xf>
    <xf numFmtId="9" fontId="0" fillId="0" borderId="0" xfId="2" applyFont="1" applyAlignment="1">
      <alignment horizontal="right" readingOrder="2"/>
    </xf>
    <xf numFmtId="9" fontId="0" fillId="0" borderId="0" xfId="1" applyNumberFormat="1" applyFont="1"/>
    <xf numFmtId="9" fontId="0" fillId="4" borderId="0" xfId="2" applyFont="1" applyFill="1"/>
    <xf numFmtId="0" fontId="0" fillId="0" borderId="0" xfId="0" applyAlignment="1">
      <alignment horizontal="left"/>
    </xf>
    <xf numFmtId="40" fontId="0" fillId="0" borderId="0" xfId="0" applyNumberFormat="1"/>
    <xf numFmtId="0" fontId="0" fillId="4" borderId="0" xfId="0" applyFill="1" applyAlignment="1">
      <alignment horizontal="right" readingOrder="2"/>
    </xf>
    <xf numFmtId="0" fontId="0" fillId="4" borderId="0" xfId="0" applyFill="1" applyAlignment="1">
      <alignment horizontal="right"/>
    </xf>
    <xf numFmtId="0" fontId="11" fillId="4" borderId="0" xfId="0" applyFont="1" applyFill="1" applyAlignment="1">
      <alignment horizontal="right" vertical="center" wrapText="1"/>
    </xf>
    <xf numFmtId="0" fontId="14" fillId="0" borderId="0" xfId="0" applyFont="1" applyAlignment="1">
      <alignment horizontal="right" vertical="center" readingOrder="2"/>
    </xf>
    <xf numFmtId="0" fontId="15" fillId="0" borderId="0" xfId="0" applyFont="1" applyAlignment="1">
      <alignment horizontal="right" vertical="center" indent="1" readingOrder="2"/>
    </xf>
    <xf numFmtId="0" fontId="16" fillId="4" borderId="0" xfId="0" applyFont="1" applyFill="1" applyAlignment="1">
      <alignment horizontal="right"/>
    </xf>
    <xf numFmtId="0" fontId="17" fillId="0" borderId="0" xfId="0" applyFont="1" applyAlignment="1">
      <alignment horizontal="right" vertical="center" readingOrder="2"/>
    </xf>
    <xf numFmtId="43" fontId="0" fillId="0" borderId="0" xfId="1" applyFont="1" applyFill="1"/>
    <xf numFmtId="9" fontId="0" fillId="0" borderId="0" xfId="2" applyFont="1" applyFill="1"/>
    <xf numFmtId="0" fontId="16" fillId="0" borderId="0" xfId="0" applyFont="1" applyAlignment="1">
      <alignment horizontal="right"/>
    </xf>
    <xf numFmtId="0" fontId="18" fillId="0" borderId="0" xfId="0" applyFont="1" applyAlignment="1">
      <alignment horizontal="right" vertical="center" readingOrder="2"/>
    </xf>
    <xf numFmtId="0" fontId="0" fillId="0" borderId="0" xfId="0" pivotButton="1"/>
    <xf numFmtId="0" fontId="0" fillId="0" borderId="0" xfId="0" applyAlignment="1">
      <alignment horizontal="center"/>
    </xf>
    <xf numFmtId="43" fontId="0" fillId="0" borderId="0" xfId="1" applyFont="1" applyAlignment="1">
      <alignment horizontal="center"/>
    </xf>
    <xf numFmtId="0" fontId="2" fillId="6" borderId="0" xfId="0" applyFont="1" applyFill="1" applyAlignment="1">
      <alignment horizontal="center"/>
    </xf>
    <xf numFmtId="0" fontId="0" fillId="4" borderId="0" xfId="0" applyFill="1" applyAlignment="1">
      <alignment readingOrder="2"/>
    </xf>
    <xf numFmtId="9" fontId="0" fillId="0" borderId="0" xfId="2" applyFont="1" applyFill="1" applyAlignment="1">
      <alignment horizontal="right" readingOrder="2"/>
    </xf>
    <xf numFmtId="9" fontId="0" fillId="4" borderId="0" xfId="2" applyFont="1" applyFill="1" applyAlignment="1">
      <alignment horizontal="right" readingOrder="2"/>
    </xf>
    <xf numFmtId="0" fontId="15" fillId="0" borderId="0" xfId="0" applyFont="1" applyAlignment="1">
      <alignment vertical="center" readingOrder="2"/>
    </xf>
    <xf numFmtId="10" fontId="0" fillId="0" borderId="0" xfId="0" applyNumberFormat="1"/>
    <xf numFmtId="0" fontId="2" fillId="6" borderId="0" xfId="0" applyFont="1" applyFill="1" applyAlignment="1">
      <alignment horizontal="center" vertical="center"/>
    </xf>
    <xf numFmtId="0" fontId="0" fillId="7" borderId="0" xfId="0" applyFill="1"/>
    <xf numFmtId="43" fontId="21" fillId="5" borderId="2" xfId="1" applyFont="1" applyFill="1" applyBorder="1"/>
    <xf numFmtId="0" fontId="14" fillId="0" borderId="0" xfId="0" applyFont="1" applyAlignment="1">
      <alignment horizontal="right" vertical="center" wrapText="1"/>
    </xf>
    <xf numFmtId="43" fontId="0" fillId="7" borderId="0" xfId="1" applyFont="1" applyFill="1"/>
    <xf numFmtId="9" fontId="0" fillId="7" borderId="0" xfId="2" applyFont="1" applyFill="1"/>
    <xf numFmtId="43" fontId="10" fillId="0" borderId="0" xfId="1" applyFont="1"/>
    <xf numFmtId="43" fontId="4" fillId="2" borderId="0" xfId="1" applyFont="1" applyFill="1" applyAlignment="1">
      <alignment horizontal="center" vertical="center"/>
    </xf>
    <xf numFmtId="43" fontId="0" fillId="0" borderId="0" xfId="1" applyFont="1" applyAlignment="1">
      <alignment horizontal="right"/>
    </xf>
    <xf numFmtId="43" fontId="0" fillId="0" borderId="0" xfId="1" applyFont="1" applyAlignment="1">
      <alignment horizontal="right" readingOrder="2"/>
    </xf>
    <xf numFmtId="9" fontId="3" fillId="4" borderId="0" xfId="2" applyFont="1" applyFill="1"/>
    <xf numFmtId="0" fontId="0" fillId="8" borderId="0" xfId="0" applyFill="1" applyAlignment="1">
      <alignment horizontal="right"/>
    </xf>
    <xf numFmtId="0" fontId="22" fillId="0" borderId="0" xfId="0" applyFont="1" applyAlignment="1">
      <alignment horizontal="center"/>
    </xf>
    <xf numFmtId="0" fontId="23" fillId="5" borderId="3" xfId="0" applyFont="1" applyFill="1" applyBorder="1" applyAlignment="1">
      <alignment horizontal="center"/>
    </xf>
    <xf numFmtId="43" fontId="22" fillId="0" borderId="0" xfId="1" applyFont="1" applyAlignment="1">
      <alignment horizontal="center"/>
    </xf>
    <xf numFmtId="9" fontId="24" fillId="0" borderId="0" xfId="2" applyFont="1" applyAlignment="1">
      <alignment horizontal="center"/>
    </xf>
    <xf numFmtId="43" fontId="23" fillId="5" borderId="3" xfId="1" applyFont="1" applyFill="1" applyBorder="1" applyAlignment="1">
      <alignment horizontal="center"/>
    </xf>
    <xf numFmtId="9" fontId="23" fillId="5" borderId="3" xfId="2" applyFont="1" applyFill="1" applyBorder="1" applyAlignment="1">
      <alignment horizontal="center"/>
    </xf>
    <xf numFmtId="0" fontId="25" fillId="0" borderId="0" xfId="0" applyFont="1" applyAlignment="1">
      <alignment horizontal="left" vertical="center"/>
    </xf>
    <xf numFmtId="0" fontId="25" fillId="0" borderId="0" xfId="0" applyFont="1" applyAlignment="1">
      <alignment horizontal="center"/>
    </xf>
    <xf numFmtId="0" fontId="26" fillId="0" borderId="0" xfId="0" applyFont="1" applyAlignment="1">
      <alignment horizontal="center"/>
    </xf>
    <xf numFmtId="0" fontId="27" fillId="0" borderId="0" xfId="0" applyFont="1" applyAlignment="1">
      <alignment horizontal="left" vertical="center"/>
    </xf>
    <xf numFmtId="4" fontId="25" fillId="0" borderId="0" xfId="0" applyNumberFormat="1" applyFont="1" applyAlignment="1">
      <alignment horizontal="right"/>
    </xf>
    <xf numFmtId="4" fontId="26" fillId="0" borderId="0" xfId="0" applyNumberFormat="1" applyFont="1" applyAlignment="1">
      <alignment horizontal="right"/>
    </xf>
    <xf numFmtId="9" fontId="26" fillId="0" borderId="0" xfId="0" applyNumberFormat="1" applyFont="1" applyAlignment="1">
      <alignment horizontal="right"/>
    </xf>
    <xf numFmtId="9" fontId="25" fillId="0" borderId="0" xfId="0" applyNumberFormat="1" applyFont="1" applyAlignment="1">
      <alignment horizontal="right"/>
    </xf>
    <xf numFmtId="49" fontId="0" fillId="0" borderId="0" xfId="0" applyNumberFormat="1"/>
    <xf numFmtId="49" fontId="0" fillId="0" borderId="0" xfId="1" applyNumberFormat="1" applyFont="1"/>
    <xf numFmtId="165" fontId="28" fillId="9" borderId="4" xfId="0" applyNumberFormat="1" applyFont="1" applyFill="1" applyBorder="1" applyAlignment="1" applyProtection="1">
      <alignment horizontal="center" vertical="center"/>
      <protection locked="0"/>
    </xf>
    <xf numFmtId="0" fontId="28" fillId="9" borderId="5" xfId="0" applyFont="1" applyFill="1" applyBorder="1" applyAlignment="1" applyProtection="1">
      <alignment horizontal="center" vertical="center"/>
      <protection hidden="1"/>
    </xf>
    <xf numFmtId="0" fontId="28" fillId="9" borderId="6" xfId="0" applyFont="1" applyFill="1" applyBorder="1" applyAlignment="1" applyProtection="1">
      <alignment horizontal="center" vertical="center"/>
      <protection hidden="1"/>
    </xf>
    <xf numFmtId="0" fontId="29" fillId="0" borderId="7" xfId="0" applyFont="1" applyBorder="1" applyAlignment="1" applyProtection="1">
      <alignment horizontal="center" vertical="center"/>
      <protection locked="0"/>
    </xf>
    <xf numFmtId="0" fontId="23" fillId="5" borderId="0" xfId="0" applyFont="1" applyFill="1" applyAlignment="1">
      <alignment horizontal="center"/>
    </xf>
  </cellXfs>
  <cellStyles count="3">
    <cellStyle name="Comma" xfId="1" builtinId="3"/>
    <cellStyle name="Normal" xfId="0" builtinId="0"/>
    <cellStyle name="Percent" xfId="2" builtinId="5"/>
  </cellStyles>
  <dxfs count="173">
    <dxf>
      <font>
        <color theme="0"/>
      </font>
    </dxf>
    <dxf>
      <font>
        <color theme="0"/>
      </font>
    </dxf>
    <dxf>
      <font>
        <color theme="0"/>
      </font>
    </dxf>
    <dxf>
      <font>
        <color theme="0"/>
      </font>
    </dxf>
    <dxf>
      <font>
        <color theme="0"/>
      </font>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
      <font>
        <condense val="0"/>
        <extend val="0"/>
        <color indexed="9"/>
      </font>
      <fill>
        <patternFill>
          <bgColor indexed="23"/>
        </patternFill>
      </fill>
    </dxf>
    <dxf>
      <fill>
        <patternFill>
          <bgColor indexed="26"/>
        </patternFill>
      </fill>
    </dxf>
    <dxf>
      <fill>
        <patternFill>
          <bgColor indexed="4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5512D11A-5CC6-11CF-8D67-00AA00BDCE1D}" ax:persistence="persistStream" r:id="rId1"/>
</file>

<file path=xl/activeX/activeX2.xml><?xml version="1.0" encoding="utf-8"?>
<ax:ocx xmlns:ax="http://schemas.microsoft.com/office/2006/activeX" xmlns:r="http://schemas.openxmlformats.org/officeDocument/2006/relationships" ax:classid="{5512D11A-5CC6-11CF-8D67-00AA00BDCE1D}" ax:persistence="persistStream" r:id="rId1"/>
</file>

<file path=xl/activeX/activeX3.xml><?xml version="1.0" encoding="utf-8"?>
<ax:ocx xmlns:ax="http://schemas.microsoft.com/office/2006/activeX" xmlns:r="http://schemas.openxmlformats.org/officeDocument/2006/relationships" ax:classid="{5512D11A-5CC6-11CF-8D67-00AA00BDCE1D}" ax:persistence="persistStream" r:id="rId1"/>
</file>

<file path=xl/activeX/activeX4.xml><?xml version="1.0" encoding="utf-8"?>
<ax:ocx xmlns:ax="http://schemas.microsoft.com/office/2006/activeX" xmlns:r="http://schemas.openxmlformats.org/officeDocument/2006/relationships" ax:classid="{5512D11A-5CC6-11CF-8D67-00AA00BDCE1D}" ax:persistence="persistStream"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-63242638</xdr:colOff>
          <xdr:row>264</xdr:row>
          <xdr:rowOff>81803</xdr:rowOff>
        </xdr:from>
        <xdr:to>
          <xdr:col>0</xdr:col>
          <xdr:colOff>-63052138</xdr:colOff>
          <xdr:row>265</xdr:row>
          <xdr:rowOff>36979</xdr:rowOff>
        </xdr:to>
        <xdr:sp macro="" textlink="">
          <xdr:nvSpPr>
            <xdr:cNvPr id="6145" name="Control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16383</xdr:col>
          <xdr:colOff>414617</xdr:colOff>
          <xdr:row>119</xdr:row>
          <xdr:rowOff>56590</xdr:rowOff>
        </xdr:from>
        <xdr:to>
          <xdr:col>16383</xdr:col>
          <xdr:colOff>605117</xdr:colOff>
          <xdr:row>120</xdr:row>
          <xdr:rowOff>56590</xdr:rowOff>
        </xdr:to>
        <xdr:sp macro="" textlink="">
          <xdr:nvSpPr>
            <xdr:cNvPr id="16385" name="Control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16383</xdr:col>
          <xdr:colOff>414617</xdr:colOff>
          <xdr:row>119</xdr:row>
          <xdr:rowOff>56590</xdr:rowOff>
        </xdr:from>
        <xdr:to>
          <xdr:col>16383</xdr:col>
          <xdr:colOff>605117</xdr:colOff>
          <xdr:row>120</xdr:row>
          <xdr:rowOff>56590</xdr:rowOff>
        </xdr:to>
        <xdr:sp macro="" textlink="">
          <xdr:nvSpPr>
            <xdr:cNvPr id="5121" name="Control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16372</xdr:col>
          <xdr:colOff>104775</xdr:colOff>
          <xdr:row>141</xdr:row>
          <xdr:rowOff>0</xdr:rowOff>
        </xdr:from>
        <xdr:to>
          <xdr:col>16373</xdr:col>
          <xdr:colOff>409575</xdr:colOff>
          <xdr:row>142</xdr:row>
          <xdr:rowOff>19050</xdr:rowOff>
        </xdr:to>
        <xdr:sp macro="" textlink="">
          <xdr:nvSpPr>
            <xdr:cNvPr id="1025" name="Control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AuditDistCloud/Input/Stock%20Balance.xlsx" TargetMode="External"/><Relationship Id="rId2" Type="http://schemas.openxmlformats.org/officeDocument/2006/relationships/externalLinkPath" Target="https://savolagroup-my.sharepoint.com/personal/aelsamnoudi_savola_com/Documents/AuditDistCloud/Input/Stock%20Balance.xlsx" TargetMode="External"/><Relationship Id="rId1" Type="http://schemas.openxmlformats.org/officeDocument/2006/relationships/externalLinkPath" Target="/personal/aelsamnoudi_savola_com/Documents/AuditDistCloud/Input/Stock%20Balance.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Desktop/&#1571;&#1605;&#1575;&#1606;&#1575;&#1578;%20&#1575;&#1604;&#1578;&#1580;&#1575;&#1585;%20&#1575;&#1604;&#1575;&#1602;&#1604;&#1610;&#1605;.xlsx" TargetMode="External"/><Relationship Id="rId2" Type="http://schemas.openxmlformats.org/officeDocument/2006/relationships/externalLinkPath" Target="https://savolagroup-my.sharepoint.com/personal/aelsamnoudi_savola_com/Documents/Desktop/&#1571;&#1605;&#1575;&#1606;&#1575;&#1578;%20&#1575;&#1604;&#1578;&#1580;&#1575;&#1585;%20&#1575;&#1604;&#1575;&#1602;&#1604;&#1610;&#1605;.xlsx" TargetMode="External"/><Relationship Id="rId1" Type="http://schemas.openxmlformats.org/officeDocument/2006/relationships/externalLinkPath" Target="/personal/aelsamnoudi_savola_com/Documents/Desktop/&#1571;&#1605;&#1575;&#1606;&#1575;&#1578;%20&#1575;&#1604;&#1578;&#1580;&#1575;&#1585;%20&#1575;&#1604;&#1575;&#1602;&#1604;&#1610;&#1605;.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AuditDistCloud/Input/Market%20credit%202022%20v2%20Delta%20A.xlsx" TargetMode="External"/><Relationship Id="rId2" Type="http://schemas.openxmlformats.org/officeDocument/2006/relationships/externalLinkPath" Target="https://savolagroup-my.sharepoint.com/personal/aelsamnoudi_savola_com/Documents/AuditDistCloud/Input/Market%20credit%202022%20v2%20Delta%20A.xlsx" TargetMode="External"/><Relationship Id="rId1" Type="http://schemas.openxmlformats.org/officeDocument/2006/relationships/externalLinkPath" Target="/personal/aelsamnoudi_savola_com/Documents/AuditDistCloud/Input/Market%20credit%202022%20v2%20Delta%20A.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M.C/M.C.xlsx" TargetMode="External"/><Relationship Id="rId2" Type="http://schemas.openxmlformats.org/officeDocument/2006/relationships/externalLinkPath" Target="https://savolagroup-my.sharepoint.com/personal/aelsamnoudi_savola_com/Documents/M.C/M.C.xlsx" TargetMode="External"/><Relationship Id="rId1" Type="http://schemas.openxmlformats.org/officeDocument/2006/relationships/externalLinkPath" Target="/personal/aelsamnoudi_savola_com/Documents/M.C/M.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waked Delta A"/>
      <sheetName val="رواكد"/>
      <sheetName val="SEASON + sub (Batch)"/>
      <sheetName val="6 MOMTHES REM"/>
      <sheetName val="All Srocks"/>
      <sheetName val="All Srocks (3)"/>
      <sheetName val="CTN ALL"/>
      <sheetName val="Capacity"/>
      <sheetName val="All Srocks (1)"/>
      <sheetName val="SEASON"/>
      <sheetName val="بالمخازن"/>
      <sheetName val="ITEMS"/>
      <sheetName val="SEASON + sub"/>
      <sheetName val="SUB"/>
      <sheetName val="ITEMS (1)"/>
      <sheetName val="All Srocks (DATES)"/>
      <sheetName val="Report 13"/>
      <sheetName val="EXPIRED"/>
      <sheetName val="Report 15"/>
      <sheetName val="6 MOMTHES REM (1)"/>
      <sheetName val="All Srocks (4)"/>
      <sheetName val="All Srocks (DATES) (1)"/>
      <sheetName val="Rwaked DAM"/>
      <sheetName val="Rwaked AGA"/>
      <sheetName val="Rwaked BLQ"/>
      <sheetName val="Rwaked A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4">
          <cell r="B4">
            <v>1781.75</v>
          </cell>
        </row>
        <row r="5">
          <cell r="D5">
            <v>11</v>
          </cell>
          <cell r="G5">
            <v>433</v>
          </cell>
          <cell r="H5" t="str">
            <v>مكرونة مكرونتو شنطة هلاليه 10كجم</v>
          </cell>
        </row>
        <row r="6">
          <cell r="D6">
            <v>13</v>
          </cell>
          <cell r="G6">
            <v>20</v>
          </cell>
          <cell r="H6" t="str">
            <v>الملكة شيوي إسباجتي 400 جم</v>
          </cell>
        </row>
        <row r="7">
          <cell r="D7">
            <v>13</v>
          </cell>
          <cell r="G7">
            <v>480</v>
          </cell>
          <cell r="H7" t="str">
            <v>الملكة شيوي شعريه 400 جم</v>
          </cell>
        </row>
        <row r="8">
          <cell r="D8">
            <v>14</v>
          </cell>
          <cell r="G8">
            <v>2340</v>
          </cell>
          <cell r="H8" t="str">
            <v>الملكة شيوي إسباجتي 400 جم</v>
          </cell>
        </row>
        <row r="9">
          <cell r="D9">
            <v>14</v>
          </cell>
          <cell r="G9">
            <v>1200</v>
          </cell>
          <cell r="H9" t="str">
            <v>الملكة شيوي شعريه 400 جم</v>
          </cell>
        </row>
        <row r="10">
          <cell r="D10">
            <v>14</v>
          </cell>
          <cell r="G10">
            <v>7340</v>
          </cell>
          <cell r="H10" t="str">
            <v>الملكة شيوي فرن 400 جم</v>
          </cell>
        </row>
        <row r="11">
          <cell r="D11">
            <v>14</v>
          </cell>
          <cell r="G11">
            <v>1640</v>
          </cell>
          <cell r="H11" t="str">
            <v>الملكة شيوي لسان 400 جم</v>
          </cell>
        </row>
        <row r="12">
          <cell r="D12">
            <v>14</v>
          </cell>
          <cell r="G12">
            <v>1480</v>
          </cell>
          <cell r="H12" t="str">
            <v>الملكة شيوي مرمرية 400 جم</v>
          </cell>
        </row>
        <row r="13">
          <cell r="D13">
            <v>14</v>
          </cell>
          <cell r="G13">
            <v>300</v>
          </cell>
          <cell r="H13" t="str">
            <v>الملكة شيوي هلاليه 400 جم</v>
          </cell>
        </row>
        <row r="14">
          <cell r="D14">
            <v>15</v>
          </cell>
          <cell r="G14">
            <v>522</v>
          </cell>
          <cell r="H14" t="str">
            <v>الشمس الذهبية أبيض 1.3 كجم *6 برطمان</v>
          </cell>
        </row>
        <row r="15">
          <cell r="D15">
            <v>15</v>
          </cell>
          <cell r="G15">
            <v>100</v>
          </cell>
          <cell r="H15" t="str">
            <v>الشمس الذهبية أبيض 1.45 كجم * 4 باكت</v>
          </cell>
        </row>
        <row r="16">
          <cell r="D16">
            <v>15</v>
          </cell>
          <cell r="G16">
            <v>204</v>
          </cell>
          <cell r="H16" t="str">
            <v>الشمس الذهبية أصفر 1.45 كجم * 4 باكت</v>
          </cell>
        </row>
        <row r="17">
          <cell r="D17">
            <v>16</v>
          </cell>
          <cell r="G17">
            <v>376</v>
          </cell>
          <cell r="H17" t="str">
            <v>روابى 2.5 كجم * 4 - سهلة الفتح</v>
          </cell>
        </row>
        <row r="18">
          <cell r="D18">
            <v>17</v>
          </cell>
          <cell r="G18">
            <v>102</v>
          </cell>
          <cell r="H18" t="str">
            <v>الطاهي أبيض 1.3 كجم *6 برطمان</v>
          </cell>
        </row>
        <row r="19">
          <cell r="D19">
            <v>17</v>
          </cell>
          <cell r="G19">
            <v>120</v>
          </cell>
          <cell r="H19" t="str">
            <v>الطاهي أصفر 1.3 كجم *6 برطمان</v>
          </cell>
        </row>
        <row r="20">
          <cell r="D20">
            <v>17</v>
          </cell>
          <cell r="G20">
            <v>188</v>
          </cell>
          <cell r="H20" t="str">
            <v>روابى 2.5 كجم * 4 - سهلة الفتح</v>
          </cell>
        </row>
        <row r="21">
          <cell r="D21">
            <v>19</v>
          </cell>
          <cell r="G21">
            <v>3588</v>
          </cell>
          <cell r="H21" t="str">
            <v>عافية تونة قطع في زيت عباد الشمس 185جم * 48</v>
          </cell>
        </row>
        <row r="22">
          <cell r="D22">
            <v>20</v>
          </cell>
          <cell r="G22">
            <v>3860</v>
          </cell>
          <cell r="H22" t="str">
            <v>الملكة شيوي خواتم 400 جم</v>
          </cell>
        </row>
      </sheetData>
      <sheetData sheetId="23">
        <row r="4">
          <cell r="B4">
            <v>5677.375</v>
          </cell>
        </row>
        <row r="5">
          <cell r="D5">
            <v>11</v>
          </cell>
          <cell r="G5">
            <v>640</v>
          </cell>
          <cell r="H5" t="str">
            <v>الملكة شيوي لسان 400 جم</v>
          </cell>
        </row>
        <row r="6">
          <cell r="D6">
            <v>13</v>
          </cell>
          <cell r="G6">
            <v>510</v>
          </cell>
          <cell r="H6" t="str">
            <v>الملكة شيوي إسباجتي 400 جم</v>
          </cell>
        </row>
        <row r="7">
          <cell r="D7">
            <v>13</v>
          </cell>
          <cell r="G7">
            <v>2720</v>
          </cell>
          <cell r="H7" t="str">
            <v>الملكة شيوي شعريه 400 جم</v>
          </cell>
        </row>
        <row r="8">
          <cell r="D8">
            <v>13</v>
          </cell>
          <cell r="G8">
            <v>2100</v>
          </cell>
          <cell r="H8" t="str">
            <v>الملكة شيوي فرن 400 جم</v>
          </cell>
        </row>
        <row r="9">
          <cell r="D9">
            <v>13</v>
          </cell>
          <cell r="G9">
            <v>28</v>
          </cell>
          <cell r="H9" t="str">
            <v>جنة 11 كجم صفيح  شكل جديد (ال س.ب.م/ كجم )</v>
          </cell>
        </row>
        <row r="10">
          <cell r="D10">
            <v>14</v>
          </cell>
          <cell r="G10">
            <v>1520</v>
          </cell>
          <cell r="H10" t="str">
            <v>الملكة شيوي إسباجتي 400 جم</v>
          </cell>
        </row>
        <row r="11">
          <cell r="D11">
            <v>14</v>
          </cell>
          <cell r="G11">
            <v>580</v>
          </cell>
          <cell r="H11" t="str">
            <v>الملكة شيوي شعريه 400 جم</v>
          </cell>
        </row>
        <row r="12">
          <cell r="D12">
            <v>14</v>
          </cell>
          <cell r="G12">
            <v>3900</v>
          </cell>
          <cell r="H12" t="str">
            <v>الملكة شيوي فرن 400 جم</v>
          </cell>
        </row>
        <row r="13">
          <cell r="D13">
            <v>14</v>
          </cell>
          <cell r="G13">
            <v>2040</v>
          </cell>
          <cell r="H13" t="str">
            <v>الملكة شيوي لسان 400 جم</v>
          </cell>
        </row>
        <row r="14">
          <cell r="D14">
            <v>14</v>
          </cell>
          <cell r="G14">
            <v>600</v>
          </cell>
          <cell r="H14" t="str">
            <v>الملكة شيوي مرمرية 400 جم</v>
          </cell>
        </row>
        <row r="15">
          <cell r="D15">
            <v>14</v>
          </cell>
          <cell r="G15">
            <v>3260</v>
          </cell>
          <cell r="H15" t="str">
            <v>الملكة شيوي هلاليه 400 جم</v>
          </cell>
        </row>
        <row r="16">
          <cell r="D16">
            <v>15</v>
          </cell>
          <cell r="G16">
            <v>12</v>
          </cell>
          <cell r="H16" t="str">
            <v>جنة 2.5 كجم * 4 - سهلة الفتح</v>
          </cell>
        </row>
        <row r="17">
          <cell r="D17">
            <v>15</v>
          </cell>
          <cell r="G17">
            <v>35</v>
          </cell>
          <cell r="H17" t="str">
            <v>روابى 11 كجم صفيح - شكل جديد (ال س.ب.م/ كجم)</v>
          </cell>
        </row>
        <row r="18">
          <cell r="D18">
            <v>16</v>
          </cell>
          <cell r="G18">
            <v>2442</v>
          </cell>
          <cell r="H18" t="str">
            <v>الشمس الذهبية أبيض 1.3 كجم *6 برطمان</v>
          </cell>
        </row>
        <row r="19">
          <cell r="D19">
            <v>16</v>
          </cell>
          <cell r="G19">
            <v>1080</v>
          </cell>
          <cell r="H19" t="str">
            <v>الشمس الذهبية أصفر 1.3 كجم *6 برطمان</v>
          </cell>
        </row>
        <row r="20">
          <cell r="D20">
            <v>16</v>
          </cell>
          <cell r="G20">
            <v>213</v>
          </cell>
          <cell r="H20" t="str">
            <v>جنة 4.25 كجم صفيح  - شكل جديد</v>
          </cell>
        </row>
        <row r="21">
          <cell r="D21">
            <v>17</v>
          </cell>
          <cell r="G21">
            <v>4</v>
          </cell>
          <cell r="H21" t="str">
            <v>الشمس الذهبية أصفر 1.45 كجم * 4 باكت</v>
          </cell>
        </row>
        <row r="22">
          <cell r="D22">
            <v>17</v>
          </cell>
          <cell r="G22">
            <v>762</v>
          </cell>
          <cell r="H22" t="str">
            <v>الطاهي أبيض 1.3 كجم *6 برطمان</v>
          </cell>
        </row>
        <row r="23">
          <cell r="D23">
            <v>17</v>
          </cell>
          <cell r="G23">
            <v>2844</v>
          </cell>
          <cell r="H23" t="str">
            <v>الطاهي أصفر 1.3 كجم *6 برطمان</v>
          </cell>
        </row>
        <row r="24">
          <cell r="D24">
            <v>17</v>
          </cell>
          <cell r="G24">
            <v>324</v>
          </cell>
          <cell r="H24" t="str">
            <v>جنة 1.5 كجم *4 - شكل جَديدُ</v>
          </cell>
        </row>
        <row r="25">
          <cell r="D25">
            <v>18</v>
          </cell>
          <cell r="G25">
            <v>99</v>
          </cell>
          <cell r="H25" t="str">
            <v>جنة 4.25 كجم صفيح  - شكل جديد</v>
          </cell>
        </row>
        <row r="26">
          <cell r="D26">
            <v>18</v>
          </cell>
          <cell r="G26">
            <v>2688</v>
          </cell>
          <cell r="H26" t="str">
            <v>روابى 0.700 كجم *8 - جديد</v>
          </cell>
        </row>
        <row r="27">
          <cell r="D27">
            <v>18</v>
          </cell>
          <cell r="G27">
            <v>224</v>
          </cell>
          <cell r="H27" t="str">
            <v>روابى ظرف 50 جم *32 كيس - شكل جديد</v>
          </cell>
        </row>
        <row r="28">
          <cell r="D28">
            <v>18</v>
          </cell>
          <cell r="G28">
            <v>28</v>
          </cell>
          <cell r="H28" t="str">
            <v>روابي 1.5 كجم *4 - شكل جَديدُ</v>
          </cell>
        </row>
        <row r="29">
          <cell r="D29">
            <v>19</v>
          </cell>
          <cell r="G29">
            <v>328</v>
          </cell>
          <cell r="H29" t="str">
            <v>جنة 0.700 كجم *8 - المِرملة  - جديد</v>
          </cell>
        </row>
        <row r="30">
          <cell r="D30">
            <v>19</v>
          </cell>
          <cell r="G30">
            <v>1424</v>
          </cell>
          <cell r="H30" t="str">
            <v>روابى 0.700 كجم *8 - جديد</v>
          </cell>
        </row>
        <row r="31">
          <cell r="D31">
            <v>19</v>
          </cell>
          <cell r="G31">
            <v>463</v>
          </cell>
          <cell r="H31" t="str">
            <v>روابى 11 كجم صفيح - شكل جديد (ال س.ب.م/ كجم)</v>
          </cell>
        </row>
        <row r="32">
          <cell r="D32">
            <v>19</v>
          </cell>
          <cell r="G32">
            <v>3200</v>
          </cell>
          <cell r="H32" t="str">
            <v>روابى ظرف 50 جم *32 كيس - شكل جديد</v>
          </cell>
        </row>
        <row r="33">
          <cell r="D33">
            <v>19</v>
          </cell>
          <cell r="G33">
            <v>2044</v>
          </cell>
          <cell r="H33" t="str">
            <v>روابي 1.5 كجم *4 - شكل جَديدُ</v>
          </cell>
        </row>
        <row r="34">
          <cell r="D34">
            <v>19</v>
          </cell>
          <cell r="G34">
            <v>4046.000016</v>
          </cell>
          <cell r="H34" t="str">
            <v>عافية تونة قطعة واحدة في زيت عباد الشمس 185جم * 48</v>
          </cell>
        </row>
        <row r="35">
          <cell r="D35">
            <v>19</v>
          </cell>
          <cell r="G35">
            <v>4539.999984</v>
          </cell>
          <cell r="H35" t="str">
            <v>عافية تونة قطع في زيت عباد الشمس 185جم * 48</v>
          </cell>
        </row>
        <row r="36">
          <cell r="D36">
            <v>20</v>
          </cell>
          <cell r="G36">
            <v>1340</v>
          </cell>
          <cell r="H36" t="str">
            <v>الملكة شيوي خواتم 400 جم</v>
          </cell>
        </row>
        <row r="37">
          <cell r="D37">
            <v>20</v>
          </cell>
          <cell r="G37">
            <v>1025</v>
          </cell>
          <cell r="H37" t="str">
            <v>جنة 11 كجم صفيح  شكل جديد (ال س.ب.م/ كجم )</v>
          </cell>
        </row>
        <row r="38">
          <cell r="D38">
            <v>20</v>
          </cell>
          <cell r="G38">
            <v>156</v>
          </cell>
          <cell r="H38" t="str">
            <v>جنة 1.5 كجم * 4 -المِرملة شكل جديد</v>
          </cell>
        </row>
        <row r="39">
          <cell r="D39">
            <v>20</v>
          </cell>
          <cell r="G39">
            <v>384</v>
          </cell>
          <cell r="H39" t="str">
            <v>روابي 1.5 كجم *4 - شكل جَديدُ</v>
          </cell>
        </row>
        <row r="40">
          <cell r="D40">
            <v>21</v>
          </cell>
          <cell r="G40">
            <v>348</v>
          </cell>
          <cell r="H40" t="str">
            <v>روابى 2.5 كجم * 4 - سهلة الفتح</v>
          </cell>
        </row>
      </sheetData>
      <sheetData sheetId="24">
        <row r="4">
          <cell r="B4">
            <v>2796</v>
          </cell>
        </row>
        <row r="5">
          <cell r="D5">
            <v>2</v>
          </cell>
          <cell r="G5">
            <v>20</v>
          </cell>
          <cell r="H5" t="str">
            <v>الملكة شيوي إسباجتي 400 جم</v>
          </cell>
        </row>
        <row r="6">
          <cell r="D6">
            <v>11</v>
          </cell>
          <cell r="G6">
            <v>340</v>
          </cell>
          <cell r="H6" t="str">
            <v>الملكة شيوي لسان 400 جم</v>
          </cell>
        </row>
        <row r="7">
          <cell r="D7">
            <v>12</v>
          </cell>
          <cell r="G7">
            <v>20</v>
          </cell>
          <cell r="H7" t="str">
            <v>الملكة شيوي خواتم 400 جم</v>
          </cell>
        </row>
        <row r="8">
          <cell r="D8">
            <v>13</v>
          </cell>
          <cell r="G8">
            <v>20</v>
          </cell>
          <cell r="H8" t="str">
            <v>الملكة شيوي شعريه 400 جم</v>
          </cell>
        </row>
        <row r="9">
          <cell r="D9">
            <v>13</v>
          </cell>
          <cell r="G9">
            <v>60</v>
          </cell>
          <cell r="H9" t="str">
            <v>الملكة شيوي مرمرية 400 جم</v>
          </cell>
        </row>
        <row r="10">
          <cell r="D10">
            <v>14</v>
          </cell>
          <cell r="G10">
            <v>4200</v>
          </cell>
          <cell r="H10" t="str">
            <v>الملكة شيوي شعريه 400 جم</v>
          </cell>
        </row>
        <row r="11">
          <cell r="D11">
            <v>14</v>
          </cell>
          <cell r="G11">
            <v>60</v>
          </cell>
          <cell r="H11" t="str">
            <v>الملكة شيوي فرن 400 جم</v>
          </cell>
        </row>
        <row r="12">
          <cell r="D12">
            <v>14</v>
          </cell>
          <cell r="G12">
            <v>2380</v>
          </cell>
          <cell r="H12" t="str">
            <v>الملكة شيوي لسان 400 جم</v>
          </cell>
        </row>
        <row r="13">
          <cell r="D13">
            <v>14</v>
          </cell>
          <cell r="G13">
            <v>4060</v>
          </cell>
          <cell r="H13" t="str">
            <v>الملكة شيوي مرمرية 400 جم</v>
          </cell>
        </row>
        <row r="14">
          <cell r="D14">
            <v>15</v>
          </cell>
          <cell r="G14">
            <v>1152</v>
          </cell>
          <cell r="H14" t="str">
            <v>الشمس الذهبية أبيض 1.3 كجم *6 برطمان</v>
          </cell>
        </row>
        <row r="15">
          <cell r="D15">
            <v>15</v>
          </cell>
          <cell r="G15">
            <v>16</v>
          </cell>
          <cell r="H15" t="str">
            <v>الشمس الذهبية أبيض 1.45 كجم * 4 باكت</v>
          </cell>
        </row>
        <row r="16">
          <cell r="D16">
            <v>15</v>
          </cell>
          <cell r="G16">
            <v>204</v>
          </cell>
          <cell r="H16" t="str">
            <v>الشمس الذهبية أصفر 1.3 كجم *6 برطمان</v>
          </cell>
        </row>
        <row r="17">
          <cell r="D17">
            <v>15</v>
          </cell>
          <cell r="G17">
            <v>10660</v>
          </cell>
          <cell r="H17" t="str">
            <v>الملكة شيوي فرن 400 جم</v>
          </cell>
        </row>
        <row r="18">
          <cell r="D18">
            <v>15</v>
          </cell>
          <cell r="G18">
            <v>960</v>
          </cell>
          <cell r="H18" t="str">
            <v>الملكة شيوي لسان 400 جم</v>
          </cell>
        </row>
        <row r="19">
          <cell r="D19">
            <v>15</v>
          </cell>
          <cell r="G19">
            <v>5340</v>
          </cell>
          <cell r="H19" t="str">
            <v>الملكة شيوي هلاليه 400 جم</v>
          </cell>
        </row>
        <row r="20">
          <cell r="D20">
            <v>16</v>
          </cell>
          <cell r="G20">
            <v>1794</v>
          </cell>
          <cell r="H20" t="str">
            <v>الشمس الذهبية أبيض 1.3 كجم *6 برطمان</v>
          </cell>
        </row>
        <row r="21">
          <cell r="D21">
            <v>16</v>
          </cell>
          <cell r="G21">
            <v>28</v>
          </cell>
          <cell r="H21" t="str">
            <v>الشمس الذهبية أبيض 1.45 كجم * 4 باكت</v>
          </cell>
        </row>
        <row r="22">
          <cell r="D22">
            <v>16</v>
          </cell>
          <cell r="G22">
            <v>612</v>
          </cell>
          <cell r="H22" t="str">
            <v>الشمس الذهبية أصفر 1.3 كجم *6 برطمان</v>
          </cell>
        </row>
        <row r="23">
          <cell r="D23">
            <v>16</v>
          </cell>
          <cell r="G23">
            <v>1400</v>
          </cell>
          <cell r="H23" t="str">
            <v>الملكة شيوي لسان 400 جم</v>
          </cell>
        </row>
        <row r="24">
          <cell r="D24">
            <v>17</v>
          </cell>
          <cell r="G24">
            <v>48</v>
          </cell>
          <cell r="H24" t="str">
            <v>الشمس الذهبية أبيض 1.45 كجم * 4 باكت</v>
          </cell>
        </row>
        <row r="25">
          <cell r="D25">
            <v>17</v>
          </cell>
          <cell r="G25">
            <v>222</v>
          </cell>
          <cell r="H25" t="str">
            <v>الطاهي أبيض 1.3 كجم *6 برطمان</v>
          </cell>
        </row>
        <row r="26">
          <cell r="D26">
            <v>17</v>
          </cell>
          <cell r="G26">
            <v>2838</v>
          </cell>
          <cell r="H26" t="str">
            <v>الطاهي أصفر 1.3 كجم *6 برطمان</v>
          </cell>
        </row>
        <row r="27">
          <cell r="D27">
            <v>21</v>
          </cell>
          <cell r="G27">
            <v>3200</v>
          </cell>
          <cell r="H27" t="str">
            <v>الملكة شيوي خواتم 400 جم</v>
          </cell>
        </row>
      </sheetData>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a"/>
      <sheetName val="Summary"/>
      <sheetName val="OLD"/>
      <sheetName val="NEW"/>
    </sheetNames>
    <sheetDataSet>
      <sheetData sheetId="0"/>
      <sheetData sheetId="1">
        <row r="34">
          <cell r="B34" t="str">
            <v>اسم الموزع</v>
          </cell>
          <cell r="D34" t="str">
            <v xml:space="preserve"> الكمية بالكرتونة</v>
          </cell>
        </row>
        <row r="35">
          <cell r="B35" t="str">
            <v>Dakahlia - Al Yasmine</v>
          </cell>
          <cell r="D35">
            <v>3954</v>
          </cell>
        </row>
        <row r="36">
          <cell r="B36" t="str">
            <v>Damietta - Khaled Ismaiel -  Al-Fath</v>
          </cell>
          <cell r="D36">
            <v>1138</v>
          </cell>
        </row>
        <row r="37">
          <cell r="B37"/>
          <cell r="D37">
            <v>5092</v>
          </cell>
        </row>
        <row r="38">
          <cell r="B38"/>
          <cell r="D38"/>
        </row>
        <row r="39">
          <cell r="B39"/>
          <cell r="D39"/>
        </row>
        <row r="40">
          <cell r="B40"/>
          <cell r="D40"/>
        </row>
      </sheetData>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C UNPIV"/>
      <sheetName val="Report 1"/>
      <sheetName val="Report 1 (2)"/>
      <sheetName val="Report 1 (3)"/>
      <sheetName val="M.C (1)"/>
      <sheetName val="M.C ALL"/>
      <sheetName val="M.C Delta A (1)"/>
      <sheetName val="RG"/>
      <sheetName val="M.C UNPIV (1)"/>
      <sheetName val="M.C (Delta A - Without RG) "/>
      <sheetName val="M.C (Delta A)"/>
      <sheetName val="مشاكل المديونية"/>
      <sheetName val="Summary"/>
      <sheetName val="M.C (Delta A) (1)"/>
      <sheetName val="ملخص"/>
      <sheetName val="مراجعة المديونية"/>
      <sheetName val="Report 9"/>
      <sheetName val="Report 11"/>
    </sheetNames>
    <sheetDataSet>
      <sheetData sheetId="0">
        <row r="3">
          <cell r="B3" t="str">
            <v>Delta A</v>
          </cell>
          <cell r="C3" t="str">
            <v>Dakahlia Aga – Al Yasmine</v>
          </cell>
          <cell r="D3" t="str">
            <v>Ahmed Saad Ibrahim</v>
          </cell>
          <cell r="E3" t="str">
            <v>D24_G00704</v>
          </cell>
          <cell r="F3" t="str">
            <v>أسواق الندى</v>
          </cell>
          <cell r="G3" t="str">
            <v>K-Retail</v>
          </cell>
          <cell r="H3">
            <v>46090.622637847198</v>
          </cell>
          <cell r="I3" t="str">
            <v>D24_O_00120803</v>
          </cell>
          <cell r="J3">
            <v>0</v>
          </cell>
          <cell r="K3">
            <v>65180.93</v>
          </cell>
          <cell r="L3">
            <v>65180.93</v>
          </cell>
          <cell r="M3" t="str">
            <v>61 : 120 Days</v>
          </cell>
          <cell r="N3">
            <v>46106</v>
          </cell>
          <cell r="O3" t="str">
            <v>PASTA</v>
          </cell>
          <cell r="P3">
            <v>96</v>
          </cell>
        </row>
        <row r="4">
          <cell r="B4" t="str">
            <v>Delta A</v>
          </cell>
          <cell r="C4" t="str">
            <v>Dakahlia Aga – Al Yasmine</v>
          </cell>
          <cell r="D4" t="str">
            <v>El Sayed Omar Attiah</v>
          </cell>
          <cell r="E4" t="str">
            <v>D24_R00704</v>
          </cell>
          <cell r="F4" t="str">
            <v>أسواق الندى</v>
          </cell>
          <cell r="G4" t="str">
            <v>K-Retail</v>
          </cell>
          <cell r="H4">
            <v>46088.632650081003</v>
          </cell>
          <cell r="I4" t="str">
            <v>D24_O_00120635</v>
          </cell>
          <cell r="J4">
            <v>0</v>
          </cell>
          <cell r="K4">
            <v>66136.759999999995</v>
          </cell>
          <cell r="L4">
            <v>66136.759999999995</v>
          </cell>
          <cell r="M4" t="str">
            <v>61 : 120 Days</v>
          </cell>
          <cell r="N4">
            <v>46104</v>
          </cell>
          <cell r="O4" t="str">
            <v>AFIA</v>
          </cell>
          <cell r="P4">
            <v>98</v>
          </cell>
        </row>
        <row r="5">
          <cell r="B5" t="str">
            <v>Delta A</v>
          </cell>
          <cell r="C5" t="str">
            <v>Dakahlia Aga – Al Yasmine</v>
          </cell>
          <cell r="D5" t="str">
            <v>Mahmoud Arafa Mohamed Salama</v>
          </cell>
          <cell r="E5" t="str">
            <v>D24_G00274</v>
          </cell>
          <cell r="F5" t="str">
            <v>بطوطة ماركت</v>
          </cell>
          <cell r="G5" t="str">
            <v>K-Retail</v>
          </cell>
          <cell r="H5">
            <v>46088.538537766202</v>
          </cell>
          <cell r="I5" t="str">
            <v>D24_O_00120589</v>
          </cell>
          <cell r="J5">
            <v>0</v>
          </cell>
          <cell r="K5">
            <v>21755.56</v>
          </cell>
          <cell r="L5">
            <v>21755.56</v>
          </cell>
          <cell r="M5" t="str">
            <v>61 : 120 Days</v>
          </cell>
          <cell r="N5">
            <v>46104</v>
          </cell>
          <cell r="O5" t="str">
            <v>PASTA</v>
          </cell>
          <cell r="P5">
            <v>98</v>
          </cell>
        </row>
        <row r="6">
          <cell r="B6" t="str">
            <v>Delta A</v>
          </cell>
          <cell r="C6" t="str">
            <v>Dakahlia Aga – Al Yasmine</v>
          </cell>
          <cell r="D6" t="str">
            <v>Mohamed Ali Al sayed Al sayed</v>
          </cell>
          <cell r="E6" t="str">
            <v>D24_R01104</v>
          </cell>
          <cell r="F6" t="str">
            <v>صلاح غلوش</v>
          </cell>
          <cell r="G6" t="str">
            <v>W/s Consumer &amp; Industrial</v>
          </cell>
          <cell r="H6">
            <v>46088.698774108801</v>
          </cell>
          <cell r="I6" t="str">
            <v>D24_O_00120614</v>
          </cell>
          <cell r="J6">
            <v>3500000</v>
          </cell>
          <cell r="K6">
            <v>1602863.43</v>
          </cell>
          <cell r="L6">
            <v>1602863.43</v>
          </cell>
          <cell r="M6" t="str">
            <v>61 : 120 Days</v>
          </cell>
          <cell r="N6">
            <v>46099</v>
          </cell>
          <cell r="O6" t="str">
            <v>AFIA</v>
          </cell>
          <cell r="P6">
            <v>103</v>
          </cell>
        </row>
        <row r="7">
          <cell r="B7" t="str">
            <v>Delta A</v>
          </cell>
          <cell r="C7" t="str">
            <v>Dakahlia Aga – Al Yasmine</v>
          </cell>
          <cell r="D7" t="str">
            <v>Mohamed Kamel Ali - Ganna Mix</v>
          </cell>
          <cell r="E7" t="str">
            <v>D24_01212</v>
          </cell>
          <cell r="F7" t="str">
            <v>مؤسسة محمد حسن</v>
          </cell>
          <cell r="G7" t="str">
            <v>W/s Consumer &amp; Industrial</v>
          </cell>
          <cell r="H7">
            <v>46194</v>
          </cell>
          <cell r="I7" t="str">
            <v>D24_O_00126984</v>
          </cell>
          <cell r="J7">
            <v>300000</v>
          </cell>
          <cell r="K7">
            <v>211989.26</v>
          </cell>
          <cell r="L7">
            <v>211989.26</v>
          </cell>
          <cell r="M7" t="str">
            <v>1 : 10 Days</v>
          </cell>
          <cell r="N7">
            <v>46195</v>
          </cell>
          <cell r="O7" t="str">
            <v>AFIA</v>
          </cell>
          <cell r="P7">
            <v>7</v>
          </cell>
        </row>
        <row r="8">
          <cell r="B8" t="str">
            <v>Delta A</v>
          </cell>
          <cell r="C8" t="str">
            <v>Dakahlia Aga – Al Yasmine</v>
          </cell>
          <cell r="D8" t="str">
            <v>Tawakkol Mustafa Enab</v>
          </cell>
          <cell r="E8" t="str">
            <v>D24_G01094</v>
          </cell>
          <cell r="F8" t="str">
            <v>أحمد الشنيطى</v>
          </cell>
          <cell r="G8" t="str">
            <v>W/s Consumer &amp; Industrial</v>
          </cell>
          <cell r="H8">
            <v>46184.453129085698</v>
          </cell>
          <cell r="I8" t="str">
            <v>D24_O_00126600</v>
          </cell>
          <cell r="J8">
            <v>200000</v>
          </cell>
          <cell r="K8">
            <v>39624</v>
          </cell>
          <cell r="L8">
            <v>39624</v>
          </cell>
          <cell r="M8" t="str">
            <v>1 : 10 Days</v>
          </cell>
          <cell r="N8">
            <v>46195</v>
          </cell>
          <cell r="O8" t="str">
            <v>PASTA</v>
          </cell>
          <cell r="P8">
            <v>7</v>
          </cell>
        </row>
        <row r="9">
          <cell r="B9" t="str">
            <v>Delta A</v>
          </cell>
          <cell r="C9" t="str">
            <v>Dakahlia Aga – Al Yasmine</v>
          </cell>
          <cell r="D9" t="str">
            <v>Tawakkol Mustafa Enab</v>
          </cell>
          <cell r="E9" t="str">
            <v>D24_G01096</v>
          </cell>
          <cell r="F9" t="str">
            <v>تجارة ضيف الله</v>
          </cell>
          <cell r="G9" t="str">
            <v>W/s Consumer &amp; Industrial</v>
          </cell>
          <cell r="H9">
            <v>46179.400064814799</v>
          </cell>
          <cell r="I9" t="str">
            <v>D24_O_00126202</v>
          </cell>
          <cell r="J9">
            <v>200000</v>
          </cell>
          <cell r="K9">
            <v>49382.57</v>
          </cell>
          <cell r="L9">
            <v>49382.57</v>
          </cell>
          <cell r="M9" t="str">
            <v>11 : 20 Days</v>
          </cell>
          <cell r="N9">
            <v>46190</v>
          </cell>
          <cell r="O9" t="str">
            <v>PASTA</v>
          </cell>
          <cell r="P9">
            <v>12</v>
          </cell>
        </row>
        <row r="10">
          <cell r="B10" t="str">
            <v>Delta A</v>
          </cell>
          <cell r="C10" t="str">
            <v>Dakahlia Aga – Al Yasmine</v>
          </cell>
          <cell r="D10" t="str">
            <v>Tawakkol Mustafa Enab</v>
          </cell>
          <cell r="E10" t="str">
            <v>D24_G01102</v>
          </cell>
          <cell r="F10" t="str">
            <v>صلاح الطناحى</v>
          </cell>
          <cell r="G10" t="str">
            <v>W/s Consumer &amp; Industrial</v>
          </cell>
          <cell r="H10">
            <v>46180.403225000002</v>
          </cell>
          <cell r="I10" t="str">
            <v>D24_O_00126280</v>
          </cell>
          <cell r="J10">
            <v>200000</v>
          </cell>
          <cell r="K10">
            <v>52832</v>
          </cell>
          <cell r="L10">
            <v>52832</v>
          </cell>
          <cell r="M10" t="str">
            <v>11 : 20 Days</v>
          </cell>
          <cell r="N10">
            <v>46191</v>
          </cell>
          <cell r="O10" t="str">
            <v>PASTA</v>
          </cell>
          <cell r="P10">
            <v>11</v>
          </cell>
        </row>
        <row r="11">
          <cell r="B11" t="str">
            <v>Delta A</v>
          </cell>
          <cell r="C11" t="str">
            <v>Dakahlia Aga – Al Yasmine</v>
          </cell>
          <cell r="D11" t="str">
            <v>Tawakkol Mustafa Enab</v>
          </cell>
          <cell r="E11" t="str">
            <v>D24_G01108</v>
          </cell>
          <cell r="F11" t="str">
            <v>شركة مسلم للتجارة</v>
          </cell>
          <cell r="G11" t="str">
            <v>W/s Consumer &amp; Industrial</v>
          </cell>
          <cell r="H11">
            <v>46180.503390081001</v>
          </cell>
          <cell r="I11" t="str">
            <v>D24_O_00126285</v>
          </cell>
          <cell r="J11">
            <v>1500000</v>
          </cell>
          <cell r="K11">
            <v>97517</v>
          </cell>
          <cell r="L11">
            <v>97517</v>
          </cell>
          <cell r="M11" t="str">
            <v>11 : 20 Days</v>
          </cell>
          <cell r="N11">
            <v>46191</v>
          </cell>
          <cell r="O11" t="str">
            <v>PASTA</v>
          </cell>
          <cell r="P11">
            <v>11</v>
          </cell>
        </row>
        <row r="12">
          <cell r="B12" t="str">
            <v>Delta A</v>
          </cell>
          <cell r="C12" t="str">
            <v>Dakahlia Aga – Al Yasmine</v>
          </cell>
          <cell r="D12" t="str">
            <v>Tawakkol Mustafa Enab</v>
          </cell>
          <cell r="E12" t="str">
            <v>D24_G01108</v>
          </cell>
          <cell r="F12" t="str">
            <v>شركة مسلم للتجارة</v>
          </cell>
          <cell r="G12" t="str">
            <v>W/s Consumer &amp; Industrial</v>
          </cell>
          <cell r="H12">
            <v>46183.522294756898</v>
          </cell>
          <cell r="I12" t="str">
            <v>D24_O_00126540</v>
          </cell>
          <cell r="J12">
            <v>1500000</v>
          </cell>
          <cell r="K12">
            <v>26550.57</v>
          </cell>
          <cell r="L12">
            <v>26550.57</v>
          </cell>
          <cell r="M12" t="str">
            <v>1 : 10 Days</v>
          </cell>
          <cell r="N12">
            <v>46194</v>
          </cell>
          <cell r="O12" t="str">
            <v>PASTA</v>
          </cell>
          <cell r="P12">
            <v>8</v>
          </cell>
        </row>
        <row r="13">
          <cell r="B13" t="str">
            <v>Delta A</v>
          </cell>
          <cell r="C13" t="str">
            <v>Dakahlia Aga – Al Yasmine</v>
          </cell>
          <cell r="D13" t="str">
            <v>Tawakkol Mustafa Enab</v>
          </cell>
          <cell r="E13" t="str">
            <v>D24_G01108</v>
          </cell>
          <cell r="F13" t="str">
            <v>شركة مسلم للتجارة</v>
          </cell>
          <cell r="G13" t="str">
            <v>W/s Consumer &amp; Industrial</v>
          </cell>
          <cell r="H13">
            <v>46189.497938738401</v>
          </cell>
          <cell r="I13" t="str">
            <v>D24_O_00126838</v>
          </cell>
          <cell r="J13">
            <v>1500000</v>
          </cell>
          <cell r="K13">
            <v>52832</v>
          </cell>
          <cell r="L13">
            <v>52832</v>
          </cell>
          <cell r="M13" t="str">
            <v>1 : 10 Days</v>
          </cell>
          <cell r="N13">
            <v>46200</v>
          </cell>
          <cell r="O13" t="str">
            <v>PASTA</v>
          </cell>
          <cell r="P13">
            <v>2</v>
          </cell>
        </row>
        <row r="14">
          <cell r="B14" t="str">
            <v>Delta A</v>
          </cell>
          <cell r="C14" t="str">
            <v>Dakahlia Aga – Al Yasmine</v>
          </cell>
          <cell r="D14" t="str">
            <v>Tawakkol Mustafa Enab</v>
          </cell>
          <cell r="E14" t="str">
            <v>D24_G01108</v>
          </cell>
          <cell r="F14" t="str">
            <v>شركة مسلم للتجارة</v>
          </cell>
          <cell r="G14" t="str">
            <v>W/s Consumer &amp; Industrial</v>
          </cell>
          <cell r="H14">
            <v>46190.514195219897</v>
          </cell>
          <cell r="I14" t="str">
            <v>D24_O_00126904</v>
          </cell>
          <cell r="J14">
            <v>1500000</v>
          </cell>
          <cell r="K14">
            <v>52832</v>
          </cell>
          <cell r="L14">
            <v>52832</v>
          </cell>
          <cell r="M14" t="str">
            <v>1 : 10 Days</v>
          </cell>
          <cell r="N14">
            <v>46201</v>
          </cell>
          <cell r="O14" t="str">
            <v>PASTA</v>
          </cell>
          <cell r="P14">
            <v>1</v>
          </cell>
        </row>
        <row r="15">
          <cell r="B15" t="str">
            <v>Delta A</v>
          </cell>
          <cell r="C15" t="str">
            <v>Dakahlia Aga – Al Yasmine</v>
          </cell>
          <cell r="D15" t="str">
            <v>Tawakkol Mustafa Enab</v>
          </cell>
          <cell r="E15" t="str">
            <v>D24_G01108</v>
          </cell>
          <cell r="F15" t="str">
            <v>شركة مسلم للتجارة</v>
          </cell>
          <cell r="G15" t="str">
            <v>W/s Consumer &amp; Industrial</v>
          </cell>
          <cell r="H15">
            <v>46191.577433912003</v>
          </cell>
          <cell r="I15" t="str">
            <v>D24_O_00126986</v>
          </cell>
          <cell r="J15">
            <v>1500000</v>
          </cell>
          <cell r="K15">
            <v>26550.58</v>
          </cell>
          <cell r="L15">
            <v>0</v>
          </cell>
          <cell r="M15" t="str">
            <v>Not Due</v>
          </cell>
          <cell r="N15">
            <v>46202</v>
          </cell>
          <cell r="O15" t="str">
            <v>PASTA</v>
          </cell>
          <cell r="P15">
            <v>0</v>
          </cell>
        </row>
        <row r="16">
          <cell r="B16" t="str">
            <v>Delta A</v>
          </cell>
          <cell r="C16" t="str">
            <v>Dakahlia Aga – Al Yasmine</v>
          </cell>
          <cell r="D16" t="str">
            <v>Tawakkol Mustafa Enab</v>
          </cell>
          <cell r="E16" t="str">
            <v>D24_G01108</v>
          </cell>
          <cell r="F16" t="str">
            <v>شركة مسلم للتجارة</v>
          </cell>
          <cell r="G16" t="str">
            <v>W/s Consumer &amp; Industrial</v>
          </cell>
          <cell r="H16">
            <v>46193.517413391201</v>
          </cell>
          <cell r="I16" t="str">
            <v>D24_O_00127040</v>
          </cell>
          <cell r="J16">
            <v>1500000</v>
          </cell>
          <cell r="K16">
            <v>52832</v>
          </cell>
          <cell r="L16">
            <v>0</v>
          </cell>
          <cell r="M16" t="str">
            <v>Not Due</v>
          </cell>
          <cell r="N16">
            <v>46204</v>
          </cell>
          <cell r="O16" t="str">
            <v>PASTA</v>
          </cell>
          <cell r="P16">
            <v>-2</v>
          </cell>
        </row>
        <row r="17">
          <cell r="B17" t="str">
            <v>Delta A</v>
          </cell>
          <cell r="C17" t="str">
            <v>Dakahlia Aga – Al Yasmine</v>
          </cell>
          <cell r="D17" t="str">
            <v>Tawakkol Mustafa Enab</v>
          </cell>
          <cell r="E17" t="str">
            <v>D24_G01108</v>
          </cell>
          <cell r="F17" t="str">
            <v>شركة مسلم للتجارة</v>
          </cell>
          <cell r="G17" t="str">
            <v>W/s Consumer &amp; Industrial</v>
          </cell>
          <cell r="H17">
            <v>46194.475553969904</v>
          </cell>
          <cell r="I17" t="str">
            <v>D24_O_00127115</v>
          </cell>
          <cell r="J17">
            <v>1500000</v>
          </cell>
          <cell r="K17">
            <v>52832</v>
          </cell>
          <cell r="L17">
            <v>0</v>
          </cell>
          <cell r="M17" t="str">
            <v>Not Due</v>
          </cell>
          <cell r="N17">
            <v>46205</v>
          </cell>
          <cell r="O17" t="str">
            <v>PASTA</v>
          </cell>
          <cell r="P17">
            <v>-3</v>
          </cell>
        </row>
        <row r="18">
          <cell r="B18" t="str">
            <v>Delta A</v>
          </cell>
          <cell r="C18" t="str">
            <v>Dakahlia Aga – Al Yasmine</v>
          </cell>
          <cell r="D18" t="str">
            <v>Tawakkol Mustafa Enab</v>
          </cell>
          <cell r="E18" t="str">
            <v>D24_G01108</v>
          </cell>
          <cell r="F18" t="str">
            <v>شركة مسلم للتجارة</v>
          </cell>
          <cell r="G18" t="str">
            <v>W/s Consumer &amp; Industrial</v>
          </cell>
          <cell r="H18">
            <v>46195.474172569498</v>
          </cell>
          <cell r="I18" t="str">
            <v>D24_O_00127202</v>
          </cell>
          <cell r="J18">
            <v>1500000</v>
          </cell>
          <cell r="K18">
            <v>92456</v>
          </cell>
          <cell r="L18">
            <v>0</v>
          </cell>
          <cell r="M18" t="str">
            <v>Not Due</v>
          </cell>
          <cell r="N18">
            <v>46206</v>
          </cell>
          <cell r="O18" t="str">
            <v>PASTA</v>
          </cell>
          <cell r="P18">
            <v>-4</v>
          </cell>
        </row>
        <row r="19">
          <cell r="B19" t="str">
            <v>Delta A</v>
          </cell>
          <cell r="C19" t="str">
            <v>Dakahlia Aga – Al Yasmine</v>
          </cell>
          <cell r="D19" t="str">
            <v>Tawakkol Mustafa Enab</v>
          </cell>
          <cell r="E19" t="str">
            <v>D24_G01108</v>
          </cell>
          <cell r="F19" t="str">
            <v>شركة مسلم للتجارة</v>
          </cell>
          <cell r="G19" t="str">
            <v>W/s Consumer &amp; Industrial</v>
          </cell>
          <cell r="H19">
            <v>46196.437388194499</v>
          </cell>
          <cell r="I19" t="str">
            <v>D24_O_00127284</v>
          </cell>
          <cell r="J19">
            <v>1500000</v>
          </cell>
          <cell r="K19">
            <v>92456</v>
          </cell>
          <cell r="L19">
            <v>0</v>
          </cell>
          <cell r="M19" t="str">
            <v>Not Due</v>
          </cell>
          <cell r="N19">
            <v>46207</v>
          </cell>
          <cell r="O19" t="str">
            <v>PASTA</v>
          </cell>
          <cell r="P19">
            <v>-5</v>
          </cell>
        </row>
        <row r="20">
          <cell r="B20" t="str">
            <v>Delta A</v>
          </cell>
          <cell r="C20" t="str">
            <v>Dakahlia Aga – Al Yasmine</v>
          </cell>
          <cell r="D20" t="str">
            <v>Tawakkol Mustafa Enab</v>
          </cell>
          <cell r="E20" t="str">
            <v>D24_G01108</v>
          </cell>
          <cell r="F20" t="str">
            <v>شركة مسلم للتجارة</v>
          </cell>
          <cell r="G20" t="str">
            <v>W/s Consumer &amp; Industrial</v>
          </cell>
          <cell r="H20">
            <v>46201.428869294003</v>
          </cell>
          <cell r="I20" t="str">
            <v>D24_O_00127584</v>
          </cell>
          <cell r="J20">
            <v>1500000</v>
          </cell>
          <cell r="K20">
            <v>79382.58</v>
          </cell>
          <cell r="L20">
            <v>0</v>
          </cell>
          <cell r="M20" t="str">
            <v>Not Due</v>
          </cell>
          <cell r="N20">
            <v>46212</v>
          </cell>
          <cell r="O20" t="str">
            <v>PASTA</v>
          </cell>
          <cell r="P20">
            <v>-10</v>
          </cell>
        </row>
        <row r="21">
          <cell r="B21" t="str">
            <v>Delta A</v>
          </cell>
          <cell r="C21" t="str">
            <v>Dakahlia Aga – Al Yasmine</v>
          </cell>
          <cell r="D21" t="str">
            <v>Tawakkol Mustafa Enab</v>
          </cell>
          <cell r="E21" t="str">
            <v>D24_G01116</v>
          </cell>
          <cell r="F21" t="str">
            <v>محمود ضيف الله</v>
          </cell>
          <cell r="G21" t="str">
            <v>W/s Consumer &amp; Industrial</v>
          </cell>
          <cell r="H21">
            <v>46183.4940158912</v>
          </cell>
          <cell r="I21" t="str">
            <v>D24_O_00126538</v>
          </cell>
          <cell r="J21">
            <v>200000</v>
          </cell>
          <cell r="K21">
            <v>98496</v>
          </cell>
          <cell r="L21">
            <v>98496</v>
          </cell>
          <cell r="M21" t="str">
            <v>1 : 10 Days</v>
          </cell>
          <cell r="N21">
            <v>46194</v>
          </cell>
          <cell r="O21" t="str">
            <v>PASTA</v>
          </cell>
          <cell r="P21">
            <v>8</v>
          </cell>
        </row>
        <row r="22">
          <cell r="B22" t="str">
            <v>Delta A</v>
          </cell>
          <cell r="C22" t="str">
            <v>Dakahlia Aga – Al Yasmine</v>
          </cell>
          <cell r="D22" t="str">
            <v>Tawakkol Mustafa Enab</v>
          </cell>
          <cell r="E22" t="str">
            <v>D24_G01633</v>
          </cell>
          <cell r="F22" t="str">
            <v xml:space="preserve">البنا </v>
          </cell>
          <cell r="G22" t="str">
            <v>W/s Consumer &amp; Industrial</v>
          </cell>
          <cell r="H22">
            <v>46194.424403854202</v>
          </cell>
          <cell r="I22" t="str">
            <v>D24_O_00127111</v>
          </cell>
          <cell r="J22">
            <v>200000</v>
          </cell>
          <cell r="K22">
            <v>67932</v>
          </cell>
          <cell r="L22">
            <v>0</v>
          </cell>
          <cell r="M22" t="str">
            <v>Not Due</v>
          </cell>
          <cell r="N22">
            <v>46205</v>
          </cell>
          <cell r="O22" t="str">
            <v>PASTA</v>
          </cell>
          <cell r="P22">
            <v>-3</v>
          </cell>
        </row>
        <row r="23">
          <cell r="B23" t="str">
            <v>Delta A</v>
          </cell>
          <cell r="C23" t="str">
            <v>Dakahlia Aga – Al Yasmine</v>
          </cell>
          <cell r="D23" t="str">
            <v>Tawakkol Mustafa Enab</v>
          </cell>
          <cell r="E23" t="str">
            <v>D24_G01633</v>
          </cell>
          <cell r="F23" t="str">
            <v xml:space="preserve">البنا </v>
          </cell>
          <cell r="G23" t="str">
            <v>W/s Consumer &amp; Industrial</v>
          </cell>
          <cell r="H23">
            <v>46197.463182951396</v>
          </cell>
          <cell r="I23" t="str">
            <v>D24_O_00127362</v>
          </cell>
          <cell r="J23">
            <v>200000</v>
          </cell>
          <cell r="K23">
            <v>24000</v>
          </cell>
          <cell r="L23">
            <v>0</v>
          </cell>
          <cell r="M23" t="str">
            <v>Not Due</v>
          </cell>
          <cell r="N23">
            <v>46208</v>
          </cell>
          <cell r="O23" t="str">
            <v>SFIE</v>
          </cell>
          <cell r="P23">
            <v>-6</v>
          </cell>
        </row>
        <row r="24">
          <cell r="B24" t="str">
            <v>Delta A</v>
          </cell>
          <cell r="C24" t="str">
            <v>Dakahlia Aga – Al Yasmine</v>
          </cell>
          <cell r="D24" t="str">
            <v>Tawakkol Mustafa Enab</v>
          </cell>
          <cell r="E24" t="str">
            <v>D24_G01655</v>
          </cell>
          <cell r="F24" t="str">
            <v xml:space="preserve">محمد عبد السميع </v>
          </cell>
          <cell r="G24" t="str">
            <v>W/s Consumer &amp; Industrial</v>
          </cell>
          <cell r="H24">
            <v>46196.432379548598</v>
          </cell>
          <cell r="I24" t="str">
            <v>D24_O_00127282</v>
          </cell>
          <cell r="J24">
            <v>300000</v>
          </cell>
          <cell r="K24">
            <v>132214.57999999999</v>
          </cell>
          <cell r="L24">
            <v>0</v>
          </cell>
          <cell r="M24" t="str">
            <v>Not Due</v>
          </cell>
          <cell r="N24">
            <v>46207</v>
          </cell>
          <cell r="O24" t="str">
            <v>PASTA</v>
          </cell>
          <cell r="P24">
            <v>-5</v>
          </cell>
        </row>
        <row r="25">
          <cell r="B25" t="str">
            <v>Delta A</v>
          </cell>
          <cell r="C25" t="str">
            <v>Dakahlia Aga – Al Yasmine</v>
          </cell>
          <cell r="D25" t="str">
            <v>Tawakkol Mustafa Enab</v>
          </cell>
          <cell r="E25" t="str">
            <v>D24_G01655</v>
          </cell>
          <cell r="F25" t="str">
            <v xml:space="preserve">محمد عبد السميع </v>
          </cell>
          <cell r="G25" t="str">
            <v>W/s Consumer &amp; Industrial</v>
          </cell>
          <cell r="H25">
            <v>46196.4364714931</v>
          </cell>
          <cell r="I25" t="str">
            <v>D24_O_00127283</v>
          </cell>
          <cell r="J25">
            <v>300000</v>
          </cell>
          <cell r="K25">
            <v>60000</v>
          </cell>
          <cell r="L25">
            <v>0</v>
          </cell>
          <cell r="M25" t="str">
            <v>Not Due</v>
          </cell>
          <cell r="N25">
            <v>46207</v>
          </cell>
          <cell r="O25" t="str">
            <v>SFIE</v>
          </cell>
          <cell r="P25">
            <v>-5</v>
          </cell>
        </row>
        <row r="26">
          <cell r="B26" t="str">
            <v>Delta A</v>
          </cell>
          <cell r="C26" t="str">
            <v>Dakahlia Aga – Al Yasmine</v>
          </cell>
          <cell r="D26" t="str">
            <v>Tawakkol Mustafa Enab</v>
          </cell>
          <cell r="E26" t="str">
            <v>D24_G01660</v>
          </cell>
          <cell r="F26" t="str">
            <v xml:space="preserve">محمد عيطة </v>
          </cell>
          <cell r="G26" t="str">
            <v>W/s Consumer &amp; Industrial</v>
          </cell>
          <cell r="H26">
            <v>46179.446192557902</v>
          </cell>
          <cell r="I26" t="str">
            <v>D24_O_00126205</v>
          </cell>
          <cell r="J26">
            <v>200000</v>
          </cell>
          <cell r="K26">
            <v>52832</v>
          </cell>
          <cell r="L26">
            <v>52832</v>
          </cell>
          <cell r="M26" t="str">
            <v>11 : 20 Days</v>
          </cell>
          <cell r="N26">
            <v>46190</v>
          </cell>
          <cell r="O26" t="str">
            <v>PASTA</v>
          </cell>
          <cell r="P26">
            <v>12</v>
          </cell>
        </row>
        <row r="27">
          <cell r="B27" t="str">
            <v>Delta A</v>
          </cell>
          <cell r="C27" t="str">
            <v>Dakahlia Aga – Al Yasmine</v>
          </cell>
          <cell r="D27" t="str">
            <v>Tawakkol Mustafa Enab</v>
          </cell>
          <cell r="E27" t="str">
            <v>D24_G01674</v>
          </cell>
          <cell r="F27" t="str">
            <v xml:space="preserve">ورثة محمد المرسى </v>
          </cell>
          <cell r="G27" t="str">
            <v>W/s Consumer &amp; Industrial</v>
          </cell>
          <cell r="H27">
            <v>46194.528437118097</v>
          </cell>
          <cell r="I27" t="str">
            <v>D24_O_00127121</v>
          </cell>
          <cell r="J27">
            <v>200000</v>
          </cell>
          <cell r="K27">
            <v>26550.57</v>
          </cell>
          <cell r="L27">
            <v>0</v>
          </cell>
          <cell r="M27" t="str">
            <v>Not Due</v>
          </cell>
          <cell r="N27">
            <v>46205</v>
          </cell>
          <cell r="O27" t="str">
            <v>PASTA</v>
          </cell>
          <cell r="P27">
            <v>-3</v>
          </cell>
        </row>
        <row r="28">
          <cell r="B28" t="str">
            <v>Delta A</v>
          </cell>
          <cell r="C28" t="str">
            <v>Dakahlia Aga – Al Yasmine</v>
          </cell>
          <cell r="D28" t="str">
            <v>مندوب جملة احتياطي عافية</v>
          </cell>
          <cell r="E28" t="str">
            <v>D24_R01092</v>
          </cell>
          <cell r="F28" t="str">
            <v>عبد القادر جودة</v>
          </cell>
          <cell r="G28" t="str">
            <v>W/s Consumer &amp; Industrial</v>
          </cell>
          <cell r="H28">
            <v>46180.434050463002</v>
          </cell>
          <cell r="I28" t="str">
            <v>D24_O_00126283</v>
          </cell>
          <cell r="J28">
            <v>300000</v>
          </cell>
          <cell r="K28">
            <v>169917.99</v>
          </cell>
          <cell r="L28">
            <v>169917.99</v>
          </cell>
          <cell r="M28" t="str">
            <v>11 : 20 Days</v>
          </cell>
          <cell r="N28">
            <v>46191</v>
          </cell>
          <cell r="O28" t="str">
            <v>AFIA</v>
          </cell>
          <cell r="P28">
            <v>11</v>
          </cell>
        </row>
        <row r="29">
          <cell r="B29" t="str">
            <v>Delta A</v>
          </cell>
          <cell r="C29" t="str">
            <v>Dakahlia Aga – Al Yasmine</v>
          </cell>
          <cell r="D29" t="str">
            <v>مندوب جملة احتياطي عافية</v>
          </cell>
          <cell r="E29" t="str">
            <v>D24_R01095</v>
          </cell>
          <cell r="F29" t="str">
            <v>سامى حلمى</v>
          </cell>
          <cell r="G29" t="str">
            <v>W/s Consumer &amp; Industrial</v>
          </cell>
          <cell r="H29">
            <v>46184.435458993103</v>
          </cell>
          <cell r="I29" t="str">
            <v>D24_O_00126599</v>
          </cell>
          <cell r="J29">
            <v>250000</v>
          </cell>
          <cell r="K29">
            <v>137006.82</v>
          </cell>
          <cell r="L29">
            <v>137006.82</v>
          </cell>
          <cell r="M29" t="str">
            <v>1 : 10 Days</v>
          </cell>
          <cell r="N29">
            <v>46195</v>
          </cell>
          <cell r="O29" t="str">
            <v>AFIA</v>
          </cell>
          <cell r="P29">
            <v>7</v>
          </cell>
        </row>
        <row r="30">
          <cell r="B30" t="str">
            <v>Delta A</v>
          </cell>
          <cell r="C30" t="str">
            <v>Dakahlia Aga – Al Yasmine</v>
          </cell>
          <cell r="D30" t="str">
            <v>مندوب جملة احتياطي عافية</v>
          </cell>
          <cell r="E30" t="str">
            <v>D24_R01106</v>
          </cell>
          <cell r="F30" t="str">
            <v>أحمد عبد السميع</v>
          </cell>
          <cell r="G30" t="str">
            <v>W/s Consumer &amp; Industrial</v>
          </cell>
          <cell r="H30">
            <v>46180.531061886599</v>
          </cell>
          <cell r="I30" t="str">
            <v>D24_O_00126286</v>
          </cell>
          <cell r="J30">
            <v>500000</v>
          </cell>
          <cell r="K30">
            <v>159048.14000000001</v>
          </cell>
          <cell r="L30">
            <v>159048.14000000001</v>
          </cell>
          <cell r="M30" t="str">
            <v>11 : 20 Days</v>
          </cell>
          <cell r="N30">
            <v>46191</v>
          </cell>
          <cell r="O30" t="str">
            <v>AFIA</v>
          </cell>
          <cell r="P30">
            <v>11</v>
          </cell>
        </row>
        <row r="31">
          <cell r="B31" t="str">
            <v>Delta A</v>
          </cell>
          <cell r="C31" t="str">
            <v>Dakahlia Aga – Al Yasmine</v>
          </cell>
          <cell r="D31" t="str">
            <v>مندوب جملة احتياطي عافية</v>
          </cell>
          <cell r="E31" t="str">
            <v>D24_R01107</v>
          </cell>
          <cell r="F31" t="str">
            <v>المتحدة للتجارة والتوكيلات</v>
          </cell>
          <cell r="G31" t="str">
            <v>W/s Consumer &amp; Industrial</v>
          </cell>
          <cell r="H31">
            <v>46160.711743020802</v>
          </cell>
          <cell r="I31" t="str">
            <v>D24_O_00125287</v>
          </cell>
          <cell r="J31">
            <v>5000000</v>
          </cell>
          <cell r="K31">
            <v>2172584</v>
          </cell>
          <cell r="L31">
            <v>2172584</v>
          </cell>
          <cell r="M31" t="str">
            <v>31 : 60 Days</v>
          </cell>
          <cell r="N31">
            <v>46171</v>
          </cell>
          <cell r="O31" t="str">
            <v>AFIA</v>
          </cell>
          <cell r="P31">
            <v>31</v>
          </cell>
        </row>
        <row r="32">
          <cell r="B32" t="str">
            <v>Delta A</v>
          </cell>
          <cell r="C32" t="str">
            <v>Dakahlia Aga – Al Yasmine</v>
          </cell>
          <cell r="D32" t="str">
            <v>مندوب جملة احتياطي عافية</v>
          </cell>
          <cell r="E32" t="str">
            <v>D24_R01107</v>
          </cell>
          <cell r="F32" t="str">
            <v>المتحدة للتجارة والتوكيلات</v>
          </cell>
          <cell r="G32" t="str">
            <v>W/s Consumer &amp; Industrial</v>
          </cell>
          <cell r="H32">
            <v>46163.570505752301</v>
          </cell>
          <cell r="I32" t="str">
            <v>D24_O_00125473</v>
          </cell>
          <cell r="J32">
            <v>5000000</v>
          </cell>
          <cell r="K32">
            <v>824000</v>
          </cell>
          <cell r="L32">
            <v>824000</v>
          </cell>
          <cell r="M32" t="str">
            <v>21 : 30 Days</v>
          </cell>
          <cell r="N32">
            <v>46174</v>
          </cell>
          <cell r="O32" t="str">
            <v>AFIA</v>
          </cell>
          <cell r="P32">
            <v>28</v>
          </cell>
        </row>
        <row r="33">
          <cell r="B33" t="str">
            <v>Delta A</v>
          </cell>
          <cell r="C33" t="str">
            <v>Dakahlia Aga – Al Yasmine</v>
          </cell>
          <cell r="D33" t="str">
            <v>مندوب جملة احتياطي عافية</v>
          </cell>
          <cell r="E33" t="str">
            <v>D24_R01107</v>
          </cell>
          <cell r="F33" t="str">
            <v>المتحدة للتجارة والتوكيلات</v>
          </cell>
          <cell r="G33" t="str">
            <v>W/s Consumer &amp; Industrial</v>
          </cell>
          <cell r="H33">
            <v>46177.549567326401</v>
          </cell>
          <cell r="I33" t="str">
            <v>D24_O_00126096</v>
          </cell>
          <cell r="J33">
            <v>5000000</v>
          </cell>
          <cell r="K33">
            <v>1065600</v>
          </cell>
          <cell r="L33">
            <v>1065600</v>
          </cell>
          <cell r="M33" t="str">
            <v>11 : 20 Days</v>
          </cell>
          <cell r="N33">
            <v>46188</v>
          </cell>
          <cell r="O33" t="str">
            <v>AFIA</v>
          </cell>
          <cell r="P33">
            <v>14</v>
          </cell>
        </row>
        <row r="34">
          <cell r="B34" t="str">
            <v>Delta A</v>
          </cell>
          <cell r="C34" t="str">
            <v>Dakahlia Aga – Al Yasmine</v>
          </cell>
          <cell r="D34" t="str">
            <v>مندوب جملة احتياطي عافية</v>
          </cell>
          <cell r="E34" t="str">
            <v>D24_R01107</v>
          </cell>
          <cell r="F34" t="str">
            <v>المتحدة للتجارة والتوكيلات</v>
          </cell>
          <cell r="G34" t="str">
            <v>W/s Consumer &amp; Industrial</v>
          </cell>
          <cell r="H34">
            <v>46187.523970219903</v>
          </cell>
          <cell r="I34" t="str">
            <v>D24_O_00126695</v>
          </cell>
          <cell r="J34">
            <v>5000000</v>
          </cell>
          <cell r="K34">
            <v>828800</v>
          </cell>
          <cell r="L34">
            <v>828800</v>
          </cell>
          <cell r="M34" t="str">
            <v>1 : 10 Days</v>
          </cell>
          <cell r="N34">
            <v>46198</v>
          </cell>
          <cell r="O34" t="str">
            <v>AFIA</v>
          </cell>
          <cell r="P34">
            <v>4</v>
          </cell>
        </row>
        <row r="35">
          <cell r="B35" t="str">
            <v>Delta A</v>
          </cell>
          <cell r="C35" t="str">
            <v>Dakahlia Aga – Al Yasmine</v>
          </cell>
          <cell r="D35" t="str">
            <v>مندوب جملة احتياطي عافية</v>
          </cell>
          <cell r="E35" t="str">
            <v>D24_R01633</v>
          </cell>
          <cell r="F35" t="str">
            <v xml:space="preserve">البنا </v>
          </cell>
          <cell r="G35" t="str">
            <v>W/s Consumer &amp; Industrial</v>
          </cell>
          <cell r="H35">
            <v>46181.582124965302</v>
          </cell>
          <cell r="I35" t="str">
            <v>D24_O_00126383</v>
          </cell>
          <cell r="J35">
            <v>250000</v>
          </cell>
          <cell r="K35">
            <v>149999.45000000001</v>
          </cell>
          <cell r="L35">
            <v>149999.45000000001</v>
          </cell>
          <cell r="M35" t="str">
            <v>1 : 10 Days</v>
          </cell>
          <cell r="N35">
            <v>46192</v>
          </cell>
          <cell r="O35" t="str">
            <v>AFIA</v>
          </cell>
          <cell r="P35">
            <v>10</v>
          </cell>
        </row>
        <row r="36">
          <cell r="B36" t="str">
            <v>Delta A</v>
          </cell>
          <cell r="C36" t="str">
            <v>Dakahlia Aga – Al Yasmine</v>
          </cell>
          <cell r="D36" t="str">
            <v>مندوب جملة احتياطي عافية</v>
          </cell>
          <cell r="E36" t="str">
            <v>D24_R01633</v>
          </cell>
          <cell r="F36" t="str">
            <v xml:space="preserve">البنا </v>
          </cell>
          <cell r="G36" t="str">
            <v>W/s Consumer &amp; Industrial</v>
          </cell>
          <cell r="H36">
            <v>46197.477991817097</v>
          </cell>
          <cell r="I36" t="str">
            <v>D24_O_00127365</v>
          </cell>
          <cell r="J36">
            <v>250000</v>
          </cell>
          <cell r="K36">
            <v>90657.35</v>
          </cell>
          <cell r="L36">
            <v>0</v>
          </cell>
          <cell r="M36" t="str">
            <v>Not Due</v>
          </cell>
          <cell r="N36">
            <v>46208</v>
          </cell>
          <cell r="O36" t="str">
            <v>AFIA</v>
          </cell>
          <cell r="P36">
            <v>-6</v>
          </cell>
        </row>
        <row r="37">
          <cell r="B37" t="str">
            <v>Delta A</v>
          </cell>
          <cell r="C37" t="str">
            <v>Dakahlia Aga – Al Yasmine</v>
          </cell>
          <cell r="D37" t="str">
            <v>مندوب جملة احتياطي عافية</v>
          </cell>
          <cell r="E37" t="str">
            <v>D24_R01655</v>
          </cell>
          <cell r="F37" t="str">
            <v xml:space="preserve">محمد عبد السميع </v>
          </cell>
          <cell r="G37" t="str">
            <v>W/s Consumer &amp; Industrial</v>
          </cell>
          <cell r="H37">
            <v>46190.514693715297</v>
          </cell>
          <cell r="I37" t="str">
            <v>D24_O_00126903</v>
          </cell>
          <cell r="J37">
            <v>500000</v>
          </cell>
          <cell r="K37">
            <v>248014.28</v>
          </cell>
          <cell r="L37">
            <v>248014.28</v>
          </cell>
          <cell r="M37" t="str">
            <v>1 : 10 Days</v>
          </cell>
          <cell r="N37">
            <v>46201</v>
          </cell>
          <cell r="O37" t="str">
            <v>AFIA</v>
          </cell>
          <cell r="P37">
            <v>1</v>
          </cell>
        </row>
        <row r="38">
          <cell r="B38" t="str">
            <v>Delta A</v>
          </cell>
          <cell r="C38" t="str">
            <v>Dakahlia Aga – Al Yasmine</v>
          </cell>
          <cell r="D38" t="str">
            <v>مندوب جملة احتياطي عافية</v>
          </cell>
          <cell r="E38" t="str">
            <v>D24_R01655</v>
          </cell>
          <cell r="F38" t="str">
            <v xml:space="preserve">محمد عبد السميع </v>
          </cell>
          <cell r="G38" t="str">
            <v>W/s Consumer &amp; Industrial</v>
          </cell>
          <cell r="H38">
            <v>46201.588458368104</v>
          </cell>
          <cell r="I38" t="str">
            <v>D24_O_00127610</v>
          </cell>
          <cell r="J38">
            <v>500000</v>
          </cell>
          <cell r="K38">
            <v>250926.98</v>
          </cell>
          <cell r="L38">
            <v>0</v>
          </cell>
          <cell r="M38" t="str">
            <v>Not Due</v>
          </cell>
          <cell r="N38">
            <v>46212</v>
          </cell>
          <cell r="O38" t="str">
            <v>AFIA</v>
          </cell>
          <cell r="P38">
            <v>-10</v>
          </cell>
        </row>
        <row r="39">
          <cell r="B39" t="str">
            <v>Delta A</v>
          </cell>
          <cell r="C39" t="str">
            <v>Dakahlia Aga – Al Yasmine</v>
          </cell>
          <cell r="D39" t="str">
            <v>مندوب جملة احتياطي عافية</v>
          </cell>
          <cell r="E39" t="str">
            <v>D24_R01660</v>
          </cell>
          <cell r="F39" t="str">
            <v xml:space="preserve">محمد عيطة </v>
          </cell>
          <cell r="G39" t="str">
            <v>W/s Consumer &amp; Industrial</v>
          </cell>
          <cell r="H39">
            <v>46179.447442511599</v>
          </cell>
          <cell r="I39" t="str">
            <v>D24_O_00126204</v>
          </cell>
          <cell r="J39">
            <v>250000</v>
          </cell>
          <cell r="K39">
            <v>64972.97</v>
          </cell>
          <cell r="L39">
            <v>64972.97</v>
          </cell>
          <cell r="M39" t="str">
            <v>11 : 20 Days</v>
          </cell>
          <cell r="N39">
            <v>46190</v>
          </cell>
          <cell r="O39" t="str">
            <v>AFIA</v>
          </cell>
          <cell r="P39">
            <v>12</v>
          </cell>
        </row>
        <row r="40">
          <cell r="B40" t="str">
            <v>Delta A</v>
          </cell>
          <cell r="C40" t="str">
            <v>Dakahlia Aga – Al Yasmine</v>
          </cell>
          <cell r="D40" t="str">
            <v>مندوب جملة احتياطي عافية</v>
          </cell>
          <cell r="E40" t="str">
            <v>D24_R01663</v>
          </cell>
          <cell r="F40" t="str">
            <v>الشركة المصرية للتجارة</v>
          </cell>
          <cell r="G40" t="str">
            <v>W/s Consumer &amp; Industrial</v>
          </cell>
          <cell r="H40">
            <v>46200.630117280103</v>
          </cell>
          <cell r="I40" t="str">
            <v>D24_O_00127548</v>
          </cell>
          <cell r="J40">
            <v>250000</v>
          </cell>
          <cell r="K40">
            <v>54281.52</v>
          </cell>
          <cell r="L40">
            <v>0</v>
          </cell>
          <cell r="M40" t="str">
            <v>Not Due</v>
          </cell>
          <cell r="N40">
            <v>46211</v>
          </cell>
          <cell r="O40" t="str">
            <v>AFIA</v>
          </cell>
          <cell r="P40">
            <v>-9</v>
          </cell>
        </row>
        <row r="41">
          <cell r="B41" t="str">
            <v>Delta A</v>
          </cell>
          <cell r="C41" t="str">
            <v>Dakahlia Aga – Al Yasmine</v>
          </cell>
          <cell r="D41" t="str">
            <v>مندوب جملة احتياطي عافية</v>
          </cell>
          <cell r="E41" t="str">
            <v>D24_R01668</v>
          </cell>
          <cell r="F41" t="str">
            <v xml:space="preserve">أحمد صلاح مسلم </v>
          </cell>
          <cell r="G41" t="str">
            <v>W/s Consumer &amp; Industrial</v>
          </cell>
          <cell r="H41">
            <v>46177.722797766197</v>
          </cell>
          <cell r="I41" t="str">
            <v>D24_O_00126197</v>
          </cell>
          <cell r="J41">
            <v>200000</v>
          </cell>
          <cell r="K41">
            <v>30275.56</v>
          </cell>
          <cell r="L41">
            <v>30275.56</v>
          </cell>
          <cell r="M41" t="str">
            <v>11 : 20 Days</v>
          </cell>
          <cell r="N41">
            <v>46188</v>
          </cell>
          <cell r="O41" t="str">
            <v>AFIA</v>
          </cell>
          <cell r="P41">
            <v>14</v>
          </cell>
        </row>
        <row r="42">
          <cell r="B42" t="str">
            <v>Delta A</v>
          </cell>
          <cell r="C42" t="str">
            <v>Dakahlia Aga – Al Yasmine</v>
          </cell>
          <cell r="D42" t="str">
            <v>مندوب جملة احتياطي عافية</v>
          </cell>
          <cell r="E42" t="str">
            <v>D24_R01668</v>
          </cell>
          <cell r="F42" t="str">
            <v xml:space="preserve">أحمد صلاح مسلم </v>
          </cell>
          <cell r="G42" t="str">
            <v>W/s Consumer &amp; Industrial</v>
          </cell>
          <cell r="H42">
            <v>46191.5113712616</v>
          </cell>
          <cell r="I42" t="str">
            <v>D24_O_00126982</v>
          </cell>
          <cell r="J42">
            <v>200000</v>
          </cell>
          <cell r="K42">
            <v>122435.49</v>
          </cell>
          <cell r="L42">
            <v>0</v>
          </cell>
          <cell r="M42" t="str">
            <v>Not Due</v>
          </cell>
          <cell r="N42">
            <v>46202</v>
          </cell>
          <cell r="O42" t="str">
            <v>AFIA</v>
          </cell>
          <cell r="P42">
            <v>0</v>
          </cell>
        </row>
        <row r="43">
          <cell r="B43" t="str">
            <v>Delta A</v>
          </cell>
          <cell r="C43" t="str">
            <v>Dakahlia Aga – Al Yasmine</v>
          </cell>
          <cell r="D43" t="str">
            <v>مندوب جملة احتياطي عافية</v>
          </cell>
          <cell r="E43" t="str">
            <v>D24_R01668</v>
          </cell>
          <cell r="F43" t="str">
            <v xml:space="preserve">أحمد صلاح مسلم </v>
          </cell>
          <cell r="G43" t="str">
            <v>W/s Consumer &amp; Industrial</v>
          </cell>
          <cell r="H43">
            <v>46195.465888275503</v>
          </cell>
          <cell r="I43" t="str">
            <v>D24_O_00127201</v>
          </cell>
          <cell r="J43">
            <v>200000</v>
          </cell>
          <cell r="K43">
            <v>46400</v>
          </cell>
          <cell r="L43">
            <v>0</v>
          </cell>
          <cell r="M43" t="str">
            <v>Not Due</v>
          </cell>
          <cell r="N43">
            <v>46206</v>
          </cell>
          <cell r="O43" t="str">
            <v>AFIA</v>
          </cell>
          <cell r="P43">
            <v>-4</v>
          </cell>
        </row>
        <row r="44">
          <cell r="B44" t="str">
            <v>Delta A</v>
          </cell>
          <cell r="C44" t="str">
            <v>Dakahlia Aga – Al Yasmine</v>
          </cell>
          <cell r="D44" t="str">
            <v>مندوب جملة احتياطي عافية</v>
          </cell>
          <cell r="E44" t="str">
            <v>D24_R01674</v>
          </cell>
          <cell r="F44" t="str">
            <v xml:space="preserve">ورثة محمد المرسى </v>
          </cell>
          <cell r="G44" t="str">
            <v>W/s Consumer &amp; Industrial</v>
          </cell>
          <cell r="H44">
            <v>46181</v>
          </cell>
          <cell r="I44" t="str">
            <v>D24_O_00126282</v>
          </cell>
          <cell r="J44">
            <v>250000</v>
          </cell>
          <cell r="K44">
            <v>63170.69</v>
          </cell>
          <cell r="L44">
            <v>63170.69</v>
          </cell>
          <cell r="M44" t="str">
            <v>1 : 10 Days</v>
          </cell>
          <cell r="N44">
            <v>46192</v>
          </cell>
          <cell r="O44" t="str">
            <v>AFIA</v>
          </cell>
          <cell r="P44">
            <v>10</v>
          </cell>
        </row>
        <row r="45">
          <cell r="B45" t="str">
            <v>Delta A</v>
          </cell>
          <cell r="C45" t="str">
            <v>Dakahlia Aga – Al Yasmine</v>
          </cell>
          <cell r="D45" t="str">
            <v>مندوب جملة احتياطي عافية</v>
          </cell>
          <cell r="E45" t="str">
            <v>D24_R01674</v>
          </cell>
          <cell r="F45" t="str">
            <v xml:space="preserve">ورثة محمد المرسى </v>
          </cell>
          <cell r="G45" t="str">
            <v>W/s Consumer &amp; Industrial</v>
          </cell>
          <cell r="H45">
            <v>46194.527841400501</v>
          </cell>
          <cell r="I45" t="str">
            <v>D24_O_00127120</v>
          </cell>
          <cell r="J45">
            <v>250000</v>
          </cell>
          <cell r="K45">
            <v>25770</v>
          </cell>
          <cell r="L45">
            <v>0</v>
          </cell>
          <cell r="M45" t="str">
            <v>Not Due</v>
          </cell>
          <cell r="N45">
            <v>46205</v>
          </cell>
          <cell r="O45" t="str">
            <v>AFIA</v>
          </cell>
          <cell r="P45">
            <v>-3</v>
          </cell>
        </row>
        <row r="46">
          <cell r="B46" t="str">
            <v>Delta A</v>
          </cell>
          <cell r="C46" t="str">
            <v>Dakahlia Aga – Al Yasmine</v>
          </cell>
          <cell r="D46" t="str">
            <v>مندوب جملة احتياطي عافية</v>
          </cell>
          <cell r="E46" t="str">
            <v>D24_R01748</v>
          </cell>
          <cell r="F46" t="str">
            <v xml:space="preserve">صرح للاستيراد والتصدير </v>
          </cell>
          <cell r="G46" t="str">
            <v>W/s Consumer &amp; Industrial</v>
          </cell>
          <cell r="H46">
            <v>46179.4076325231</v>
          </cell>
          <cell r="I46" t="str">
            <v>D24_O_00126203</v>
          </cell>
          <cell r="J46">
            <v>250000</v>
          </cell>
          <cell r="K46">
            <v>151630.31</v>
          </cell>
          <cell r="L46">
            <v>151630.31</v>
          </cell>
          <cell r="M46" t="str">
            <v>11 : 20 Days</v>
          </cell>
          <cell r="N46">
            <v>46190</v>
          </cell>
          <cell r="O46" t="str">
            <v>AFIA</v>
          </cell>
          <cell r="P46">
            <v>12</v>
          </cell>
        </row>
        <row r="47">
          <cell r="B47" t="str">
            <v>Delta A</v>
          </cell>
          <cell r="C47" t="str">
            <v>Dakahlia Aga – Al Yasmine</v>
          </cell>
          <cell r="D47" t="str">
            <v>مندوب جملة احتياطي عافية</v>
          </cell>
          <cell r="E47" t="str">
            <v>D24_R01748</v>
          </cell>
          <cell r="F47" t="str">
            <v xml:space="preserve">صرح للاستيراد والتصدير </v>
          </cell>
          <cell r="G47" t="str">
            <v>W/s Consumer &amp; Industrial</v>
          </cell>
          <cell r="H47">
            <v>46198.511711377301</v>
          </cell>
          <cell r="I47" t="str">
            <v>D24_O_00127422</v>
          </cell>
          <cell r="J47">
            <v>250000</v>
          </cell>
          <cell r="K47">
            <v>83078.289999999994</v>
          </cell>
          <cell r="L47">
            <v>0</v>
          </cell>
          <cell r="M47" t="str">
            <v>Not Due</v>
          </cell>
          <cell r="N47">
            <v>46209</v>
          </cell>
          <cell r="O47" t="str">
            <v>AFIA</v>
          </cell>
          <cell r="P47">
            <v>-7</v>
          </cell>
        </row>
        <row r="48">
          <cell r="B48" t="str">
            <v>Delta A</v>
          </cell>
          <cell r="C48" t="str">
            <v>Dakahlia Aga – Al Yasmine</v>
          </cell>
          <cell r="D48" t="str">
            <v>#MULTIVALUE</v>
          </cell>
          <cell r="E48" t="str">
            <v>D24_R01547</v>
          </cell>
          <cell r="F48" t="str">
            <v>العوضى غلوش</v>
          </cell>
          <cell r="G48" t="str">
            <v>W/s Consumer &amp; Industrial</v>
          </cell>
          <cell r="H48">
            <v>46088.700488078699</v>
          </cell>
          <cell r="I48" t="str">
            <v>D24_O_00120615</v>
          </cell>
          <cell r="J48">
            <v>3500000</v>
          </cell>
          <cell r="K48">
            <v>1097867.52</v>
          </cell>
          <cell r="L48">
            <v>1097867.52</v>
          </cell>
          <cell r="M48" t="str">
            <v>61 : 120 Days</v>
          </cell>
          <cell r="N48">
            <v>46099</v>
          </cell>
          <cell r="O48" t="str">
            <v>AFIA</v>
          </cell>
          <cell r="P48">
            <v>103</v>
          </cell>
        </row>
        <row r="49">
          <cell r="B49" t="str">
            <v>Delta A</v>
          </cell>
          <cell r="C49" t="str">
            <v>Dakahlia Aga – Al Yasmine</v>
          </cell>
          <cell r="D49" t="str">
            <v>#MULTIVALUE</v>
          </cell>
          <cell r="E49" t="str">
            <v>D24_R01547</v>
          </cell>
          <cell r="F49" t="str">
            <v>العوضى غلوش</v>
          </cell>
          <cell r="G49" t="str">
            <v>W/s Consumer &amp; Industrial</v>
          </cell>
          <cell r="H49">
            <v>46186.413918136597</v>
          </cell>
          <cell r="I49" t="str">
            <v>D24_O_00126645</v>
          </cell>
          <cell r="J49">
            <v>3500000</v>
          </cell>
          <cell r="K49">
            <v>328720</v>
          </cell>
          <cell r="L49">
            <v>328720</v>
          </cell>
          <cell r="M49" t="str">
            <v>1 : 10 Days</v>
          </cell>
          <cell r="N49">
            <v>46197</v>
          </cell>
          <cell r="O49" t="str">
            <v>AFIA</v>
          </cell>
          <cell r="P49">
            <v>5</v>
          </cell>
        </row>
        <row r="50">
          <cell r="B50" t="str">
            <v>Delta A</v>
          </cell>
          <cell r="C50" t="str">
            <v>Dakahlia Aga – Al Yasmine</v>
          </cell>
          <cell r="D50" t="str">
            <v>#MULTIVALUE</v>
          </cell>
          <cell r="E50" t="str">
            <v>D24_R01547</v>
          </cell>
          <cell r="F50" t="str">
            <v>العوضى غلوش</v>
          </cell>
          <cell r="G50" t="str">
            <v>W/s Consumer &amp; Industrial</v>
          </cell>
          <cell r="H50">
            <v>46191.525426469903</v>
          </cell>
          <cell r="I50" t="str">
            <v>D24_O_00126983</v>
          </cell>
          <cell r="J50">
            <v>3500000</v>
          </cell>
          <cell r="K50">
            <v>779520</v>
          </cell>
          <cell r="L50">
            <v>0</v>
          </cell>
          <cell r="M50" t="str">
            <v>Not Due</v>
          </cell>
          <cell r="N50">
            <v>46202</v>
          </cell>
          <cell r="O50" t="str">
            <v>AFIA</v>
          </cell>
          <cell r="P50">
            <v>0</v>
          </cell>
        </row>
        <row r="51">
          <cell r="B51" t="str">
            <v>Delta A</v>
          </cell>
          <cell r="C51" t="str">
            <v>Dakahlia - Al Yasmine</v>
          </cell>
          <cell r="D51" t="str">
            <v>Ahmed Abdl Hadi Abdl Galil</v>
          </cell>
          <cell r="E51" t="str">
            <v>D21_R01107</v>
          </cell>
          <cell r="F51" t="str">
            <v>محمود النحاس</v>
          </cell>
          <cell r="G51" t="str">
            <v>W/s Consumer &amp; Industrial</v>
          </cell>
          <cell r="H51">
            <v>46200.425881134302</v>
          </cell>
          <cell r="I51" t="str">
            <v>D21_O_00269895</v>
          </cell>
          <cell r="J51">
            <v>150000</v>
          </cell>
          <cell r="K51">
            <v>40000</v>
          </cell>
          <cell r="L51">
            <v>0</v>
          </cell>
          <cell r="M51" t="str">
            <v>Not Due</v>
          </cell>
          <cell r="N51">
            <v>46211</v>
          </cell>
          <cell r="O51" t="str">
            <v>AFIA</v>
          </cell>
          <cell r="P51">
            <v>-9</v>
          </cell>
        </row>
        <row r="52">
          <cell r="B52" t="str">
            <v>Delta A</v>
          </cell>
          <cell r="C52" t="str">
            <v>Dakahlia - Al Yasmine</v>
          </cell>
          <cell r="D52" t="str">
            <v>Ahmed Abdl Hadi Abdl Galil</v>
          </cell>
          <cell r="E52" t="str">
            <v>D21_R01157</v>
          </cell>
          <cell r="F52" t="str">
            <v>محمد حنيجل</v>
          </cell>
          <cell r="G52" t="str">
            <v>W/s Consumer &amp; Industrial</v>
          </cell>
          <cell r="H52">
            <v>46160.401683993099</v>
          </cell>
          <cell r="I52" t="str">
            <v>D21_O_00263609</v>
          </cell>
          <cell r="J52">
            <v>500000</v>
          </cell>
          <cell r="K52">
            <v>174790.94</v>
          </cell>
          <cell r="L52">
            <v>174790.94</v>
          </cell>
          <cell r="M52" t="str">
            <v>31 : 60 Days</v>
          </cell>
          <cell r="N52">
            <v>46171</v>
          </cell>
          <cell r="O52" t="str">
            <v>AFIA</v>
          </cell>
          <cell r="P52">
            <v>31</v>
          </cell>
        </row>
        <row r="53">
          <cell r="B53" t="str">
            <v>Delta A</v>
          </cell>
          <cell r="C53" t="str">
            <v>Dakahlia - Al Yasmine</v>
          </cell>
          <cell r="D53" t="str">
            <v>Ahmed Abdl Hadi Abdl Galil</v>
          </cell>
          <cell r="E53" t="str">
            <v>D21_R01195</v>
          </cell>
          <cell r="F53" t="str">
            <v>شركة مكسب للتجارة و الالكترونية</v>
          </cell>
          <cell r="G53" t="str">
            <v>W/s Consumer &amp; Industrial</v>
          </cell>
          <cell r="H53">
            <v>46190</v>
          </cell>
          <cell r="I53" t="str">
            <v>D21_O_00268536</v>
          </cell>
          <cell r="J53">
            <v>1500000</v>
          </cell>
          <cell r="K53">
            <v>71902.100000000006</v>
          </cell>
          <cell r="L53">
            <v>71902.100000000006</v>
          </cell>
          <cell r="M53" t="str">
            <v>1 : 10 Days</v>
          </cell>
          <cell r="N53">
            <v>46201</v>
          </cell>
          <cell r="O53" t="str">
            <v>AFIA</v>
          </cell>
          <cell r="P53">
            <v>1</v>
          </cell>
        </row>
        <row r="54">
          <cell r="B54" t="str">
            <v>Delta A</v>
          </cell>
          <cell r="C54" t="str">
            <v>Dakahlia - Al Yasmine</v>
          </cell>
          <cell r="D54" t="str">
            <v>Ahmed Abdl Hadi Abdl Galil</v>
          </cell>
          <cell r="E54" t="str">
            <v>D21_R01195</v>
          </cell>
          <cell r="F54" t="str">
            <v>شركة مكسب للتجارة و الالكترونية</v>
          </cell>
          <cell r="G54" t="str">
            <v>W/s Consumer &amp; Industrial</v>
          </cell>
          <cell r="H54">
            <v>46194.398748379601</v>
          </cell>
          <cell r="I54" t="str">
            <v>D21_O_00269103</v>
          </cell>
          <cell r="J54">
            <v>1500000</v>
          </cell>
          <cell r="K54">
            <v>91431.07</v>
          </cell>
          <cell r="L54">
            <v>0</v>
          </cell>
          <cell r="M54" t="str">
            <v>Not Due</v>
          </cell>
          <cell r="N54">
            <v>46205</v>
          </cell>
          <cell r="O54" t="str">
            <v>AFIA</v>
          </cell>
          <cell r="P54">
            <v>-3</v>
          </cell>
        </row>
        <row r="55">
          <cell r="B55" t="str">
            <v>Delta A</v>
          </cell>
          <cell r="C55" t="str">
            <v>Dakahlia - Al Yasmine</v>
          </cell>
          <cell r="D55" t="str">
            <v>Ahmed Abdl Hadi Abdl Galil</v>
          </cell>
          <cell r="E55" t="str">
            <v>D21_R01195</v>
          </cell>
          <cell r="F55" t="str">
            <v>شركة مكسب للتجارة و الالكترونية</v>
          </cell>
          <cell r="G55" t="str">
            <v>W/s Consumer &amp; Industrial</v>
          </cell>
          <cell r="H55">
            <v>46194.401162268499</v>
          </cell>
          <cell r="I55" t="str">
            <v>D21_O_00269104</v>
          </cell>
          <cell r="J55">
            <v>1500000</v>
          </cell>
          <cell r="K55">
            <v>94168.94</v>
          </cell>
          <cell r="L55">
            <v>0</v>
          </cell>
          <cell r="M55" t="str">
            <v>Not Due</v>
          </cell>
          <cell r="N55">
            <v>46205</v>
          </cell>
          <cell r="O55" t="str">
            <v>AFIA</v>
          </cell>
          <cell r="P55">
            <v>-3</v>
          </cell>
        </row>
        <row r="56">
          <cell r="B56" t="str">
            <v>Delta A</v>
          </cell>
          <cell r="C56" t="str">
            <v>Dakahlia - Al Yasmine</v>
          </cell>
          <cell r="D56" t="str">
            <v>Ahmed Abdl Hadi Abdl Galil</v>
          </cell>
          <cell r="E56" t="str">
            <v>D21_R01195</v>
          </cell>
          <cell r="F56" t="str">
            <v>شركة مكسب للتجارة و الالكترونية</v>
          </cell>
          <cell r="G56" t="str">
            <v>W/s Consumer &amp; Industrial</v>
          </cell>
          <cell r="H56">
            <v>46201.408461770799</v>
          </cell>
          <cell r="I56" t="str">
            <v>D21_O_00270087</v>
          </cell>
          <cell r="J56">
            <v>1500000</v>
          </cell>
          <cell r="K56">
            <v>147205.06</v>
          </cell>
          <cell r="L56">
            <v>0</v>
          </cell>
          <cell r="M56" t="str">
            <v>Not Due</v>
          </cell>
          <cell r="N56">
            <v>46212</v>
          </cell>
          <cell r="O56" t="str">
            <v>AFIA</v>
          </cell>
          <cell r="P56">
            <v>-10</v>
          </cell>
        </row>
        <row r="57">
          <cell r="B57" t="str">
            <v>Delta A</v>
          </cell>
          <cell r="C57" t="str">
            <v>Dakahlia - Al Yasmine</v>
          </cell>
          <cell r="D57" t="str">
            <v>Ahmed Abdl Hadi Abdl Galil</v>
          </cell>
          <cell r="E57" t="str">
            <v>D21_R02240</v>
          </cell>
          <cell r="F57" t="str">
            <v>المصباح للتسويق و التجاره الالكترونيه</v>
          </cell>
          <cell r="G57" t="str">
            <v>W/s Consumer &amp; Industrial</v>
          </cell>
          <cell r="H57">
            <v>46165</v>
          </cell>
          <cell r="I57" t="str">
            <v>D21_O_00264359</v>
          </cell>
          <cell r="J57">
            <v>3000000</v>
          </cell>
          <cell r="K57">
            <v>39835</v>
          </cell>
          <cell r="L57">
            <v>39835</v>
          </cell>
          <cell r="M57" t="str">
            <v>21 : 30 Days</v>
          </cell>
          <cell r="N57">
            <v>46176</v>
          </cell>
          <cell r="O57" t="str">
            <v>AFIA</v>
          </cell>
          <cell r="P57">
            <v>26</v>
          </cell>
        </row>
        <row r="58">
          <cell r="B58" t="str">
            <v>Delta A</v>
          </cell>
          <cell r="C58" t="str">
            <v>Dakahlia - Al Yasmine</v>
          </cell>
          <cell r="D58" t="str">
            <v>Ahmed Abdl Hadi Abdl Galil</v>
          </cell>
          <cell r="E58" t="str">
            <v>D21_R02347</v>
          </cell>
          <cell r="F58" t="str">
            <v>مصطفى حسيب</v>
          </cell>
          <cell r="G58" t="str">
            <v>W/s Consumer &amp; Industrial</v>
          </cell>
          <cell r="H58">
            <v>46079.796307638899</v>
          </cell>
          <cell r="I58" t="str">
            <v>D21_O_00250572</v>
          </cell>
          <cell r="J58">
            <v>12000000</v>
          </cell>
          <cell r="K58">
            <v>109149.19</v>
          </cell>
          <cell r="L58">
            <v>109149.19</v>
          </cell>
          <cell r="M58" t="str">
            <v>61 : 120 Days</v>
          </cell>
          <cell r="N58">
            <v>46095</v>
          </cell>
          <cell r="O58" t="str">
            <v>AFIA</v>
          </cell>
          <cell r="P58">
            <v>107</v>
          </cell>
        </row>
        <row r="59">
          <cell r="B59" t="str">
            <v>Delta A</v>
          </cell>
          <cell r="C59" t="str">
            <v>Dakahlia - Al Yasmine</v>
          </cell>
          <cell r="D59" t="str">
            <v>Ahmed Abdl Hadi Abdl Galil</v>
          </cell>
          <cell r="E59" t="str">
            <v>D21_R02347</v>
          </cell>
          <cell r="F59" t="str">
            <v>مصطفى حسيب</v>
          </cell>
          <cell r="G59" t="str">
            <v>W/s Consumer &amp; Industrial</v>
          </cell>
          <cell r="H59">
            <v>46081.727950544002</v>
          </cell>
          <cell r="I59" t="str">
            <v>D21_O_00250744</v>
          </cell>
          <cell r="J59">
            <v>12000000</v>
          </cell>
          <cell r="K59">
            <v>1239804.1399999999</v>
          </cell>
          <cell r="L59">
            <v>1239804.1399999999</v>
          </cell>
          <cell r="M59" t="str">
            <v>61 : 120 Days</v>
          </cell>
          <cell r="N59">
            <v>46097</v>
          </cell>
          <cell r="O59" t="str">
            <v>AFIA</v>
          </cell>
          <cell r="P59">
            <v>105</v>
          </cell>
        </row>
        <row r="60">
          <cell r="B60" t="str">
            <v>Delta A</v>
          </cell>
          <cell r="C60" t="str">
            <v>Dakahlia - Al Yasmine</v>
          </cell>
          <cell r="D60" t="str">
            <v>Ahmed Abdl Hadi Abdl Galil</v>
          </cell>
          <cell r="E60" t="str">
            <v>D21_R02347</v>
          </cell>
          <cell r="F60" t="str">
            <v>مصطفى حسيب</v>
          </cell>
          <cell r="G60" t="str">
            <v>W/s Consumer &amp; Industrial</v>
          </cell>
          <cell r="H60">
            <v>46088.342437580999</v>
          </cell>
          <cell r="I60" t="str">
            <v>D21_O_00251954</v>
          </cell>
          <cell r="J60">
            <v>12000000</v>
          </cell>
          <cell r="K60">
            <v>9048827.1699999999</v>
          </cell>
          <cell r="L60">
            <v>9048827.1699999999</v>
          </cell>
          <cell r="M60" t="str">
            <v>61 : 120 Days</v>
          </cell>
          <cell r="N60">
            <v>46104</v>
          </cell>
          <cell r="O60" t="str">
            <v>AFIA</v>
          </cell>
          <cell r="P60">
            <v>98</v>
          </cell>
        </row>
        <row r="61">
          <cell r="B61" t="str">
            <v>Delta A</v>
          </cell>
          <cell r="C61" t="str">
            <v>Dakahlia - Al Yasmine</v>
          </cell>
          <cell r="D61" t="str">
            <v>Ahmed Abdl Hadi Abdl Galil</v>
          </cell>
          <cell r="E61" t="str">
            <v>D21_R02347</v>
          </cell>
          <cell r="F61" t="str">
            <v>مصطفى حسيب</v>
          </cell>
          <cell r="G61" t="str">
            <v>W/s Consumer &amp; Industrial</v>
          </cell>
          <cell r="H61">
            <v>46182.751140162</v>
          </cell>
          <cell r="I61" t="str">
            <v>D21_O_00267314</v>
          </cell>
          <cell r="J61">
            <v>12000000</v>
          </cell>
          <cell r="K61">
            <v>366422.07</v>
          </cell>
          <cell r="L61">
            <v>366422.07</v>
          </cell>
          <cell r="M61" t="str">
            <v>1 : 10 Days</v>
          </cell>
          <cell r="N61">
            <v>46193</v>
          </cell>
          <cell r="O61" t="str">
            <v>AFIA</v>
          </cell>
          <cell r="P61">
            <v>9</v>
          </cell>
        </row>
        <row r="62">
          <cell r="B62" t="str">
            <v>Delta A</v>
          </cell>
          <cell r="C62" t="str">
            <v>Dakahlia - Al Yasmine</v>
          </cell>
          <cell r="D62" t="str">
            <v>Ahmed Abdl Hadi Abdl Galil</v>
          </cell>
          <cell r="E62" t="str">
            <v>D21_R02347</v>
          </cell>
          <cell r="F62" t="str">
            <v>مصطفى حسيب</v>
          </cell>
          <cell r="G62" t="str">
            <v>W/s Consumer &amp; Industrial</v>
          </cell>
          <cell r="H62">
            <v>46184.600157604204</v>
          </cell>
          <cell r="I62" t="str">
            <v>D21_O_00267624</v>
          </cell>
          <cell r="J62">
            <v>12000000</v>
          </cell>
          <cell r="K62">
            <v>453649.62</v>
          </cell>
          <cell r="L62">
            <v>453649.62</v>
          </cell>
          <cell r="M62" t="str">
            <v>1 : 10 Days</v>
          </cell>
          <cell r="N62">
            <v>46195</v>
          </cell>
          <cell r="O62" t="str">
            <v>AFIA</v>
          </cell>
          <cell r="P62">
            <v>7</v>
          </cell>
        </row>
        <row r="63">
          <cell r="B63" t="str">
            <v>Delta A</v>
          </cell>
          <cell r="C63" t="str">
            <v>Dakahlia - Al Yasmine</v>
          </cell>
          <cell r="D63" t="str">
            <v>Ahmed Abdl Hadi Abdl Galil</v>
          </cell>
          <cell r="E63" t="str">
            <v>D21_R02347</v>
          </cell>
          <cell r="F63" t="str">
            <v>مصطفى حسيب</v>
          </cell>
          <cell r="G63" t="str">
            <v>W/s Consumer &amp; Industrial</v>
          </cell>
          <cell r="H63">
            <v>46190.612848807898</v>
          </cell>
          <cell r="I63" t="str">
            <v>D21_O_00268606</v>
          </cell>
          <cell r="J63">
            <v>12000000</v>
          </cell>
          <cell r="K63">
            <v>356250.75</v>
          </cell>
          <cell r="L63">
            <v>356250.75</v>
          </cell>
          <cell r="M63" t="str">
            <v>1 : 10 Days</v>
          </cell>
          <cell r="N63">
            <v>46201</v>
          </cell>
          <cell r="O63" t="str">
            <v>AFIA</v>
          </cell>
          <cell r="P63">
            <v>1</v>
          </cell>
        </row>
        <row r="64">
          <cell r="B64" t="str">
            <v>Delta A</v>
          </cell>
          <cell r="C64" t="str">
            <v>Dakahlia - Al Yasmine</v>
          </cell>
          <cell r="D64" t="str">
            <v>Ahmed Abdl Hadi Abdl Galil</v>
          </cell>
          <cell r="E64" t="str">
            <v>D21_R02347</v>
          </cell>
          <cell r="F64" t="str">
            <v>مصطفى حسيب</v>
          </cell>
          <cell r="G64" t="str">
            <v>W/s Consumer &amp; Industrial</v>
          </cell>
          <cell r="H64">
            <v>46191.528789120399</v>
          </cell>
          <cell r="I64" t="str">
            <v>D21_O_00268754</v>
          </cell>
          <cell r="J64">
            <v>12000000</v>
          </cell>
          <cell r="K64">
            <v>216077.89</v>
          </cell>
          <cell r="L64">
            <v>0</v>
          </cell>
          <cell r="M64" t="str">
            <v>Not Due</v>
          </cell>
          <cell r="N64">
            <v>46202</v>
          </cell>
          <cell r="O64" t="str">
            <v>AFIA</v>
          </cell>
          <cell r="P64">
            <v>0</v>
          </cell>
        </row>
        <row r="65">
          <cell r="B65" t="str">
            <v>Delta A</v>
          </cell>
          <cell r="C65" t="str">
            <v>Dakahlia - Al Yasmine</v>
          </cell>
          <cell r="D65" t="str">
            <v>Ahmed Al Taneeb Aboda</v>
          </cell>
          <cell r="E65" t="str">
            <v>D21_M01115</v>
          </cell>
          <cell r="F65" t="str">
            <v>محمود عبداللطيف</v>
          </cell>
          <cell r="G65" t="str">
            <v>W/s Consumer &amp; Industrial</v>
          </cell>
          <cell r="H65">
            <v>46182.4041480671</v>
          </cell>
          <cell r="I65" t="str">
            <v>D21_O_00267118</v>
          </cell>
          <cell r="J65">
            <v>150000</v>
          </cell>
          <cell r="K65">
            <v>27148</v>
          </cell>
          <cell r="L65">
            <v>27148</v>
          </cell>
          <cell r="M65" t="str">
            <v>1 : 10 Days</v>
          </cell>
          <cell r="N65">
            <v>46193</v>
          </cell>
          <cell r="O65" t="str">
            <v>PASTA</v>
          </cell>
          <cell r="P65">
            <v>9</v>
          </cell>
        </row>
        <row r="66">
          <cell r="B66" t="str">
            <v>Delta A</v>
          </cell>
          <cell r="C66" t="str">
            <v>Dakahlia - Al Yasmine</v>
          </cell>
          <cell r="D66" t="str">
            <v>Ahmed Al Taneeb Aboda</v>
          </cell>
          <cell r="E66" t="str">
            <v>D21_M01123</v>
          </cell>
          <cell r="F66" t="str">
            <v>عبد الله شطا</v>
          </cell>
          <cell r="G66" t="str">
            <v>W/s Consumer &amp; Industrial</v>
          </cell>
          <cell r="H66">
            <v>46186.3910020486</v>
          </cell>
          <cell r="I66" t="str">
            <v>D21_O_00267800</v>
          </cell>
          <cell r="J66">
            <v>150000</v>
          </cell>
          <cell r="K66">
            <v>14114</v>
          </cell>
          <cell r="L66">
            <v>14114</v>
          </cell>
          <cell r="M66" t="str">
            <v>1 : 10 Days</v>
          </cell>
          <cell r="N66">
            <v>46197</v>
          </cell>
          <cell r="O66" t="str">
            <v>PASTA</v>
          </cell>
          <cell r="P66">
            <v>5</v>
          </cell>
        </row>
        <row r="67">
          <cell r="B67" t="str">
            <v>Delta A</v>
          </cell>
          <cell r="C67" t="str">
            <v>Dakahlia - Al Yasmine</v>
          </cell>
          <cell r="D67" t="str">
            <v>Ahmed Al Taneeb Aboda</v>
          </cell>
          <cell r="E67" t="str">
            <v>D21_M01133</v>
          </cell>
          <cell r="F67" t="str">
            <v>حامد الطحان</v>
          </cell>
          <cell r="G67" t="str">
            <v>W/s Consumer &amp; Industrial</v>
          </cell>
          <cell r="H67">
            <v>46194.384876423603</v>
          </cell>
          <cell r="I67" t="str">
            <v>D21_O_00269102</v>
          </cell>
          <cell r="J67">
            <v>200000</v>
          </cell>
          <cell r="K67">
            <v>7705</v>
          </cell>
          <cell r="L67">
            <v>0</v>
          </cell>
          <cell r="M67" t="str">
            <v>Not Due</v>
          </cell>
          <cell r="N67">
            <v>46205</v>
          </cell>
          <cell r="O67" t="str">
            <v>PASTA</v>
          </cell>
          <cell r="P67">
            <v>-3</v>
          </cell>
        </row>
        <row r="68">
          <cell r="B68" t="str">
            <v>Delta A</v>
          </cell>
          <cell r="C68" t="str">
            <v>Dakahlia - Al Yasmine</v>
          </cell>
          <cell r="D68" t="str">
            <v>Ahmed Al Taneeb Aboda</v>
          </cell>
          <cell r="E68" t="str">
            <v>D21_M02347</v>
          </cell>
          <cell r="F68" t="str">
            <v>مصطفى حسيب</v>
          </cell>
          <cell r="G68" t="str">
            <v>W/s Consumer &amp; Industrial</v>
          </cell>
          <cell r="H68">
            <v>46081.924656632</v>
          </cell>
          <cell r="I68" t="str">
            <v>D21_O_00250773</v>
          </cell>
          <cell r="J68">
            <v>2500000</v>
          </cell>
          <cell r="K68">
            <v>2173119.46</v>
          </cell>
          <cell r="L68">
            <v>2173119.46</v>
          </cell>
          <cell r="M68" t="str">
            <v>61 : 120 Days</v>
          </cell>
          <cell r="N68">
            <v>46097</v>
          </cell>
          <cell r="O68" t="str">
            <v>PASTA</v>
          </cell>
          <cell r="P68">
            <v>105</v>
          </cell>
        </row>
        <row r="69">
          <cell r="B69" t="str">
            <v>Delta A</v>
          </cell>
          <cell r="C69" t="str">
            <v>Dakahlia - Al Yasmine</v>
          </cell>
          <cell r="D69" t="str">
            <v>Ahmed Al Taneeb Aboda</v>
          </cell>
          <cell r="E69" t="str">
            <v>D21_M02347</v>
          </cell>
          <cell r="F69" t="str">
            <v>مصطفى حسيب</v>
          </cell>
          <cell r="G69" t="str">
            <v>W/s Consumer &amp; Industrial</v>
          </cell>
          <cell r="H69">
            <v>46184.852044988402</v>
          </cell>
          <cell r="I69" t="str">
            <v>D21_O_00267793</v>
          </cell>
          <cell r="J69">
            <v>2500000</v>
          </cell>
          <cell r="K69">
            <v>158496</v>
          </cell>
          <cell r="L69">
            <v>158496</v>
          </cell>
          <cell r="M69" t="str">
            <v>1 : 10 Days</v>
          </cell>
          <cell r="N69">
            <v>46195</v>
          </cell>
          <cell r="O69" t="str">
            <v>PASTA</v>
          </cell>
          <cell r="P69">
            <v>7</v>
          </cell>
        </row>
        <row r="70">
          <cell r="B70" t="str">
            <v>Delta A</v>
          </cell>
          <cell r="C70" t="str">
            <v>Dakahlia - Al Yasmine</v>
          </cell>
          <cell r="D70" t="str">
            <v>Ahmed Mosad Al shahaat</v>
          </cell>
          <cell r="E70" t="str">
            <v>D21_P01503</v>
          </cell>
          <cell r="F70" t="str">
            <v>محمد حنيجل</v>
          </cell>
          <cell r="G70" t="str">
            <v>W/s Consumer &amp; Industrial</v>
          </cell>
          <cell r="H70">
            <v>46175.548533217603</v>
          </cell>
          <cell r="I70" t="str">
            <v>D21_O_00265651</v>
          </cell>
          <cell r="J70">
            <v>225000</v>
          </cell>
          <cell r="K70">
            <v>116540</v>
          </cell>
          <cell r="L70">
            <v>116540</v>
          </cell>
          <cell r="M70" t="str">
            <v>11 : 20 Days</v>
          </cell>
          <cell r="N70">
            <v>46186</v>
          </cell>
          <cell r="O70" t="str">
            <v>PASTA</v>
          </cell>
          <cell r="P70">
            <v>16</v>
          </cell>
        </row>
        <row r="71">
          <cell r="B71" t="str">
            <v>Delta A</v>
          </cell>
          <cell r="C71" t="str">
            <v>Dakahlia - Al Yasmine</v>
          </cell>
          <cell r="D71" t="str">
            <v>Ahmed Mosad Al shahaat</v>
          </cell>
          <cell r="E71" t="str">
            <v>D21_P01503</v>
          </cell>
          <cell r="F71" t="str">
            <v>محمد حنيجل</v>
          </cell>
          <cell r="G71" t="str">
            <v>W/s Consumer &amp; Industrial</v>
          </cell>
          <cell r="H71">
            <v>46191</v>
          </cell>
          <cell r="I71" t="str">
            <v>D21_O_00268540</v>
          </cell>
          <cell r="J71">
            <v>225000</v>
          </cell>
          <cell r="K71">
            <v>104040</v>
          </cell>
          <cell r="L71">
            <v>0</v>
          </cell>
          <cell r="M71" t="str">
            <v>Not Due</v>
          </cell>
          <cell r="N71">
            <v>46202</v>
          </cell>
          <cell r="O71" t="str">
            <v>PASTA</v>
          </cell>
          <cell r="P71">
            <v>0</v>
          </cell>
        </row>
        <row r="72">
          <cell r="B72" t="str">
            <v>Delta A</v>
          </cell>
          <cell r="C72" t="str">
            <v>Dakahlia - Al Yasmine</v>
          </cell>
          <cell r="D72" t="str">
            <v>Ahmed Mosad Al shahaat</v>
          </cell>
          <cell r="E72" t="str">
            <v>D21_P01505</v>
          </cell>
          <cell r="F72" t="str">
            <v>ياسر الصعيدى</v>
          </cell>
          <cell r="G72" t="str">
            <v>W/s Consumer &amp; Industrial</v>
          </cell>
          <cell r="H72">
            <v>46193.455237962997</v>
          </cell>
          <cell r="I72" t="str">
            <v>D21_O_00268898</v>
          </cell>
          <cell r="J72">
            <v>150000</v>
          </cell>
          <cell r="K72">
            <v>32981</v>
          </cell>
          <cell r="L72">
            <v>0</v>
          </cell>
          <cell r="M72" t="str">
            <v>Not Due</v>
          </cell>
          <cell r="N72">
            <v>46204</v>
          </cell>
          <cell r="O72" t="str">
            <v>PASTA</v>
          </cell>
          <cell r="P72">
            <v>-2</v>
          </cell>
        </row>
        <row r="73">
          <cell r="B73" t="str">
            <v>Delta A</v>
          </cell>
          <cell r="C73" t="str">
            <v>Dakahlia - Al Yasmine</v>
          </cell>
          <cell r="D73" t="str">
            <v>Ahmed Mosad Al shahaat</v>
          </cell>
          <cell r="E73" t="str">
            <v>D21_P01505</v>
          </cell>
          <cell r="F73" t="str">
            <v>ياسر الصعيدى</v>
          </cell>
          <cell r="G73" t="str">
            <v>W/s Consumer &amp; Industrial</v>
          </cell>
          <cell r="H73">
            <v>46197.433753159698</v>
          </cell>
          <cell r="I73" t="str">
            <v>D21_O_00269601</v>
          </cell>
          <cell r="J73">
            <v>150000</v>
          </cell>
          <cell r="K73">
            <v>61740</v>
          </cell>
          <cell r="L73">
            <v>0</v>
          </cell>
          <cell r="M73" t="str">
            <v>Not Due</v>
          </cell>
          <cell r="N73">
            <v>46208</v>
          </cell>
          <cell r="O73" t="str">
            <v>PASTA</v>
          </cell>
          <cell r="P73">
            <v>-6</v>
          </cell>
        </row>
        <row r="74">
          <cell r="B74" t="str">
            <v>Delta A</v>
          </cell>
          <cell r="C74" t="str">
            <v>Dakahlia - Al Yasmine</v>
          </cell>
          <cell r="D74" t="str">
            <v>Ahmed Mosad Al shahaat</v>
          </cell>
          <cell r="E74" t="str">
            <v>D21_P01511</v>
          </cell>
          <cell r="F74" t="str">
            <v>خالد زغلول</v>
          </cell>
          <cell r="G74" t="str">
            <v>W/s Consumer &amp; Industrial</v>
          </cell>
          <cell r="H74">
            <v>46196</v>
          </cell>
          <cell r="I74" t="str">
            <v>D21_O_00269423</v>
          </cell>
          <cell r="J74">
            <v>150000</v>
          </cell>
          <cell r="K74">
            <v>105000</v>
          </cell>
          <cell r="L74">
            <v>0</v>
          </cell>
          <cell r="M74" t="str">
            <v>Not Due</v>
          </cell>
          <cell r="N74">
            <v>46207</v>
          </cell>
          <cell r="O74" t="str">
            <v>PASTA</v>
          </cell>
          <cell r="P74">
            <v>-5</v>
          </cell>
        </row>
        <row r="75">
          <cell r="B75" t="str">
            <v>Delta A</v>
          </cell>
          <cell r="C75" t="str">
            <v>Dakahlia - Al Yasmine</v>
          </cell>
          <cell r="D75" t="str">
            <v>Ahmed Mosad Al shahaat</v>
          </cell>
          <cell r="E75" t="str">
            <v>D21_P01564</v>
          </cell>
          <cell r="F75" t="str">
            <v>خلاف</v>
          </cell>
          <cell r="G75" t="str">
            <v>W/s Consumer &amp; Industrial</v>
          </cell>
          <cell r="H75">
            <v>46181.5033436343</v>
          </cell>
          <cell r="I75" t="str">
            <v>D21_O_00266939</v>
          </cell>
          <cell r="J75">
            <v>1500000</v>
          </cell>
          <cell r="K75">
            <v>210000</v>
          </cell>
          <cell r="L75">
            <v>210000</v>
          </cell>
          <cell r="M75" t="str">
            <v>1 : 10 Days</v>
          </cell>
          <cell r="N75">
            <v>46192</v>
          </cell>
          <cell r="O75" t="str">
            <v>PASTA</v>
          </cell>
          <cell r="P75">
            <v>10</v>
          </cell>
        </row>
        <row r="76">
          <cell r="B76" t="str">
            <v>Delta A</v>
          </cell>
          <cell r="C76" t="str">
            <v>Dakahlia - Al Yasmine</v>
          </cell>
          <cell r="D76" t="str">
            <v>Ahmed Mosad Al shahaat</v>
          </cell>
          <cell r="E76" t="str">
            <v>D21_P01654</v>
          </cell>
          <cell r="F76" t="str">
            <v>مصطفى حسيب</v>
          </cell>
          <cell r="G76" t="str">
            <v>W/s Consumer &amp; Industrial</v>
          </cell>
          <cell r="H76">
            <v>46179.500696030103</v>
          </cell>
          <cell r="I76" t="str">
            <v>D21_O_00266427</v>
          </cell>
          <cell r="J76">
            <v>500000</v>
          </cell>
          <cell r="K76">
            <v>364620</v>
          </cell>
          <cell r="L76">
            <v>364620</v>
          </cell>
          <cell r="M76" t="str">
            <v>11 : 20 Days</v>
          </cell>
          <cell r="N76">
            <v>46190</v>
          </cell>
          <cell r="O76" t="str">
            <v>PASTA</v>
          </cell>
          <cell r="P76">
            <v>12</v>
          </cell>
        </row>
        <row r="77">
          <cell r="B77" t="str">
            <v>Delta A</v>
          </cell>
          <cell r="C77" t="str">
            <v>Dakahlia - Al Yasmine</v>
          </cell>
          <cell r="D77" t="str">
            <v>Ashraf El Sayed Mahmoud</v>
          </cell>
          <cell r="E77" t="str">
            <v>D21_M01154</v>
          </cell>
          <cell r="F77" t="str">
            <v>شركة الوفاق</v>
          </cell>
          <cell r="G77" t="str">
            <v>W/s Consumer &amp; Industrial</v>
          </cell>
          <cell r="H77">
            <v>46176.4131734607</v>
          </cell>
          <cell r="I77" t="str">
            <v>D21_O_00265886</v>
          </cell>
          <cell r="J77">
            <v>175000</v>
          </cell>
          <cell r="K77">
            <v>68329</v>
          </cell>
          <cell r="L77">
            <v>68329</v>
          </cell>
          <cell r="M77" t="str">
            <v>11 : 20 Days</v>
          </cell>
          <cell r="N77">
            <v>46187</v>
          </cell>
          <cell r="O77" t="str">
            <v>PASTA</v>
          </cell>
          <cell r="P77">
            <v>15</v>
          </cell>
        </row>
        <row r="78">
          <cell r="B78" t="str">
            <v>Delta A</v>
          </cell>
          <cell r="C78" t="str">
            <v>Dakahlia - Al Yasmine</v>
          </cell>
          <cell r="D78" t="str">
            <v>Ashraf El Sayed Mahmoud</v>
          </cell>
          <cell r="E78" t="str">
            <v>D21_M01159</v>
          </cell>
          <cell r="F78" t="str">
            <v>ياسر الصعيدى</v>
          </cell>
          <cell r="G78" t="str">
            <v>W/s Consumer &amp; Industrial</v>
          </cell>
          <cell r="H78">
            <v>46193.446623113399</v>
          </cell>
          <cell r="I78" t="str">
            <v>D21_O_00268897</v>
          </cell>
          <cell r="J78">
            <v>80000</v>
          </cell>
          <cell r="K78">
            <v>26416</v>
          </cell>
          <cell r="L78">
            <v>0</v>
          </cell>
          <cell r="M78" t="str">
            <v>Not Due</v>
          </cell>
          <cell r="N78">
            <v>46204</v>
          </cell>
          <cell r="O78" t="str">
            <v>PASTA</v>
          </cell>
          <cell r="P78">
            <v>-2</v>
          </cell>
        </row>
        <row r="79">
          <cell r="B79" t="str">
            <v>Delta A</v>
          </cell>
          <cell r="C79" t="str">
            <v>Dakahlia - Al Yasmine</v>
          </cell>
          <cell r="D79" t="str">
            <v>Ashraf El Sayed Mahmoud</v>
          </cell>
          <cell r="E79" t="str">
            <v>D21_M01190</v>
          </cell>
          <cell r="F79" t="str">
            <v>خالدهاشم</v>
          </cell>
          <cell r="G79" t="str">
            <v>W/s Consumer &amp; Industrial</v>
          </cell>
          <cell r="H79">
            <v>46195</v>
          </cell>
          <cell r="I79" t="str">
            <v>D21_O_00268364</v>
          </cell>
          <cell r="J79">
            <v>55000</v>
          </cell>
          <cell r="K79">
            <v>25000</v>
          </cell>
          <cell r="L79">
            <v>0</v>
          </cell>
          <cell r="M79" t="str">
            <v>Not Due</v>
          </cell>
          <cell r="N79">
            <v>46206</v>
          </cell>
          <cell r="O79" t="str">
            <v>PASTA</v>
          </cell>
          <cell r="P79">
            <v>-4</v>
          </cell>
        </row>
        <row r="80">
          <cell r="B80" t="str">
            <v>Delta A</v>
          </cell>
          <cell r="C80" t="str">
            <v>Dakahlia - Al Yasmine</v>
          </cell>
          <cell r="D80" t="str">
            <v>Ashraf El Sayed Mahmoud</v>
          </cell>
          <cell r="E80" t="str">
            <v>D21_M01195</v>
          </cell>
          <cell r="F80" t="str">
            <v>شركة مكسب للتجارة و الالكترونية</v>
          </cell>
          <cell r="G80" t="str">
            <v>W/s Consumer &amp; Industrial</v>
          </cell>
          <cell r="H80">
            <v>46201.391335451401</v>
          </cell>
          <cell r="I80" t="str">
            <v>D21_O_00270084</v>
          </cell>
          <cell r="J80">
            <v>2000000</v>
          </cell>
          <cell r="K80">
            <v>221032</v>
          </cell>
          <cell r="L80">
            <v>0</v>
          </cell>
          <cell r="M80" t="str">
            <v>Not Due</v>
          </cell>
          <cell r="N80">
            <v>46212</v>
          </cell>
          <cell r="O80" t="str">
            <v>PASTA</v>
          </cell>
          <cell r="P80">
            <v>-10</v>
          </cell>
        </row>
        <row r="81">
          <cell r="B81" t="str">
            <v>Delta A</v>
          </cell>
          <cell r="C81" t="str">
            <v>Dakahlia - Al Yasmine</v>
          </cell>
          <cell r="D81" t="str">
            <v>Ashraf El Sayed Mahmoud</v>
          </cell>
          <cell r="E81" t="str">
            <v>D21_M01195</v>
          </cell>
          <cell r="F81" t="str">
            <v>شركة مكسب للتجارة و الالكترونية</v>
          </cell>
          <cell r="G81" t="str">
            <v>W/s Consumer &amp; Industrial</v>
          </cell>
          <cell r="H81">
            <v>46201.396506597201</v>
          </cell>
          <cell r="I81" t="str">
            <v>D21_O_00270086</v>
          </cell>
          <cell r="J81">
            <v>2000000</v>
          </cell>
          <cell r="K81">
            <v>195820</v>
          </cell>
          <cell r="L81">
            <v>0</v>
          </cell>
          <cell r="M81" t="str">
            <v>Not Due</v>
          </cell>
          <cell r="N81">
            <v>46212</v>
          </cell>
          <cell r="O81" t="str">
            <v>PASTA</v>
          </cell>
          <cell r="P81">
            <v>-10</v>
          </cell>
        </row>
        <row r="82">
          <cell r="B82" t="str">
            <v>Delta A</v>
          </cell>
          <cell r="C82" t="str">
            <v>Dakahlia - Al Yasmine</v>
          </cell>
          <cell r="D82" t="str">
            <v>Ashraf El Sayed Mahmoud</v>
          </cell>
          <cell r="E82" t="str">
            <v>D21_M03061</v>
          </cell>
          <cell r="F82" t="str">
            <v>احمد الكردى</v>
          </cell>
          <cell r="G82" t="str">
            <v>W/s Consumer &amp; Industrial</v>
          </cell>
          <cell r="H82">
            <v>46179.420868831003</v>
          </cell>
          <cell r="I82" t="str">
            <v>D21_O_00266414</v>
          </cell>
          <cell r="J82">
            <v>80000</v>
          </cell>
          <cell r="K82">
            <v>30000</v>
          </cell>
          <cell r="L82">
            <v>30000</v>
          </cell>
          <cell r="M82" t="str">
            <v>11 : 20 Days</v>
          </cell>
          <cell r="N82">
            <v>46190</v>
          </cell>
          <cell r="O82" t="str">
            <v>PASTA</v>
          </cell>
          <cell r="P82">
            <v>12</v>
          </cell>
        </row>
        <row r="83">
          <cell r="B83" t="str">
            <v>Delta A</v>
          </cell>
          <cell r="C83" t="str">
            <v>Dakahlia - Al Yasmine</v>
          </cell>
          <cell r="D83" t="str">
            <v>Mahmoud Ragab Ramadan</v>
          </cell>
          <cell r="E83" t="str">
            <v>D21_R01559</v>
          </cell>
          <cell r="F83" t="str">
            <v>وكالة المنصورة</v>
          </cell>
          <cell r="G83" t="str">
            <v>K-Retail</v>
          </cell>
          <cell r="H83">
            <v>46154.521144293998</v>
          </cell>
          <cell r="I83" t="str">
            <v>D21_O_00262683</v>
          </cell>
          <cell r="J83">
            <v>4000000</v>
          </cell>
          <cell r="K83">
            <v>1261072.42</v>
          </cell>
          <cell r="L83">
            <v>1261072.42</v>
          </cell>
          <cell r="M83" t="str">
            <v>31 : 60 Days</v>
          </cell>
          <cell r="N83">
            <v>46170</v>
          </cell>
          <cell r="O83" t="str">
            <v>AFIA</v>
          </cell>
          <cell r="P83">
            <v>32</v>
          </cell>
        </row>
        <row r="84">
          <cell r="B84" t="str">
            <v>Delta A</v>
          </cell>
          <cell r="C84" t="str">
            <v>Dakahlia - Al Yasmine</v>
          </cell>
          <cell r="D84" t="str">
            <v>Mahmoud Ragab Ramadan</v>
          </cell>
          <cell r="E84" t="str">
            <v>D21_R01559</v>
          </cell>
          <cell r="F84" t="str">
            <v>وكالة المنصورة</v>
          </cell>
          <cell r="G84" t="str">
            <v>K-Retail</v>
          </cell>
          <cell r="H84">
            <v>46181.861934918998</v>
          </cell>
          <cell r="I84" t="str">
            <v>D21_O_00267114</v>
          </cell>
          <cell r="J84">
            <v>4000000</v>
          </cell>
          <cell r="K84">
            <v>143349.24</v>
          </cell>
          <cell r="L84">
            <v>143349.24</v>
          </cell>
          <cell r="M84" t="str">
            <v>1 : 10 Days</v>
          </cell>
          <cell r="N84">
            <v>46197</v>
          </cell>
          <cell r="O84" t="str">
            <v>AFIA</v>
          </cell>
          <cell r="P84">
            <v>5</v>
          </cell>
        </row>
        <row r="85">
          <cell r="B85" t="str">
            <v>Delta A</v>
          </cell>
          <cell r="C85" t="str">
            <v>Dakahlia - Al Yasmine</v>
          </cell>
          <cell r="D85" t="str">
            <v>Mahmoud Ragab Ramadan</v>
          </cell>
          <cell r="E85" t="str">
            <v>D21_R01559</v>
          </cell>
          <cell r="F85" t="str">
            <v>وكالة المنصورة</v>
          </cell>
          <cell r="G85" t="str">
            <v>K-Retail</v>
          </cell>
          <cell r="H85">
            <v>46181.878586145802</v>
          </cell>
          <cell r="I85" t="str">
            <v>D21_O_00267116</v>
          </cell>
          <cell r="J85">
            <v>4000000</v>
          </cell>
          <cell r="K85">
            <v>1211975.8</v>
          </cell>
          <cell r="L85">
            <v>1211975.8</v>
          </cell>
          <cell r="M85" t="str">
            <v>1 : 10 Days</v>
          </cell>
          <cell r="N85">
            <v>46197</v>
          </cell>
          <cell r="O85" t="str">
            <v>AFIA</v>
          </cell>
          <cell r="P85">
            <v>5</v>
          </cell>
        </row>
        <row r="86">
          <cell r="B86" t="str">
            <v>Delta A</v>
          </cell>
          <cell r="C86" t="str">
            <v>Dakahlia - Al Yasmine</v>
          </cell>
          <cell r="D86" t="str">
            <v>Mahmoud Ragab Ramadan</v>
          </cell>
          <cell r="E86" t="str">
            <v>D21_R01559</v>
          </cell>
          <cell r="F86" t="str">
            <v>وكالة المنصورة</v>
          </cell>
          <cell r="G86" t="str">
            <v>K-Retail</v>
          </cell>
          <cell r="H86">
            <v>46193.8498173958</v>
          </cell>
          <cell r="I86" t="str">
            <v>D21_O_00269100</v>
          </cell>
          <cell r="J86">
            <v>4000000</v>
          </cell>
          <cell r="K86">
            <v>502703.25</v>
          </cell>
          <cell r="L86">
            <v>0</v>
          </cell>
          <cell r="M86" t="str">
            <v>Not Due</v>
          </cell>
          <cell r="N86">
            <v>46209</v>
          </cell>
          <cell r="O86" t="str">
            <v>AFIA</v>
          </cell>
          <cell r="P86">
            <v>-7</v>
          </cell>
        </row>
        <row r="87">
          <cell r="B87" t="str">
            <v>Delta A</v>
          </cell>
          <cell r="C87" t="str">
            <v>Dakahlia - Al Yasmine</v>
          </cell>
          <cell r="D87" t="str">
            <v>Mahmoud Ragab Ramadan</v>
          </cell>
          <cell r="E87" t="str">
            <v>D21_R01559</v>
          </cell>
          <cell r="F87" t="str">
            <v>وكالة المنصورة</v>
          </cell>
          <cell r="G87" t="str">
            <v>K-Retail</v>
          </cell>
          <cell r="H87">
            <v>46196.592341319403</v>
          </cell>
          <cell r="I87" t="str">
            <v>D21_O_00269566</v>
          </cell>
          <cell r="J87">
            <v>4000000</v>
          </cell>
          <cell r="K87">
            <v>483813.75</v>
          </cell>
          <cell r="L87">
            <v>0</v>
          </cell>
          <cell r="M87" t="str">
            <v>Not Due</v>
          </cell>
          <cell r="N87">
            <v>46212</v>
          </cell>
          <cell r="O87" t="str">
            <v>AFIA</v>
          </cell>
          <cell r="P87">
            <v>-10</v>
          </cell>
        </row>
        <row r="88">
          <cell r="B88" t="str">
            <v>Delta A</v>
          </cell>
          <cell r="C88" t="str">
            <v>Dakahlia - Al Yasmine</v>
          </cell>
          <cell r="D88" t="str">
            <v>Mahmoud Ragab Ramadan</v>
          </cell>
          <cell r="E88" t="str">
            <v>D21_R03072</v>
          </cell>
          <cell r="F88" t="str">
            <v>كية اتش جملة ماركت</v>
          </cell>
          <cell r="G88" t="str">
            <v>K-Account</v>
          </cell>
          <cell r="H88">
            <v>46197.445049189802</v>
          </cell>
          <cell r="I88" t="str">
            <v>D21_O_00269602</v>
          </cell>
          <cell r="J88">
            <v>3000000</v>
          </cell>
          <cell r="K88">
            <v>20113.25</v>
          </cell>
          <cell r="L88">
            <v>0</v>
          </cell>
          <cell r="M88" t="str">
            <v>Not Due</v>
          </cell>
          <cell r="N88">
            <v>46228</v>
          </cell>
          <cell r="O88" t="str">
            <v>AFIA</v>
          </cell>
          <cell r="P88">
            <v>-26</v>
          </cell>
        </row>
        <row r="89">
          <cell r="B89" t="str">
            <v>Delta A</v>
          </cell>
          <cell r="C89" t="str">
            <v>Dakahlia - Al Yasmine</v>
          </cell>
          <cell r="D89" t="str">
            <v>Mohamed Kamel Ali - Ganna Mix</v>
          </cell>
          <cell r="E89" t="str">
            <v>D21_01640</v>
          </cell>
          <cell r="F89" t="str">
            <v>وكالة المنصورة</v>
          </cell>
          <cell r="G89" t="str">
            <v>K-Retail</v>
          </cell>
          <cell r="H89">
            <v>46154.577031168999</v>
          </cell>
          <cell r="I89" t="str">
            <v>D21_O_00262680</v>
          </cell>
          <cell r="J89">
            <v>100000</v>
          </cell>
          <cell r="K89">
            <v>63920.5</v>
          </cell>
          <cell r="L89">
            <v>63920.5</v>
          </cell>
          <cell r="M89" t="str">
            <v>31 : 60 Days</v>
          </cell>
          <cell r="N89">
            <v>46170</v>
          </cell>
          <cell r="O89" t="str">
            <v>AFIA</v>
          </cell>
          <cell r="P89">
            <v>32</v>
          </cell>
        </row>
        <row r="90">
          <cell r="B90" t="str">
            <v>Delta A</v>
          </cell>
          <cell r="C90" t="str">
            <v>Dakahlia - Al Yasmine</v>
          </cell>
          <cell r="D90" t="str">
            <v>Mohamed Kamel Ali - Ganna Mix</v>
          </cell>
          <cell r="E90" t="str">
            <v>D21_01678</v>
          </cell>
          <cell r="F90" t="str">
            <v>ميلانو</v>
          </cell>
          <cell r="G90" t="str">
            <v>W/s Consumer &amp; Industrial</v>
          </cell>
          <cell r="H90">
            <v>46201.6349184028</v>
          </cell>
          <cell r="I90" t="str">
            <v>D21_O_00270228</v>
          </cell>
          <cell r="J90">
            <v>600000</v>
          </cell>
          <cell r="K90">
            <v>251321</v>
          </cell>
          <cell r="L90">
            <v>0</v>
          </cell>
          <cell r="M90" t="str">
            <v>Not Due</v>
          </cell>
          <cell r="N90">
            <v>46212</v>
          </cell>
          <cell r="O90" t="str">
            <v>AFIA</v>
          </cell>
          <cell r="P90">
            <v>-10</v>
          </cell>
        </row>
        <row r="91">
          <cell r="B91" t="str">
            <v>Delta A</v>
          </cell>
          <cell r="C91" t="str">
            <v>Dakahlia - Al Yasmine</v>
          </cell>
          <cell r="D91" t="str">
            <v>Mohamed Mossad Fathey</v>
          </cell>
          <cell r="E91" t="str">
            <v>D21_M01559</v>
          </cell>
          <cell r="F91" t="str">
            <v>وكالة المنصورة</v>
          </cell>
          <cell r="G91" t="str">
            <v>K-Retail</v>
          </cell>
          <cell r="H91">
            <v>46181.725092905101</v>
          </cell>
          <cell r="I91" t="str">
            <v>D21_O_00267112</v>
          </cell>
          <cell r="J91">
            <v>1750000</v>
          </cell>
          <cell r="K91">
            <v>456966.68</v>
          </cell>
          <cell r="L91">
            <v>456966.68</v>
          </cell>
          <cell r="M91" t="str">
            <v>1 : 10 Days</v>
          </cell>
          <cell r="N91">
            <v>46197</v>
          </cell>
          <cell r="O91" t="str">
            <v>PASTA</v>
          </cell>
          <cell r="P91">
            <v>5</v>
          </cell>
        </row>
        <row r="92">
          <cell r="B92" t="str">
            <v>Delta A</v>
          </cell>
          <cell r="C92" t="str">
            <v>Dakahlia - Al Yasmine</v>
          </cell>
          <cell r="D92" t="str">
            <v>Mohamed Mossad Fathey</v>
          </cell>
          <cell r="E92" t="str">
            <v>D21_M01559</v>
          </cell>
          <cell r="F92" t="str">
            <v>وكالة المنصورة</v>
          </cell>
          <cell r="G92" t="str">
            <v>K-Retail</v>
          </cell>
          <cell r="H92">
            <v>46193.749976122701</v>
          </cell>
          <cell r="I92" t="str">
            <v>D21_O_00269094</v>
          </cell>
          <cell r="J92">
            <v>1750000</v>
          </cell>
          <cell r="K92">
            <v>238319.02</v>
          </cell>
          <cell r="L92">
            <v>0</v>
          </cell>
          <cell r="M92" t="str">
            <v>Not Due</v>
          </cell>
          <cell r="N92">
            <v>46209</v>
          </cell>
          <cell r="O92" t="str">
            <v>PASTA</v>
          </cell>
          <cell r="P92">
            <v>-7</v>
          </cell>
        </row>
        <row r="93">
          <cell r="B93" t="str">
            <v>Delta A</v>
          </cell>
          <cell r="C93" t="str">
            <v>Dakahlia - Al Yasmine</v>
          </cell>
          <cell r="D93" t="str">
            <v>Mohamed Mossad Fathey</v>
          </cell>
          <cell r="E93" t="str">
            <v>D21_M01559</v>
          </cell>
          <cell r="F93" t="str">
            <v>وكالة المنصورة</v>
          </cell>
          <cell r="G93" t="str">
            <v>K-Retail</v>
          </cell>
          <cell r="H93">
            <v>46196.511800775501</v>
          </cell>
          <cell r="I93" t="str">
            <v>D21_O_00269489</v>
          </cell>
          <cell r="J93">
            <v>1750000</v>
          </cell>
          <cell r="K93">
            <v>252449.42</v>
          </cell>
          <cell r="L93">
            <v>0</v>
          </cell>
          <cell r="M93" t="str">
            <v>Not Due</v>
          </cell>
          <cell r="N93">
            <v>46212</v>
          </cell>
          <cell r="O93" t="str">
            <v>PASTA</v>
          </cell>
          <cell r="P93">
            <v>-10</v>
          </cell>
        </row>
        <row r="94">
          <cell r="B94" t="str">
            <v>Delta A</v>
          </cell>
          <cell r="C94" t="str">
            <v>Dakahlia - Al Yasmine</v>
          </cell>
          <cell r="D94" t="str">
            <v>Mohamed Mounir Mohamed - Koshary</v>
          </cell>
          <cell r="E94" t="str">
            <v>D21_P01524</v>
          </cell>
          <cell r="F94" t="str">
            <v>كشري السندباد</v>
          </cell>
          <cell r="G94" t="str">
            <v>W/s Consumer &amp; Industrial</v>
          </cell>
          <cell r="H94">
            <v>46183</v>
          </cell>
          <cell r="I94" t="str">
            <v>D21_O_00267572</v>
          </cell>
          <cell r="J94">
            <v>75000</v>
          </cell>
          <cell r="K94">
            <v>68625</v>
          </cell>
          <cell r="L94">
            <v>68625</v>
          </cell>
          <cell r="M94" t="str">
            <v>1 : 10 Days</v>
          </cell>
          <cell r="N94">
            <v>46194</v>
          </cell>
          <cell r="O94" t="str">
            <v>PASTA</v>
          </cell>
          <cell r="P94">
            <v>8</v>
          </cell>
        </row>
        <row r="95">
          <cell r="B95" t="str">
            <v>Delta A</v>
          </cell>
          <cell r="C95" t="str">
            <v>Dakahlia - Al Yasmine</v>
          </cell>
          <cell r="D95" t="str">
            <v>Mohamed Mounir Mohamed - Koshary</v>
          </cell>
          <cell r="E95" t="str">
            <v>D21_P01641</v>
          </cell>
          <cell r="F95" t="str">
            <v>كشرى الثوره 2</v>
          </cell>
          <cell r="G95" t="str">
            <v>W/s Consumer &amp; Industrial</v>
          </cell>
          <cell r="H95">
            <v>46196</v>
          </cell>
          <cell r="I95" t="str">
            <v>D21_O_00269037</v>
          </cell>
          <cell r="J95">
            <v>700000</v>
          </cell>
          <cell r="K95">
            <v>669000</v>
          </cell>
          <cell r="L95">
            <v>0</v>
          </cell>
          <cell r="M95" t="str">
            <v>Not Due</v>
          </cell>
          <cell r="N95">
            <v>46207</v>
          </cell>
          <cell r="O95" t="str">
            <v>PASTA</v>
          </cell>
          <cell r="P95">
            <v>-5</v>
          </cell>
        </row>
        <row r="96">
          <cell r="B96" t="str">
            <v>Delta A</v>
          </cell>
          <cell r="C96" t="str">
            <v>Dakahlia - Al Yasmine</v>
          </cell>
          <cell r="D96" t="str">
            <v>Samir Ashraf Mahmoud</v>
          </cell>
          <cell r="E96" t="str">
            <v>D21_G01195</v>
          </cell>
          <cell r="F96" t="str">
            <v>شركة مكسب للتجارة و الالكترونية</v>
          </cell>
          <cell r="G96" t="str">
            <v>W/s Consumer &amp; Industrial</v>
          </cell>
          <cell r="H96">
            <v>46190</v>
          </cell>
          <cell r="I96" t="str">
            <v>D21_O_00268527</v>
          </cell>
          <cell r="J96">
            <v>1500000</v>
          </cell>
          <cell r="K96">
            <v>58677.75</v>
          </cell>
          <cell r="L96">
            <v>58677.75</v>
          </cell>
          <cell r="M96" t="str">
            <v>1 : 10 Days</v>
          </cell>
          <cell r="N96">
            <v>46201</v>
          </cell>
          <cell r="O96" t="str">
            <v>AFIA</v>
          </cell>
          <cell r="P96">
            <v>1</v>
          </cell>
        </row>
        <row r="97">
          <cell r="B97" t="str">
            <v>Delta A</v>
          </cell>
          <cell r="C97" t="str">
            <v>Dakahlia - Al Yasmine</v>
          </cell>
          <cell r="D97" t="str">
            <v>Samir Ashraf Mahmoud</v>
          </cell>
          <cell r="E97" t="str">
            <v>D21_G01195</v>
          </cell>
          <cell r="F97" t="str">
            <v>شركة مكسب للتجارة و الالكترونية</v>
          </cell>
          <cell r="G97" t="str">
            <v>W/s Consumer &amp; Industrial</v>
          </cell>
          <cell r="H97">
            <v>46194</v>
          </cell>
          <cell r="I97" t="str">
            <v>D21_O_00269086</v>
          </cell>
          <cell r="J97">
            <v>1500000</v>
          </cell>
          <cell r="K97">
            <v>54402</v>
          </cell>
          <cell r="L97">
            <v>0</v>
          </cell>
          <cell r="M97" t="str">
            <v>Not Due</v>
          </cell>
          <cell r="N97">
            <v>46205</v>
          </cell>
          <cell r="O97" t="str">
            <v>AFIA</v>
          </cell>
          <cell r="P97">
            <v>-3</v>
          </cell>
        </row>
        <row r="98">
          <cell r="B98" t="str">
            <v>Delta A</v>
          </cell>
          <cell r="C98" t="str">
            <v>Dakahlia - Al Yasmine</v>
          </cell>
          <cell r="D98" t="str">
            <v>Samir Ashraf Mahmoud</v>
          </cell>
          <cell r="E98" t="str">
            <v>D21_G01195</v>
          </cell>
          <cell r="F98" t="str">
            <v>شركة مكسب للتجارة و الالكترونية</v>
          </cell>
          <cell r="G98" t="str">
            <v>W/s Consumer &amp; Industrial</v>
          </cell>
          <cell r="H98">
            <v>46194</v>
          </cell>
          <cell r="I98" t="str">
            <v>D21_O_00269089</v>
          </cell>
          <cell r="J98">
            <v>1500000</v>
          </cell>
          <cell r="K98">
            <v>72461.94</v>
          </cell>
          <cell r="L98">
            <v>0</v>
          </cell>
          <cell r="M98" t="str">
            <v>Not Due</v>
          </cell>
          <cell r="N98">
            <v>46205</v>
          </cell>
          <cell r="O98" t="str">
            <v>AFIA</v>
          </cell>
          <cell r="P98">
            <v>-3</v>
          </cell>
        </row>
        <row r="99">
          <cell r="B99" t="str">
            <v>Delta A</v>
          </cell>
          <cell r="C99" t="str">
            <v>Dakahlia - Al Yasmine</v>
          </cell>
          <cell r="D99" t="str">
            <v>Samir Ashraf Mahmoud</v>
          </cell>
          <cell r="E99" t="str">
            <v>D21_G01195</v>
          </cell>
          <cell r="F99" t="str">
            <v>شركة مكسب للتجارة و الالكترونية</v>
          </cell>
          <cell r="G99" t="str">
            <v>W/s Consumer &amp; Industrial</v>
          </cell>
          <cell r="H99">
            <v>46201</v>
          </cell>
          <cell r="I99" t="str">
            <v>D21_O_00258531</v>
          </cell>
          <cell r="J99">
            <v>1500000</v>
          </cell>
          <cell r="K99">
            <v>183976.63</v>
          </cell>
          <cell r="L99">
            <v>0</v>
          </cell>
          <cell r="M99" t="str">
            <v>Not Due</v>
          </cell>
          <cell r="N99">
            <v>46212</v>
          </cell>
          <cell r="O99" t="str">
            <v>AFIA</v>
          </cell>
          <cell r="P99">
            <v>-10</v>
          </cell>
        </row>
        <row r="100">
          <cell r="B100" t="str">
            <v>Delta A</v>
          </cell>
          <cell r="C100" t="str">
            <v>Dakahlia - Al Yasmine</v>
          </cell>
          <cell r="D100" t="str">
            <v>Samir Ashraf Mahmoud</v>
          </cell>
          <cell r="E100" t="str">
            <v>D21_G02347</v>
          </cell>
          <cell r="F100" t="str">
            <v>مصطفى حسيب</v>
          </cell>
          <cell r="G100" t="str">
            <v>W/s Consumer &amp; Industrial</v>
          </cell>
          <cell r="H100">
            <v>46081.670436770801</v>
          </cell>
          <cell r="I100" t="str">
            <v>D21_O_00250727</v>
          </cell>
          <cell r="J100">
            <v>10000000</v>
          </cell>
          <cell r="K100">
            <v>1219556.58</v>
          </cell>
          <cell r="L100">
            <v>1219556.58</v>
          </cell>
          <cell r="M100" t="str">
            <v>61 : 120 Days</v>
          </cell>
          <cell r="N100">
            <v>46097</v>
          </cell>
          <cell r="O100" t="str">
            <v>AFIA</v>
          </cell>
          <cell r="P100">
            <v>105</v>
          </cell>
        </row>
        <row r="101">
          <cell r="B101" t="str">
            <v>Delta A</v>
          </cell>
          <cell r="C101" t="str">
            <v>Dakahlia - Al Yasmine</v>
          </cell>
          <cell r="D101" t="str">
            <v>Samir Ashraf Mahmoud</v>
          </cell>
          <cell r="E101" t="str">
            <v>D21_G02347</v>
          </cell>
          <cell r="F101" t="str">
            <v>مصطفى حسيب</v>
          </cell>
          <cell r="G101" t="str">
            <v>W/s Consumer &amp; Industrial</v>
          </cell>
          <cell r="H101">
            <v>46088.969087187499</v>
          </cell>
          <cell r="I101" t="str">
            <v>D21_O_00252359</v>
          </cell>
          <cell r="J101">
            <v>10000000</v>
          </cell>
          <cell r="K101">
            <v>7963401.2400000002</v>
          </cell>
          <cell r="L101">
            <v>7963401.2400000002</v>
          </cell>
          <cell r="M101" t="str">
            <v>61 : 120 Days</v>
          </cell>
          <cell r="N101">
            <v>46104</v>
          </cell>
          <cell r="O101" t="str">
            <v>AFIA</v>
          </cell>
          <cell r="P101">
            <v>98</v>
          </cell>
        </row>
        <row r="102">
          <cell r="B102" t="str">
            <v>Delta A</v>
          </cell>
          <cell r="C102" t="str">
            <v>Dakahlia - Al Yasmine</v>
          </cell>
          <cell r="D102" t="str">
            <v>Samir Ashraf Mahmoud</v>
          </cell>
          <cell r="E102" t="str">
            <v>D21_G02347</v>
          </cell>
          <cell r="F102" t="str">
            <v>مصطفى حسيب</v>
          </cell>
          <cell r="G102" t="str">
            <v>W/s Consumer &amp; Industrial</v>
          </cell>
          <cell r="H102">
            <v>46179.476179664402</v>
          </cell>
          <cell r="I102" t="str">
            <v>D21_O_00266424</v>
          </cell>
          <cell r="J102">
            <v>10000000</v>
          </cell>
          <cell r="K102">
            <v>311600</v>
          </cell>
          <cell r="L102">
            <v>311600</v>
          </cell>
          <cell r="M102" t="str">
            <v>11 : 20 Days</v>
          </cell>
          <cell r="N102">
            <v>46190</v>
          </cell>
          <cell r="O102" t="str">
            <v>AFIA</v>
          </cell>
          <cell r="P102">
            <v>12</v>
          </cell>
        </row>
        <row r="103">
          <cell r="B103" t="str">
            <v>Delta A</v>
          </cell>
          <cell r="C103" t="str">
            <v>Dakahlia - Al Yasmine</v>
          </cell>
          <cell r="D103" t="str">
            <v>Samir Ashraf Mahmoud</v>
          </cell>
          <cell r="E103" t="str">
            <v>D21_G02347</v>
          </cell>
          <cell r="F103" t="str">
            <v>مصطفى حسيب</v>
          </cell>
          <cell r="G103" t="str">
            <v>W/s Consumer &amp; Industrial</v>
          </cell>
          <cell r="H103">
            <v>46182.521045219903</v>
          </cell>
          <cell r="I103" t="str">
            <v>D21_O_00267163</v>
          </cell>
          <cell r="J103">
            <v>10000000</v>
          </cell>
          <cell r="K103">
            <v>79092.37</v>
          </cell>
          <cell r="L103">
            <v>79092.37</v>
          </cell>
          <cell r="M103" t="str">
            <v>1 : 10 Days</v>
          </cell>
          <cell r="N103">
            <v>46193</v>
          </cell>
          <cell r="O103" t="str">
            <v>AFIA</v>
          </cell>
          <cell r="P103">
            <v>9</v>
          </cell>
        </row>
        <row r="104">
          <cell r="B104" t="str">
            <v>Delta A</v>
          </cell>
          <cell r="C104" t="str">
            <v>Dakahlia - Al Yasmine</v>
          </cell>
          <cell r="D104" t="str">
            <v>Samir Ashraf Mahmoud</v>
          </cell>
          <cell r="E104" t="str">
            <v>D21_G02347</v>
          </cell>
          <cell r="F104" t="str">
            <v>مصطفى حسيب</v>
          </cell>
          <cell r="G104" t="str">
            <v>W/s Consumer &amp; Industrial</v>
          </cell>
          <cell r="H104">
            <v>46184.445903703701</v>
          </cell>
          <cell r="I104" t="str">
            <v>D21_O_00267589</v>
          </cell>
          <cell r="J104">
            <v>10000000</v>
          </cell>
          <cell r="K104">
            <v>121643.48</v>
          </cell>
          <cell r="L104">
            <v>121643.48</v>
          </cell>
          <cell r="M104" t="str">
            <v>1 : 10 Days</v>
          </cell>
          <cell r="N104">
            <v>46195</v>
          </cell>
          <cell r="O104" t="str">
            <v>AFIA</v>
          </cell>
          <cell r="P104">
            <v>7</v>
          </cell>
        </row>
        <row r="105">
          <cell r="B105" t="str">
            <v>Delta A</v>
          </cell>
          <cell r="C105" t="str">
            <v>Dakahlia - Al Yasmine</v>
          </cell>
          <cell r="D105" t="str">
            <v>Samir Ashraf Mahmoud</v>
          </cell>
          <cell r="E105" t="str">
            <v>D21_G02347</v>
          </cell>
          <cell r="F105" t="str">
            <v>مصطفى حسيب</v>
          </cell>
          <cell r="G105" t="str">
            <v>W/s Consumer &amp; Industrial</v>
          </cell>
          <cell r="H105">
            <v>46190.512163310203</v>
          </cell>
          <cell r="I105" t="str">
            <v>D21_O_00268560</v>
          </cell>
          <cell r="J105">
            <v>10000000</v>
          </cell>
          <cell r="K105">
            <v>115996.25</v>
          </cell>
          <cell r="L105">
            <v>115996.25</v>
          </cell>
          <cell r="M105" t="str">
            <v>1 : 10 Days</v>
          </cell>
          <cell r="N105">
            <v>46201</v>
          </cell>
          <cell r="O105" t="str">
            <v>AFIA</v>
          </cell>
          <cell r="P105">
            <v>1</v>
          </cell>
        </row>
        <row r="106">
          <cell r="B106" t="str">
            <v>Delta A</v>
          </cell>
          <cell r="C106" t="str">
            <v>Dakahlia - Al Yasmine</v>
          </cell>
          <cell r="D106" t="str">
            <v>Samir Ashraf Mahmoud</v>
          </cell>
          <cell r="E106" t="str">
            <v>D21_G02347</v>
          </cell>
          <cell r="F106" t="str">
            <v>مصطفى حسيب</v>
          </cell>
          <cell r="G106" t="str">
            <v>W/s Consumer &amp; Industrial</v>
          </cell>
          <cell r="H106">
            <v>46191.538906018497</v>
          </cell>
          <cell r="I106" t="str">
            <v>D21_O_00268756</v>
          </cell>
          <cell r="J106">
            <v>10000000</v>
          </cell>
          <cell r="K106">
            <v>116032</v>
          </cell>
          <cell r="L106">
            <v>0</v>
          </cell>
          <cell r="M106" t="str">
            <v>Not Due</v>
          </cell>
          <cell r="N106">
            <v>46202</v>
          </cell>
          <cell r="O106" t="str">
            <v>AFIA</v>
          </cell>
          <cell r="P106">
            <v>0</v>
          </cell>
        </row>
        <row r="107">
          <cell r="B107" t="str">
            <v>Delta A</v>
          </cell>
          <cell r="C107" t="str">
            <v>Damietta - Khaled Ismaiel Al-Fath</v>
          </cell>
          <cell r="D107" t="str">
            <v>Al Saied Ibrahim Abdel Aal</v>
          </cell>
          <cell r="E107" t="str">
            <v>D22_R01835</v>
          </cell>
          <cell r="F107" t="str">
            <v>احمد الشامى</v>
          </cell>
          <cell r="G107" t="str">
            <v>W/s Consumer &amp; Industrial</v>
          </cell>
          <cell r="H107">
            <v>46175.375278854197</v>
          </cell>
          <cell r="I107" t="str">
            <v>D22_O_00256229</v>
          </cell>
          <cell r="J107">
            <v>1000000</v>
          </cell>
          <cell r="K107">
            <v>39480</v>
          </cell>
          <cell r="L107">
            <v>39480</v>
          </cell>
          <cell r="M107" t="str">
            <v>11 : 20 Days</v>
          </cell>
          <cell r="N107">
            <v>46186</v>
          </cell>
          <cell r="O107" t="str">
            <v>AFIA</v>
          </cell>
          <cell r="P107">
            <v>16</v>
          </cell>
        </row>
        <row r="108">
          <cell r="B108" t="str">
            <v>Delta A</v>
          </cell>
          <cell r="C108" t="str">
            <v>Damietta - Khaled Ismaiel Al-Fath</v>
          </cell>
          <cell r="D108" t="str">
            <v>Al Saied Ibrahim Abdel Aal</v>
          </cell>
          <cell r="E108" t="str">
            <v>D22_R01835</v>
          </cell>
          <cell r="F108" t="str">
            <v>احمد الشامى</v>
          </cell>
          <cell r="G108" t="str">
            <v>W/s Consumer &amp; Industrial</v>
          </cell>
          <cell r="H108">
            <v>46183.375195914399</v>
          </cell>
          <cell r="I108" t="str">
            <v>D22_O_00257725</v>
          </cell>
          <cell r="J108">
            <v>1000000</v>
          </cell>
          <cell r="K108">
            <v>153920</v>
          </cell>
          <cell r="L108">
            <v>153920</v>
          </cell>
          <cell r="M108" t="str">
            <v>1 : 10 Days</v>
          </cell>
          <cell r="N108">
            <v>46194</v>
          </cell>
          <cell r="O108" t="str">
            <v>AFIA</v>
          </cell>
          <cell r="P108">
            <v>8</v>
          </cell>
        </row>
        <row r="109">
          <cell r="B109" t="str">
            <v>Delta A</v>
          </cell>
          <cell r="C109" t="str">
            <v>Damietta - Khaled Ismaiel Al-Fath</v>
          </cell>
          <cell r="D109" t="str">
            <v>Al Saied Ibrahim Abdel Aal</v>
          </cell>
          <cell r="E109" t="str">
            <v>D22_R01835</v>
          </cell>
          <cell r="F109" t="str">
            <v>احمد الشامى</v>
          </cell>
          <cell r="G109" t="str">
            <v>W/s Consumer &amp; Industrial</v>
          </cell>
          <cell r="H109">
            <v>46184</v>
          </cell>
          <cell r="I109" t="str">
            <v>D22_O_00239537</v>
          </cell>
          <cell r="J109">
            <v>1000000</v>
          </cell>
          <cell r="K109">
            <v>23200</v>
          </cell>
          <cell r="L109">
            <v>23200</v>
          </cell>
          <cell r="M109" t="str">
            <v>1 : 10 Days</v>
          </cell>
          <cell r="N109">
            <v>46195</v>
          </cell>
          <cell r="O109" t="str">
            <v>AFIA</v>
          </cell>
          <cell r="P109">
            <v>7</v>
          </cell>
        </row>
        <row r="110">
          <cell r="B110" t="str">
            <v>Delta A</v>
          </cell>
          <cell r="C110" t="str">
            <v>Damietta - Khaled Ismaiel Al-Fath</v>
          </cell>
          <cell r="D110" t="str">
            <v>Al Saied Ibrahim Abdel Aal</v>
          </cell>
          <cell r="E110" t="str">
            <v>D22_R01835</v>
          </cell>
          <cell r="F110" t="str">
            <v>احمد الشامى</v>
          </cell>
          <cell r="G110" t="str">
            <v>W/s Consumer &amp; Industrial</v>
          </cell>
          <cell r="H110">
            <v>46188</v>
          </cell>
          <cell r="I110" t="str">
            <v>D22_O_00236683</v>
          </cell>
          <cell r="J110">
            <v>1000000</v>
          </cell>
          <cell r="K110">
            <v>46400</v>
          </cell>
          <cell r="L110">
            <v>46400</v>
          </cell>
          <cell r="M110" t="str">
            <v>1 : 10 Days</v>
          </cell>
          <cell r="N110">
            <v>46199</v>
          </cell>
          <cell r="O110" t="str">
            <v>AFIA</v>
          </cell>
          <cell r="P110">
            <v>3</v>
          </cell>
        </row>
        <row r="111">
          <cell r="B111" t="str">
            <v>Delta A</v>
          </cell>
          <cell r="C111" t="str">
            <v>Damietta - Khaled Ismaiel Al-Fath</v>
          </cell>
          <cell r="D111" t="str">
            <v>Al Saied Ibrahim Abdel Aal</v>
          </cell>
          <cell r="E111" t="str">
            <v>D22_R01835</v>
          </cell>
          <cell r="F111" t="str">
            <v>احمد الشامى</v>
          </cell>
          <cell r="G111" t="str">
            <v>W/s Consumer &amp; Industrial</v>
          </cell>
          <cell r="H111">
            <v>46194</v>
          </cell>
          <cell r="I111" t="str">
            <v>D22_O_00233474</v>
          </cell>
          <cell r="J111">
            <v>1000000</v>
          </cell>
          <cell r="K111">
            <v>82880</v>
          </cell>
          <cell r="L111">
            <v>0</v>
          </cell>
          <cell r="M111" t="str">
            <v>Not Due</v>
          </cell>
          <cell r="N111">
            <v>46205</v>
          </cell>
          <cell r="O111" t="str">
            <v>AFIA</v>
          </cell>
          <cell r="P111">
            <v>-3</v>
          </cell>
        </row>
        <row r="112">
          <cell r="B112" t="str">
            <v>Delta A</v>
          </cell>
          <cell r="C112" t="str">
            <v>Damietta - Khaled Ismaiel Al-Fath</v>
          </cell>
          <cell r="D112" t="str">
            <v>Al Saied Ibrahim Abdel Aal</v>
          </cell>
          <cell r="E112" t="str">
            <v>D22_R01835</v>
          </cell>
          <cell r="F112" t="str">
            <v>احمد الشامى</v>
          </cell>
          <cell r="G112" t="str">
            <v>W/s Consumer &amp; Industrial</v>
          </cell>
          <cell r="H112">
            <v>46195.697996527801</v>
          </cell>
          <cell r="I112" t="str">
            <v>D22_O_00259626</v>
          </cell>
          <cell r="J112">
            <v>1000000</v>
          </cell>
          <cell r="K112">
            <v>549120</v>
          </cell>
          <cell r="L112">
            <v>0</v>
          </cell>
          <cell r="M112" t="str">
            <v>Not Due</v>
          </cell>
          <cell r="N112">
            <v>46206</v>
          </cell>
          <cell r="O112" t="str">
            <v>AFIA</v>
          </cell>
          <cell r="P112">
            <v>-4</v>
          </cell>
        </row>
        <row r="113">
          <cell r="B113" t="str">
            <v>Delta A</v>
          </cell>
          <cell r="C113" t="str">
            <v>Damietta - Khaled Ismaiel Al-Fath</v>
          </cell>
          <cell r="D113" t="str">
            <v>Al Saied Ibrahim Abdel Aal</v>
          </cell>
          <cell r="E113" t="str">
            <v>D22_R01843</v>
          </cell>
          <cell r="F113" t="str">
            <v>الجميل</v>
          </cell>
          <cell r="G113" t="str">
            <v>W/s Consumer &amp; Industrial</v>
          </cell>
          <cell r="H113">
            <v>46180.462284108798</v>
          </cell>
          <cell r="I113" t="str">
            <v>D22_O_00257164</v>
          </cell>
          <cell r="J113">
            <v>50000</v>
          </cell>
          <cell r="K113">
            <v>24000</v>
          </cell>
          <cell r="L113">
            <v>24000</v>
          </cell>
          <cell r="M113" t="str">
            <v>11 : 20 Days</v>
          </cell>
          <cell r="N113">
            <v>46191</v>
          </cell>
          <cell r="O113" t="str">
            <v>AFIA</v>
          </cell>
          <cell r="P113">
            <v>11</v>
          </cell>
        </row>
        <row r="114">
          <cell r="B114" t="str">
            <v>Delta A</v>
          </cell>
          <cell r="C114" t="str">
            <v>Damietta - Khaled Ismaiel Al-Fath</v>
          </cell>
          <cell r="D114" t="str">
            <v>Al Saied Ibrahim Abdel Aal</v>
          </cell>
          <cell r="E114" t="str">
            <v>D22_R01852</v>
          </cell>
          <cell r="F114" t="str">
            <v>ايهاب مرجان</v>
          </cell>
          <cell r="G114" t="str">
            <v>W/s Consumer &amp; Industrial</v>
          </cell>
          <cell r="H114">
            <v>46177</v>
          </cell>
          <cell r="I114" t="str">
            <v>D22_O_00254132</v>
          </cell>
          <cell r="J114">
            <v>400000</v>
          </cell>
          <cell r="K114">
            <v>17436.82</v>
          </cell>
          <cell r="L114">
            <v>17436.82</v>
          </cell>
          <cell r="M114" t="str">
            <v>11 : 20 Days</v>
          </cell>
          <cell r="N114">
            <v>46188</v>
          </cell>
          <cell r="O114" t="str">
            <v>AFIA</v>
          </cell>
          <cell r="P114">
            <v>14</v>
          </cell>
        </row>
        <row r="115">
          <cell r="B115" t="str">
            <v>Delta A</v>
          </cell>
          <cell r="C115" t="str">
            <v>Damietta - Khaled Ismaiel Al-Fath</v>
          </cell>
          <cell r="D115" t="str">
            <v>Al Saied Ibrahim Abdel Aal</v>
          </cell>
          <cell r="E115" t="str">
            <v>D22_R01852</v>
          </cell>
          <cell r="F115" t="str">
            <v>ايهاب مرجان</v>
          </cell>
          <cell r="G115" t="str">
            <v>W/s Consumer &amp; Industrial</v>
          </cell>
          <cell r="H115">
            <v>46181</v>
          </cell>
          <cell r="I115" t="str">
            <v>D22_O_00256941</v>
          </cell>
          <cell r="J115">
            <v>400000</v>
          </cell>
          <cell r="K115">
            <v>69113.27</v>
          </cell>
          <cell r="L115">
            <v>69113.27</v>
          </cell>
          <cell r="M115" t="str">
            <v>1 : 10 Days</v>
          </cell>
          <cell r="N115">
            <v>46192</v>
          </cell>
          <cell r="O115" t="str">
            <v>AFIA</v>
          </cell>
          <cell r="P115">
            <v>10</v>
          </cell>
        </row>
        <row r="116">
          <cell r="B116" t="str">
            <v>Delta A</v>
          </cell>
          <cell r="C116" t="str">
            <v>Damietta - Khaled Ismaiel Al-Fath</v>
          </cell>
          <cell r="D116" t="str">
            <v>Al Saied Ibrahim Abdel Aal</v>
          </cell>
          <cell r="E116" t="str">
            <v>D22_R01852</v>
          </cell>
          <cell r="F116" t="str">
            <v>ايهاب مرجان</v>
          </cell>
          <cell r="G116" t="str">
            <v>W/s Consumer &amp; Industrial</v>
          </cell>
          <cell r="H116">
            <v>46191</v>
          </cell>
          <cell r="I116" t="str">
            <v>D22_O_00258100</v>
          </cell>
          <cell r="J116">
            <v>400000</v>
          </cell>
          <cell r="K116">
            <v>190166.05</v>
          </cell>
          <cell r="L116">
            <v>0</v>
          </cell>
          <cell r="M116" t="str">
            <v>Not Due</v>
          </cell>
          <cell r="N116">
            <v>46202</v>
          </cell>
          <cell r="O116" t="str">
            <v>AFIA</v>
          </cell>
          <cell r="P116">
            <v>0</v>
          </cell>
        </row>
        <row r="117">
          <cell r="B117" t="str">
            <v>Delta A</v>
          </cell>
          <cell r="C117" t="str">
            <v>Damietta - Khaled Ismaiel Al-Fath</v>
          </cell>
          <cell r="D117" t="str">
            <v>Al Saied Ibrahim Abdel Aal</v>
          </cell>
          <cell r="E117" t="str">
            <v>D22_R01855</v>
          </cell>
          <cell r="F117" t="str">
            <v>حسن منتصر</v>
          </cell>
          <cell r="G117" t="str">
            <v>W/s Consumer &amp; Industrial</v>
          </cell>
          <cell r="H117">
            <v>46183</v>
          </cell>
          <cell r="I117" t="str">
            <v>D22_O_00257590</v>
          </cell>
          <cell r="J117">
            <v>240000</v>
          </cell>
          <cell r="K117">
            <v>24000.9</v>
          </cell>
          <cell r="L117">
            <v>24000.9</v>
          </cell>
          <cell r="M117" t="str">
            <v>1 : 10 Days</v>
          </cell>
          <cell r="N117">
            <v>46194</v>
          </cell>
          <cell r="O117" t="str">
            <v>AFIA</v>
          </cell>
          <cell r="P117">
            <v>8</v>
          </cell>
        </row>
        <row r="118">
          <cell r="B118" t="str">
            <v>Delta A</v>
          </cell>
          <cell r="C118" t="str">
            <v>Damietta - Khaled Ismaiel Al-Fath</v>
          </cell>
          <cell r="D118" t="str">
            <v>Al Saied Ibrahim Abdel Aal</v>
          </cell>
          <cell r="E118" t="str">
            <v>D22_R01855</v>
          </cell>
          <cell r="F118" t="str">
            <v>حسن منتصر</v>
          </cell>
          <cell r="G118" t="str">
            <v>W/s Consumer &amp; Industrial</v>
          </cell>
          <cell r="H118">
            <v>46200.373602465297</v>
          </cell>
          <cell r="I118" t="str">
            <v>D22_O_00260210</v>
          </cell>
          <cell r="J118">
            <v>240000</v>
          </cell>
          <cell r="K118">
            <v>59200</v>
          </cell>
          <cell r="L118">
            <v>0</v>
          </cell>
          <cell r="M118" t="str">
            <v>Not Due</v>
          </cell>
          <cell r="N118">
            <v>46211</v>
          </cell>
          <cell r="O118" t="str">
            <v>AFIA</v>
          </cell>
          <cell r="P118">
            <v>-9</v>
          </cell>
        </row>
        <row r="119">
          <cell r="B119" t="str">
            <v>Delta A</v>
          </cell>
          <cell r="C119" t="str">
            <v>Damietta - Khaled Ismaiel Al-Fath</v>
          </cell>
          <cell r="D119" t="str">
            <v>Al Saied Ibrahim Abdel Aal</v>
          </cell>
          <cell r="E119" t="str">
            <v>D22_R01858</v>
          </cell>
          <cell r="F119" t="str">
            <v>رامى الشامى</v>
          </cell>
          <cell r="G119" t="str">
            <v>W/s Consumer &amp; Industrial</v>
          </cell>
          <cell r="H119">
            <v>46200.379163275502</v>
          </cell>
          <cell r="I119" t="str">
            <v>D22_O_00260211</v>
          </cell>
          <cell r="J119">
            <v>150000</v>
          </cell>
          <cell r="K119">
            <v>148000</v>
          </cell>
          <cell r="L119">
            <v>0</v>
          </cell>
          <cell r="M119" t="str">
            <v>Not Due</v>
          </cell>
          <cell r="N119">
            <v>46211</v>
          </cell>
          <cell r="O119" t="str">
            <v>AFIA</v>
          </cell>
          <cell r="P119">
            <v>-9</v>
          </cell>
        </row>
        <row r="120">
          <cell r="B120" t="str">
            <v>Delta A</v>
          </cell>
          <cell r="C120" t="str">
            <v>Damietta - Khaled Ismaiel Al-Fath</v>
          </cell>
          <cell r="D120" t="str">
            <v>Al Saied Ibrahim Abdel Aal</v>
          </cell>
          <cell r="E120" t="str">
            <v>D22_R01860</v>
          </cell>
          <cell r="F120" t="str">
            <v>زكريا عيد</v>
          </cell>
          <cell r="G120" t="str">
            <v>W/s Consumer &amp; Industrial</v>
          </cell>
          <cell r="H120">
            <v>46176</v>
          </cell>
          <cell r="I120" t="str">
            <v>D22_O_00243786</v>
          </cell>
          <cell r="J120">
            <v>100000</v>
          </cell>
          <cell r="K120">
            <v>37075.78</v>
          </cell>
          <cell r="L120">
            <v>37075.78</v>
          </cell>
          <cell r="M120" t="str">
            <v>11 : 20 Days</v>
          </cell>
          <cell r="N120">
            <v>46187</v>
          </cell>
          <cell r="O120" t="str">
            <v>AFIA</v>
          </cell>
          <cell r="P120">
            <v>15</v>
          </cell>
        </row>
        <row r="121">
          <cell r="B121" t="str">
            <v>Delta A</v>
          </cell>
          <cell r="C121" t="str">
            <v>Damietta - Khaled Ismaiel Al-Fath</v>
          </cell>
          <cell r="D121" t="str">
            <v>Al Saied Ibrahim Abdel Aal</v>
          </cell>
          <cell r="E121" t="str">
            <v>D22_R01860</v>
          </cell>
          <cell r="F121" t="str">
            <v>زكريا عيد</v>
          </cell>
          <cell r="G121" t="str">
            <v>W/s Consumer &amp; Industrial</v>
          </cell>
          <cell r="H121">
            <v>46200</v>
          </cell>
          <cell r="I121" t="str">
            <v>D22_O_00259135</v>
          </cell>
          <cell r="J121">
            <v>100000</v>
          </cell>
          <cell r="K121">
            <v>5332.28</v>
          </cell>
          <cell r="L121">
            <v>0</v>
          </cell>
          <cell r="M121" t="str">
            <v>Not Due</v>
          </cell>
          <cell r="N121">
            <v>46211</v>
          </cell>
          <cell r="O121" t="str">
            <v>AFIA</v>
          </cell>
          <cell r="P121">
            <v>-9</v>
          </cell>
        </row>
        <row r="122">
          <cell r="B122" t="str">
            <v>Delta A</v>
          </cell>
          <cell r="C122" t="str">
            <v>Damietta - Khaled Ismaiel Al-Fath</v>
          </cell>
          <cell r="D122" t="str">
            <v>Al Saied Ibrahim Abdel Aal</v>
          </cell>
          <cell r="E122" t="str">
            <v>D22_R01863</v>
          </cell>
          <cell r="F122" t="str">
            <v>شركة الرحمة</v>
          </cell>
          <cell r="G122" t="str">
            <v>W/s Consumer &amp; Industrial</v>
          </cell>
          <cell r="H122">
            <v>46156</v>
          </cell>
          <cell r="I122" t="str">
            <v>D22_O_00236673</v>
          </cell>
          <cell r="J122">
            <v>12000000</v>
          </cell>
          <cell r="K122">
            <v>616800</v>
          </cell>
          <cell r="L122">
            <v>616800</v>
          </cell>
          <cell r="M122" t="str">
            <v>31 : 60 Days</v>
          </cell>
          <cell r="N122">
            <v>46167</v>
          </cell>
          <cell r="O122" t="str">
            <v>AFIA</v>
          </cell>
          <cell r="P122">
            <v>35</v>
          </cell>
        </row>
        <row r="123">
          <cell r="B123" t="str">
            <v>Delta A</v>
          </cell>
          <cell r="C123" t="str">
            <v>Damietta - Khaled Ismaiel Al-Fath</v>
          </cell>
          <cell r="D123" t="str">
            <v>Al Saied Ibrahim Abdel Aal</v>
          </cell>
          <cell r="E123" t="str">
            <v>D22_R01863</v>
          </cell>
          <cell r="F123" t="str">
            <v>شركة الرحمة</v>
          </cell>
          <cell r="G123" t="str">
            <v>W/s Consumer &amp; Industrial</v>
          </cell>
          <cell r="H123">
            <v>46156</v>
          </cell>
          <cell r="I123" t="str">
            <v>D22_O_00236674</v>
          </cell>
          <cell r="J123">
            <v>12000000</v>
          </cell>
          <cell r="K123">
            <v>1529152.5</v>
          </cell>
          <cell r="L123">
            <v>1529152.5</v>
          </cell>
          <cell r="M123" t="str">
            <v>31 : 60 Days</v>
          </cell>
          <cell r="N123">
            <v>46167</v>
          </cell>
          <cell r="O123" t="str">
            <v>AFIA</v>
          </cell>
          <cell r="P123">
            <v>35</v>
          </cell>
        </row>
        <row r="124">
          <cell r="B124" t="str">
            <v>Delta A</v>
          </cell>
          <cell r="C124" t="str">
            <v>Damietta - Khaled Ismaiel Al-Fath</v>
          </cell>
          <cell r="D124" t="str">
            <v>Al Saied Ibrahim Abdel Aal</v>
          </cell>
          <cell r="E124" t="str">
            <v>D22_R01863</v>
          </cell>
          <cell r="F124" t="str">
            <v>شركة الرحمة</v>
          </cell>
          <cell r="G124" t="str">
            <v>W/s Consumer &amp; Industrial</v>
          </cell>
          <cell r="H124">
            <v>46159</v>
          </cell>
          <cell r="I124" t="str">
            <v>D22_O_00232973</v>
          </cell>
          <cell r="J124">
            <v>12000000</v>
          </cell>
          <cell r="K124">
            <v>247459.97</v>
          </cell>
          <cell r="L124">
            <v>247459.97</v>
          </cell>
          <cell r="M124" t="str">
            <v>31 : 60 Days</v>
          </cell>
          <cell r="N124">
            <v>46170</v>
          </cell>
          <cell r="O124" t="str">
            <v>AFIA</v>
          </cell>
          <cell r="P124">
            <v>32</v>
          </cell>
        </row>
        <row r="125">
          <cell r="B125" t="str">
            <v>Delta A</v>
          </cell>
          <cell r="C125" t="str">
            <v>Damietta - Khaled Ismaiel Al-Fath</v>
          </cell>
          <cell r="D125" t="str">
            <v>Al Saied Ibrahim Abdel Aal</v>
          </cell>
          <cell r="E125" t="str">
            <v>D22_R01863</v>
          </cell>
          <cell r="F125" t="str">
            <v>شركة الرحمة</v>
          </cell>
          <cell r="G125" t="str">
            <v>W/s Consumer &amp; Industrial</v>
          </cell>
          <cell r="H125">
            <v>46161.439212233803</v>
          </cell>
          <cell r="I125" t="str">
            <v>D22_O_00254585</v>
          </cell>
          <cell r="J125">
            <v>12000000</v>
          </cell>
          <cell r="K125">
            <v>430099.20000000001</v>
          </cell>
          <cell r="L125">
            <v>430099.20000000001</v>
          </cell>
          <cell r="M125" t="str">
            <v>21 : 30 Days</v>
          </cell>
          <cell r="N125">
            <v>46172</v>
          </cell>
          <cell r="O125" t="str">
            <v>AFIA</v>
          </cell>
          <cell r="P125">
            <v>30</v>
          </cell>
        </row>
        <row r="126">
          <cell r="B126" t="str">
            <v>Delta A</v>
          </cell>
          <cell r="C126" t="str">
            <v>Damietta - Khaled Ismaiel Al-Fath</v>
          </cell>
          <cell r="D126" t="str">
            <v>Al Saied Ibrahim Abdel Aal</v>
          </cell>
          <cell r="E126" t="str">
            <v>D22_R01863</v>
          </cell>
          <cell r="F126" t="str">
            <v>شركة الرحمة</v>
          </cell>
          <cell r="G126" t="str">
            <v>W/s Consumer &amp; Industrial</v>
          </cell>
          <cell r="H126">
            <v>46163</v>
          </cell>
          <cell r="I126" t="str">
            <v>D22_O_00232051</v>
          </cell>
          <cell r="J126">
            <v>12000000</v>
          </cell>
          <cell r="K126">
            <v>659200</v>
          </cell>
          <cell r="L126">
            <v>659200</v>
          </cell>
          <cell r="M126" t="str">
            <v>21 : 30 Days</v>
          </cell>
          <cell r="N126">
            <v>46174</v>
          </cell>
          <cell r="O126" t="str">
            <v>AFIA</v>
          </cell>
          <cell r="P126">
            <v>28</v>
          </cell>
        </row>
        <row r="127">
          <cell r="B127" t="str">
            <v>Delta A</v>
          </cell>
          <cell r="C127" t="str">
            <v>Damietta - Khaled Ismaiel Al-Fath</v>
          </cell>
          <cell r="D127" t="str">
            <v>Al Saied Ibrahim Abdel Aal</v>
          </cell>
          <cell r="E127" t="str">
            <v>D22_R01863</v>
          </cell>
          <cell r="F127" t="str">
            <v>شركة الرحمة</v>
          </cell>
          <cell r="G127" t="str">
            <v>W/s Consumer &amp; Industrial</v>
          </cell>
          <cell r="H127">
            <v>46167</v>
          </cell>
          <cell r="I127" t="str">
            <v>D22_O_00255200</v>
          </cell>
          <cell r="J127">
            <v>12000000</v>
          </cell>
          <cell r="K127">
            <v>1537600</v>
          </cell>
          <cell r="L127">
            <v>1537600</v>
          </cell>
          <cell r="M127" t="str">
            <v>21 : 30 Days</v>
          </cell>
          <cell r="N127">
            <v>46178</v>
          </cell>
          <cell r="O127" t="str">
            <v>AFIA</v>
          </cell>
          <cell r="P127">
            <v>24</v>
          </cell>
        </row>
        <row r="128">
          <cell r="B128" t="str">
            <v>Delta A</v>
          </cell>
          <cell r="C128" t="str">
            <v>Damietta - Khaled Ismaiel Al-Fath</v>
          </cell>
          <cell r="D128" t="str">
            <v>Al Saied Ibrahim Abdel Aal</v>
          </cell>
          <cell r="E128" t="str">
            <v>D22_R01863</v>
          </cell>
          <cell r="F128" t="str">
            <v>شركة الرحمة</v>
          </cell>
          <cell r="G128" t="str">
            <v>W/s Consumer &amp; Industrial</v>
          </cell>
          <cell r="H128">
            <v>46179</v>
          </cell>
          <cell r="I128" t="str">
            <v>D22_O_00256233</v>
          </cell>
          <cell r="J128">
            <v>12000000</v>
          </cell>
          <cell r="K128">
            <v>108640</v>
          </cell>
          <cell r="L128">
            <v>108640</v>
          </cell>
          <cell r="M128" t="str">
            <v>11 : 20 Days</v>
          </cell>
          <cell r="N128">
            <v>46190</v>
          </cell>
          <cell r="O128" t="str">
            <v>AFIA</v>
          </cell>
          <cell r="P128">
            <v>12</v>
          </cell>
        </row>
        <row r="129">
          <cell r="B129" t="str">
            <v>Delta A</v>
          </cell>
          <cell r="C129" t="str">
            <v>Damietta - Khaled Ismaiel Al-Fath</v>
          </cell>
          <cell r="D129" t="str">
            <v>Al Saied Ibrahim Abdel Aal</v>
          </cell>
          <cell r="E129" t="str">
            <v>D22_R01863</v>
          </cell>
          <cell r="F129" t="str">
            <v>شركة الرحمة</v>
          </cell>
          <cell r="G129" t="str">
            <v>W/s Consumer &amp; Industrial</v>
          </cell>
          <cell r="H129">
            <v>46189.442475694399</v>
          </cell>
          <cell r="I129" t="str">
            <v>D22_O_00258600</v>
          </cell>
          <cell r="J129">
            <v>12000000</v>
          </cell>
          <cell r="K129">
            <v>592000</v>
          </cell>
          <cell r="L129">
            <v>592000</v>
          </cell>
          <cell r="M129" t="str">
            <v>1 : 10 Days</v>
          </cell>
          <cell r="N129">
            <v>46200</v>
          </cell>
          <cell r="O129" t="str">
            <v>AFIA</v>
          </cell>
          <cell r="P129">
            <v>2</v>
          </cell>
        </row>
        <row r="130">
          <cell r="B130" t="str">
            <v>Delta A</v>
          </cell>
          <cell r="C130" t="str">
            <v>Damietta - Khaled Ismaiel Al-Fath</v>
          </cell>
          <cell r="D130" t="str">
            <v>Al Saied Ibrahim Abdel Aal</v>
          </cell>
          <cell r="E130" t="str">
            <v>D22_R01863</v>
          </cell>
          <cell r="F130" t="str">
            <v>شركة الرحمة</v>
          </cell>
          <cell r="G130" t="str">
            <v>W/s Consumer &amp; Industrial</v>
          </cell>
          <cell r="H130">
            <v>46193.390834340302</v>
          </cell>
          <cell r="I130" t="str">
            <v>D22_O_00259097</v>
          </cell>
          <cell r="J130">
            <v>12000000</v>
          </cell>
          <cell r="K130">
            <v>821888</v>
          </cell>
          <cell r="L130">
            <v>0</v>
          </cell>
          <cell r="M130" t="str">
            <v>Not Due</v>
          </cell>
          <cell r="N130">
            <v>46204</v>
          </cell>
          <cell r="O130" t="str">
            <v>AFIA</v>
          </cell>
          <cell r="P130">
            <v>-2</v>
          </cell>
        </row>
        <row r="131">
          <cell r="B131" t="str">
            <v>Delta A</v>
          </cell>
          <cell r="C131" t="str">
            <v>Damietta - Khaled Ismaiel Al-Fath</v>
          </cell>
          <cell r="D131" t="str">
            <v>Al Saied Ibrahim Abdel Aal</v>
          </cell>
          <cell r="E131" t="str">
            <v>D22_R01869</v>
          </cell>
          <cell r="F131" t="str">
            <v>عبده الشافعى</v>
          </cell>
          <cell r="G131" t="str">
            <v>W/s Consumer &amp; Industrial</v>
          </cell>
          <cell r="H131">
            <v>46176</v>
          </cell>
          <cell r="I131" t="str">
            <v>D22_O_00252315</v>
          </cell>
          <cell r="J131">
            <v>50000</v>
          </cell>
          <cell r="K131">
            <v>46779.65</v>
          </cell>
          <cell r="L131">
            <v>46779.65</v>
          </cell>
          <cell r="M131" t="str">
            <v>11 : 20 Days</v>
          </cell>
          <cell r="N131">
            <v>46187</v>
          </cell>
          <cell r="O131" t="str">
            <v>AFIA</v>
          </cell>
          <cell r="P131">
            <v>15</v>
          </cell>
        </row>
        <row r="132">
          <cell r="B132" t="str">
            <v>Delta A</v>
          </cell>
          <cell r="C132" t="str">
            <v>Damietta - Khaled Ismaiel Al-Fath</v>
          </cell>
          <cell r="D132" t="str">
            <v>Al Saied Ibrahim Abdel Aal</v>
          </cell>
          <cell r="E132" t="str">
            <v>D22_R01872</v>
          </cell>
          <cell r="F132" t="str">
            <v>عزت الشربينى</v>
          </cell>
          <cell r="G132" t="str">
            <v>W/s Consumer &amp; Industrial</v>
          </cell>
          <cell r="H132">
            <v>46188</v>
          </cell>
          <cell r="I132" t="str">
            <v>D22_O_00258096</v>
          </cell>
          <cell r="J132">
            <v>300000</v>
          </cell>
          <cell r="K132">
            <v>35350.39</v>
          </cell>
          <cell r="L132">
            <v>35350.39</v>
          </cell>
          <cell r="M132" t="str">
            <v>1 : 10 Days</v>
          </cell>
          <cell r="N132">
            <v>46199</v>
          </cell>
          <cell r="O132" t="str">
            <v>AFIA</v>
          </cell>
          <cell r="P132">
            <v>3</v>
          </cell>
        </row>
        <row r="133">
          <cell r="B133" t="str">
            <v>Delta A</v>
          </cell>
          <cell r="C133" t="str">
            <v>Damietta - Khaled Ismaiel Al-Fath</v>
          </cell>
          <cell r="D133" t="str">
            <v>Al Saied Ibrahim Abdel Aal</v>
          </cell>
          <cell r="E133" t="str">
            <v>D22_R01872</v>
          </cell>
          <cell r="F133" t="str">
            <v>عزت الشربينى</v>
          </cell>
          <cell r="G133" t="str">
            <v>W/s Consumer &amp; Industrial</v>
          </cell>
          <cell r="H133">
            <v>46194</v>
          </cell>
          <cell r="I133" t="str">
            <v>D22_O_00259111</v>
          </cell>
          <cell r="J133">
            <v>300000</v>
          </cell>
          <cell r="K133">
            <v>31730.34</v>
          </cell>
          <cell r="L133">
            <v>0</v>
          </cell>
          <cell r="M133" t="str">
            <v>Not Due</v>
          </cell>
          <cell r="N133">
            <v>46205</v>
          </cell>
          <cell r="O133" t="str">
            <v>AFIA</v>
          </cell>
          <cell r="P133">
            <v>-3</v>
          </cell>
        </row>
        <row r="134">
          <cell r="B134" t="str">
            <v>Delta A</v>
          </cell>
          <cell r="C134" t="str">
            <v>Damietta - Khaled Ismaiel Al-Fath</v>
          </cell>
          <cell r="D134" t="str">
            <v>Al Saied Ibrahim Abdel Aal</v>
          </cell>
          <cell r="E134" t="str">
            <v>D22_R01874</v>
          </cell>
          <cell r="F134" t="str">
            <v>عمرو محرز</v>
          </cell>
          <cell r="G134" t="str">
            <v>W/s Consumer &amp; Industrial</v>
          </cell>
          <cell r="H134">
            <v>46198</v>
          </cell>
          <cell r="I134" t="str">
            <v>D22_O_00259291</v>
          </cell>
          <cell r="J134">
            <v>250000</v>
          </cell>
          <cell r="K134">
            <v>5442.28</v>
          </cell>
          <cell r="L134">
            <v>0</v>
          </cell>
          <cell r="M134" t="str">
            <v>Not Due</v>
          </cell>
          <cell r="N134">
            <v>46209</v>
          </cell>
          <cell r="O134" t="str">
            <v>AFIA</v>
          </cell>
          <cell r="P134">
            <v>-7</v>
          </cell>
        </row>
        <row r="135">
          <cell r="B135" t="str">
            <v>Delta A</v>
          </cell>
          <cell r="C135" t="str">
            <v>Damietta - Khaled Ismaiel Al-Fath</v>
          </cell>
          <cell r="D135" t="str">
            <v>Al Saied Ibrahim Abdel Aal</v>
          </cell>
          <cell r="E135" t="str">
            <v>D22_R01875</v>
          </cell>
          <cell r="F135" t="str">
            <v>عوض عبد الدايم</v>
          </cell>
          <cell r="G135" t="str">
            <v>W/s Consumer &amp; Industrial</v>
          </cell>
          <cell r="H135">
            <v>46195.417918634303</v>
          </cell>
          <cell r="I135" t="str">
            <v>D22_O_00259471</v>
          </cell>
          <cell r="J135">
            <v>200000</v>
          </cell>
          <cell r="K135">
            <v>51678.82</v>
          </cell>
          <cell r="L135">
            <v>0</v>
          </cell>
          <cell r="M135" t="str">
            <v>Not Due</v>
          </cell>
          <cell r="N135">
            <v>46206</v>
          </cell>
          <cell r="O135" t="str">
            <v>AFIA</v>
          </cell>
          <cell r="P135">
            <v>-4</v>
          </cell>
        </row>
        <row r="136">
          <cell r="B136" t="str">
            <v>Delta A</v>
          </cell>
          <cell r="C136" t="str">
            <v>Damietta - Khaled Ismaiel Al-Fath</v>
          </cell>
          <cell r="D136" t="str">
            <v>Al Saied Ibrahim Abdel Aal</v>
          </cell>
          <cell r="E136" t="str">
            <v>D22_R01893</v>
          </cell>
          <cell r="F136" t="str">
            <v>ياسر عثمان</v>
          </cell>
          <cell r="G136" t="str">
            <v>W/s Consumer &amp; Industrial</v>
          </cell>
          <cell r="H136">
            <v>46191</v>
          </cell>
          <cell r="I136" t="str">
            <v>D22_O_00258074</v>
          </cell>
          <cell r="J136">
            <v>100000</v>
          </cell>
          <cell r="K136">
            <v>71762.06</v>
          </cell>
          <cell r="L136">
            <v>0</v>
          </cell>
          <cell r="M136" t="str">
            <v>Not Due</v>
          </cell>
          <cell r="N136">
            <v>46202</v>
          </cell>
          <cell r="O136" t="str">
            <v>AFIA</v>
          </cell>
          <cell r="P136">
            <v>0</v>
          </cell>
        </row>
        <row r="137">
          <cell r="B137" t="str">
            <v>Delta A</v>
          </cell>
          <cell r="C137" t="str">
            <v>Damietta - Khaled Ismaiel Al-Fath</v>
          </cell>
          <cell r="D137" t="str">
            <v>Al Saied Ibrahim Abdel Aal</v>
          </cell>
          <cell r="E137" t="str">
            <v>D22_R01972</v>
          </cell>
          <cell r="F137" t="str">
            <v>منصور السيد سالم على</v>
          </cell>
          <cell r="G137" t="str">
            <v>W/s Consumer &amp; Industrial</v>
          </cell>
          <cell r="H137">
            <v>46147</v>
          </cell>
          <cell r="I137" t="str">
            <v>D22_O_00252164</v>
          </cell>
          <cell r="J137">
            <v>300000</v>
          </cell>
          <cell r="K137">
            <v>204936.45</v>
          </cell>
          <cell r="L137">
            <v>204936.45</v>
          </cell>
          <cell r="M137" t="str">
            <v>31 : 60 Days</v>
          </cell>
          <cell r="N137">
            <v>46158</v>
          </cell>
          <cell r="O137" t="str">
            <v>AFIA</v>
          </cell>
          <cell r="P137">
            <v>44</v>
          </cell>
        </row>
        <row r="138">
          <cell r="B138" t="str">
            <v>Delta A</v>
          </cell>
          <cell r="C138" t="str">
            <v>Damietta - Khaled Ismaiel Al-Fath</v>
          </cell>
          <cell r="D138" t="str">
            <v>Al Saied Ibrahim Abdel Aal</v>
          </cell>
          <cell r="E138" t="str">
            <v>D22_R01972</v>
          </cell>
          <cell r="F138" t="str">
            <v>منصور السيد سالم على</v>
          </cell>
          <cell r="G138" t="str">
            <v>W/s Consumer &amp; Industrial</v>
          </cell>
          <cell r="H138">
            <v>46173</v>
          </cell>
          <cell r="I138" t="str">
            <v>D22_O_00237039</v>
          </cell>
          <cell r="J138">
            <v>300000</v>
          </cell>
          <cell r="K138">
            <v>40608.94</v>
          </cell>
          <cell r="L138">
            <v>40608.94</v>
          </cell>
          <cell r="M138" t="str">
            <v>11 : 20 Days</v>
          </cell>
          <cell r="N138">
            <v>46184</v>
          </cell>
          <cell r="O138" t="str">
            <v>AFIA</v>
          </cell>
          <cell r="P138">
            <v>18</v>
          </cell>
        </row>
        <row r="139">
          <cell r="B139" t="str">
            <v>Delta A</v>
          </cell>
          <cell r="C139" t="str">
            <v>Damietta - Khaled Ismaiel Al-Fath</v>
          </cell>
          <cell r="D139" t="str">
            <v>Al Saied Ibrahim Abdel Aal</v>
          </cell>
          <cell r="E139" t="str">
            <v>D22_R02215</v>
          </cell>
          <cell r="F139" t="str">
            <v>يحيى عيد</v>
          </cell>
          <cell r="G139" t="str">
            <v>W/s Consumer &amp; Industrial</v>
          </cell>
          <cell r="H139">
            <v>46189</v>
          </cell>
          <cell r="I139" t="str">
            <v>D22_O_00258108</v>
          </cell>
          <cell r="J139">
            <v>150000</v>
          </cell>
          <cell r="K139">
            <v>6925.73</v>
          </cell>
          <cell r="L139">
            <v>6925.73</v>
          </cell>
          <cell r="M139" t="str">
            <v>1 : 10 Days</v>
          </cell>
          <cell r="N139">
            <v>46200</v>
          </cell>
          <cell r="O139" t="str">
            <v>AFIA</v>
          </cell>
          <cell r="P139">
            <v>2</v>
          </cell>
        </row>
        <row r="140">
          <cell r="B140" t="str">
            <v>Delta A</v>
          </cell>
          <cell r="C140" t="str">
            <v>Damietta - Khaled Ismaiel Al-Fath</v>
          </cell>
          <cell r="D140" t="str">
            <v>Gamal Hassan Al souhagy</v>
          </cell>
          <cell r="E140" t="str">
            <v>D22_G01898</v>
          </cell>
          <cell r="F140" t="str">
            <v>احمد عبدالله</v>
          </cell>
          <cell r="G140" t="str">
            <v>W/s Consumer &amp; Industrial</v>
          </cell>
          <cell r="H140">
            <v>46179</v>
          </cell>
          <cell r="I140" t="str">
            <v>D22_O_00252746</v>
          </cell>
          <cell r="J140">
            <v>75000</v>
          </cell>
          <cell r="K140">
            <v>1042</v>
          </cell>
          <cell r="L140">
            <v>1042</v>
          </cell>
          <cell r="M140" t="str">
            <v>11 : 20 Days</v>
          </cell>
          <cell r="N140">
            <v>46190</v>
          </cell>
          <cell r="O140" t="str">
            <v>PASTA</v>
          </cell>
          <cell r="P140">
            <v>12</v>
          </cell>
        </row>
        <row r="141">
          <cell r="B141" t="str">
            <v>Delta A</v>
          </cell>
          <cell r="C141" t="str">
            <v>Damietta - Khaled Ismaiel Al-Fath</v>
          </cell>
          <cell r="D141" t="str">
            <v>Gamal Hassan Al souhagy</v>
          </cell>
          <cell r="E141" t="str">
            <v>D22_G01899</v>
          </cell>
          <cell r="F141" t="str">
            <v>الاتحاد التعاونى</v>
          </cell>
          <cell r="G141" t="str">
            <v>W/s Consumer &amp; Industrial</v>
          </cell>
          <cell r="H141">
            <v>46184</v>
          </cell>
          <cell r="I141" t="str">
            <v>D22_O_00257895</v>
          </cell>
          <cell r="J141">
            <v>30000</v>
          </cell>
          <cell r="K141">
            <v>23134.6</v>
          </cell>
          <cell r="L141">
            <v>23134.6</v>
          </cell>
          <cell r="M141" t="str">
            <v>1 : 10 Days</v>
          </cell>
          <cell r="N141">
            <v>46195</v>
          </cell>
          <cell r="O141" t="str">
            <v>PASTA</v>
          </cell>
          <cell r="P141">
            <v>7</v>
          </cell>
        </row>
        <row r="142">
          <cell r="B142" t="str">
            <v>Delta A</v>
          </cell>
          <cell r="C142" t="str">
            <v>Damietta - Khaled Ismaiel Al-Fath</v>
          </cell>
          <cell r="D142" t="str">
            <v>Gamal Hassan Al souhagy</v>
          </cell>
          <cell r="E142" t="str">
            <v>D22_G01907</v>
          </cell>
          <cell r="F142" t="str">
            <v>الفردوس</v>
          </cell>
          <cell r="G142" t="str">
            <v>W/s Consumer &amp; Industrial</v>
          </cell>
          <cell r="H142">
            <v>46195</v>
          </cell>
          <cell r="I142" t="str">
            <v>D22_O_00258786</v>
          </cell>
          <cell r="J142">
            <v>100000</v>
          </cell>
          <cell r="K142">
            <v>45664</v>
          </cell>
          <cell r="L142">
            <v>0</v>
          </cell>
          <cell r="M142" t="str">
            <v>Not Due</v>
          </cell>
          <cell r="N142">
            <v>46206</v>
          </cell>
          <cell r="O142" t="str">
            <v>PASTA</v>
          </cell>
          <cell r="P142">
            <v>-4</v>
          </cell>
        </row>
        <row r="143">
          <cell r="B143" t="str">
            <v>Delta A</v>
          </cell>
          <cell r="C143" t="str">
            <v>Damietta - Khaled Ismaiel Al-Fath</v>
          </cell>
          <cell r="D143" t="str">
            <v>Gamal Hassan Al souhagy</v>
          </cell>
          <cell r="E143" t="str">
            <v>D22_G01909</v>
          </cell>
          <cell r="F143" t="str">
            <v>ايمن عبد الله</v>
          </cell>
          <cell r="G143" t="str">
            <v>W/s Consumer &amp; Industrial</v>
          </cell>
          <cell r="H143">
            <v>46188</v>
          </cell>
          <cell r="I143" t="str">
            <v>D22_O_00258216</v>
          </cell>
          <cell r="J143">
            <v>30000</v>
          </cell>
          <cell r="K143">
            <v>29999.99</v>
          </cell>
          <cell r="L143">
            <v>29999.99</v>
          </cell>
          <cell r="M143" t="str">
            <v>1 : 10 Days</v>
          </cell>
          <cell r="N143">
            <v>46199</v>
          </cell>
          <cell r="O143" t="str">
            <v>PASTA</v>
          </cell>
          <cell r="P143">
            <v>3</v>
          </cell>
        </row>
        <row r="144">
          <cell r="B144" t="str">
            <v>Delta A</v>
          </cell>
          <cell r="C144" t="str">
            <v>Damietta - Khaled Ismaiel Al-Fath</v>
          </cell>
          <cell r="D144" t="str">
            <v>Gamal Hassan Al souhagy</v>
          </cell>
          <cell r="E144" t="str">
            <v>D22_G01910</v>
          </cell>
          <cell r="F144" t="str">
            <v>جنة المؤمنيين</v>
          </cell>
          <cell r="G144" t="str">
            <v>W/s Consumer &amp; Industrial</v>
          </cell>
          <cell r="H144">
            <v>46197</v>
          </cell>
          <cell r="I144" t="str">
            <v>D22_O_00259812</v>
          </cell>
          <cell r="J144">
            <v>150000</v>
          </cell>
          <cell r="K144">
            <v>135814</v>
          </cell>
          <cell r="L144">
            <v>0</v>
          </cell>
          <cell r="M144" t="str">
            <v>Not Due</v>
          </cell>
          <cell r="N144">
            <v>46208</v>
          </cell>
          <cell r="O144" t="str">
            <v>PASTA</v>
          </cell>
          <cell r="P144">
            <v>-6</v>
          </cell>
        </row>
        <row r="145">
          <cell r="B145" t="str">
            <v>Delta A</v>
          </cell>
          <cell r="C145" t="str">
            <v>Damietta - Khaled Ismaiel Al-Fath</v>
          </cell>
          <cell r="D145" t="str">
            <v>Gamal Hassan Al souhagy</v>
          </cell>
          <cell r="E145" t="str">
            <v>D22_G01913</v>
          </cell>
          <cell r="F145" t="str">
            <v>سامح عبد الله</v>
          </cell>
          <cell r="G145" t="str">
            <v>W/s Consumer &amp; Industrial</v>
          </cell>
          <cell r="H145">
            <v>46188</v>
          </cell>
          <cell r="I145" t="str">
            <v>D22_O_00258048</v>
          </cell>
          <cell r="J145">
            <v>50000</v>
          </cell>
          <cell r="K145">
            <v>5001</v>
          </cell>
          <cell r="L145">
            <v>5001</v>
          </cell>
          <cell r="M145" t="str">
            <v>1 : 10 Days</v>
          </cell>
          <cell r="N145">
            <v>46199</v>
          </cell>
          <cell r="O145" t="str">
            <v>PASTA</v>
          </cell>
          <cell r="P145">
            <v>3</v>
          </cell>
        </row>
        <row r="146">
          <cell r="B146" t="str">
            <v>Delta A</v>
          </cell>
          <cell r="C146" t="str">
            <v>Damietta - Khaled Ismaiel Al-Fath</v>
          </cell>
          <cell r="D146" t="str">
            <v>Gamal Hassan Al souhagy</v>
          </cell>
          <cell r="E146" t="str">
            <v>D22_G01916</v>
          </cell>
          <cell r="F146" t="str">
            <v>سعد شطا</v>
          </cell>
          <cell r="G146" t="str">
            <v>W/s Consumer &amp; Industrial</v>
          </cell>
          <cell r="H146">
            <v>46155</v>
          </cell>
          <cell r="I146" t="str">
            <v>D22_O_00253368</v>
          </cell>
          <cell r="J146">
            <v>50000</v>
          </cell>
          <cell r="K146">
            <v>21694.49</v>
          </cell>
          <cell r="L146">
            <v>21694.49</v>
          </cell>
          <cell r="M146" t="str">
            <v>31 : 60 Days</v>
          </cell>
          <cell r="N146">
            <v>46166</v>
          </cell>
          <cell r="O146" t="str">
            <v>PASTA</v>
          </cell>
          <cell r="P146">
            <v>36</v>
          </cell>
        </row>
        <row r="147">
          <cell r="B147" t="str">
            <v>Delta A</v>
          </cell>
          <cell r="C147" t="str">
            <v>Damietta - Khaled Ismaiel Al-Fath</v>
          </cell>
          <cell r="D147" t="str">
            <v>Gamal Hassan Al souhagy</v>
          </cell>
          <cell r="E147" t="str">
            <v>D22_G01923</v>
          </cell>
          <cell r="F147" t="str">
            <v>فتحى حجازى</v>
          </cell>
          <cell r="G147" t="str">
            <v>W/s Consumer &amp; Industrial</v>
          </cell>
          <cell r="H147">
            <v>46189</v>
          </cell>
          <cell r="I147" t="str">
            <v>D22_O_00258236</v>
          </cell>
          <cell r="J147">
            <v>50000</v>
          </cell>
          <cell r="K147">
            <v>49872.99</v>
          </cell>
          <cell r="L147">
            <v>49872.99</v>
          </cell>
          <cell r="M147" t="str">
            <v>1 : 10 Days</v>
          </cell>
          <cell r="N147">
            <v>46200</v>
          </cell>
          <cell r="O147" t="str">
            <v>PASTA</v>
          </cell>
          <cell r="P147">
            <v>2</v>
          </cell>
        </row>
        <row r="148">
          <cell r="B148" t="str">
            <v>Delta A</v>
          </cell>
          <cell r="C148" t="str">
            <v>Damietta - Khaled Ismaiel Al-Fath</v>
          </cell>
          <cell r="D148" t="str">
            <v>Gamal Hassan Al souhagy</v>
          </cell>
          <cell r="E148" t="str">
            <v>D22_G01924</v>
          </cell>
          <cell r="F148" t="str">
            <v>فتحى خميس</v>
          </cell>
          <cell r="G148" t="str">
            <v>W/s Consumer &amp; Industrial</v>
          </cell>
          <cell r="H148">
            <v>46194</v>
          </cell>
          <cell r="I148" t="str">
            <v>D22_O_00235559</v>
          </cell>
          <cell r="J148">
            <v>125000</v>
          </cell>
          <cell r="K148">
            <v>124999.99</v>
          </cell>
          <cell r="L148">
            <v>0</v>
          </cell>
          <cell r="M148" t="str">
            <v>Not Due</v>
          </cell>
          <cell r="N148">
            <v>46205</v>
          </cell>
          <cell r="O148" t="str">
            <v>PASTA</v>
          </cell>
          <cell r="P148">
            <v>-3</v>
          </cell>
        </row>
        <row r="149">
          <cell r="B149" t="str">
            <v>Delta A</v>
          </cell>
          <cell r="C149" t="str">
            <v>Damietta - Khaled Ismaiel Al-Fath</v>
          </cell>
          <cell r="D149" t="str">
            <v>Gamal Hassan Al souhagy</v>
          </cell>
          <cell r="E149" t="str">
            <v>D22_G01926</v>
          </cell>
          <cell r="F149" t="str">
            <v>محمد المليجى</v>
          </cell>
          <cell r="G149" t="str">
            <v>W/s Consumer &amp; Industrial</v>
          </cell>
          <cell r="H149">
            <v>46201</v>
          </cell>
          <cell r="I149" t="str">
            <v>D22_O_00259849</v>
          </cell>
          <cell r="J149">
            <v>75000</v>
          </cell>
          <cell r="K149">
            <v>52832</v>
          </cell>
          <cell r="L149">
            <v>0</v>
          </cell>
          <cell r="M149" t="str">
            <v>Not Due</v>
          </cell>
          <cell r="N149">
            <v>46212</v>
          </cell>
          <cell r="O149" t="str">
            <v>PASTA</v>
          </cell>
          <cell r="P149">
            <v>-10</v>
          </cell>
        </row>
        <row r="150">
          <cell r="B150" t="str">
            <v>Delta A</v>
          </cell>
          <cell r="C150" t="str">
            <v>Damietta - Khaled Ismaiel Al-Fath</v>
          </cell>
          <cell r="D150" t="str">
            <v>Gamal Hassan Al souhagy</v>
          </cell>
          <cell r="E150" t="str">
            <v>D22_G01934</v>
          </cell>
          <cell r="F150" t="str">
            <v>هندام</v>
          </cell>
          <cell r="G150" t="str">
            <v>W/s Consumer &amp; Industrial</v>
          </cell>
          <cell r="H150">
            <v>46186</v>
          </cell>
          <cell r="I150" t="str">
            <v>D22_O_00257019</v>
          </cell>
          <cell r="J150">
            <v>25000</v>
          </cell>
          <cell r="K150">
            <v>15499.99</v>
          </cell>
          <cell r="L150">
            <v>15499.99</v>
          </cell>
          <cell r="M150" t="str">
            <v>1 : 10 Days</v>
          </cell>
          <cell r="N150">
            <v>46197</v>
          </cell>
          <cell r="O150" t="str">
            <v>PASTA</v>
          </cell>
          <cell r="P150">
            <v>5</v>
          </cell>
        </row>
        <row r="151">
          <cell r="B151" t="str">
            <v>Delta A</v>
          </cell>
          <cell r="C151" t="str">
            <v>Damietta - Khaled Ismaiel Al-Fath</v>
          </cell>
          <cell r="D151" t="str">
            <v>Gamal Hassan Al souhagy</v>
          </cell>
          <cell r="E151" t="str">
            <v>D22_G01969</v>
          </cell>
          <cell r="F151" t="str">
            <v>عارف العشرى</v>
          </cell>
          <cell r="G151" t="str">
            <v>W/s Consumer &amp; Industrial</v>
          </cell>
          <cell r="H151">
            <v>46189</v>
          </cell>
          <cell r="I151" t="str">
            <v>D22_O_00256225</v>
          </cell>
          <cell r="J151">
            <v>25000</v>
          </cell>
          <cell r="K151">
            <v>24999.99</v>
          </cell>
          <cell r="L151">
            <v>24999.99</v>
          </cell>
          <cell r="M151" t="str">
            <v>1 : 10 Days</v>
          </cell>
          <cell r="N151">
            <v>46200</v>
          </cell>
          <cell r="O151" t="str">
            <v>PASTA</v>
          </cell>
          <cell r="P151">
            <v>2</v>
          </cell>
        </row>
        <row r="152">
          <cell r="B152" t="str">
            <v>Delta A</v>
          </cell>
          <cell r="C152" t="str">
            <v>Damietta - Khaled Ismaiel Al-Fath</v>
          </cell>
          <cell r="D152" t="str">
            <v>Gamal Hassan Al souhagy</v>
          </cell>
          <cell r="E152" t="str">
            <v>D22_G01974</v>
          </cell>
          <cell r="F152" t="str">
            <v>محمد الشيخ</v>
          </cell>
          <cell r="G152" t="str">
            <v>W/s Consumer &amp; Industrial</v>
          </cell>
          <cell r="H152">
            <v>46194</v>
          </cell>
          <cell r="I152" t="str">
            <v>D22_O_00239528</v>
          </cell>
          <cell r="J152">
            <v>25000</v>
          </cell>
          <cell r="K152">
            <v>24999.99</v>
          </cell>
          <cell r="L152">
            <v>0</v>
          </cell>
          <cell r="M152" t="str">
            <v>Not Due</v>
          </cell>
          <cell r="N152">
            <v>46205</v>
          </cell>
          <cell r="O152" t="str">
            <v>PASTA</v>
          </cell>
          <cell r="P152">
            <v>-3</v>
          </cell>
        </row>
        <row r="153">
          <cell r="B153" t="str">
            <v>Delta A</v>
          </cell>
          <cell r="C153" t="str">
            <v>Damietta - Khaled Ismaiel Al-Fath</v>
          </cell>
          <cell r="D153" t="str">
            <v>Gamal Hassan Al souhagy</v>
          </cell>
          <cell r="E153" t="str">
            <v>D22_G02216</v>
          </cell>
          <cell r="F153" t="str">
            <v>الطازج</v>
          </cell>
          <cell r="G153" t="str">
            <v>W/s Consumer &amp; Industrial</v>
          </cell>
          <cell r="H153">
            <v>46194</v>
          </cell>
          <cell r="I153" t="str">
            <v>D22_O_00258266</v>
          </cell>
          <cell r="J153">
            <v>25000</v>
          </cell>
          <cell r="K153">
            <v>24999.99</v>
          </cell>
          <cell r="L153">
            <v>0</v>
          </cell>
          <cell r="M153" t="str">
            <v>Not Due</v>
          </cell>
          <cell r="N153">
            <v>46205</v>
          </cell>
          <cell r="O153" t="str">
            <v>PASTA</v>
          </cell>
          <cell r="P153">
            <v>-3</v>
          </cell>
        </row>
        <row r="154">
          <cell r="B154" t="str">
            <v>Delta A</v>
          </cell>
          <cell r="C154" t="str">
            <v>Damietta - Khaled Ismaiel Al-Fath</v>
          </cell>
          <cell r="D154" t="str">
            <v>Islam Ashraf Al tabaey</v>
          </cell>
          <cell r="E154" t="str">
            <v>D22_G01863</v>
          </cell>
          <cell r="F154" t="str">
            <v>شركة الرحمة</v>
          </cell>
          <cell r="G154" t="str">
            <v>W/s Consumer &amp; Industrial</v>
          </cell>
          <cell r="H154">
            <v>46186</v>
          </cell>
          <cell r="I154" t="str">
            <v>D22_O_00256619</v>
          </cell>
          <cell r="J154">
            <v>4000000</v>
          </cell>
          <cell r="K154">
            <v>599374.91</v>
          </cell>
          <cell r="L154">
            <v>599374.91</v>
          </cell>
          <cell r="M154" t="str">
            <v>1 : 10 Days</v>
          </cell>
          <cell r="N154">
            <v>46197</v>
          </cell>
          <cell r="O154" t="str">
            <v>PASTA</v>
          </cell>
          <cell r="P154">
            <v>5</v>
          </cell>
        </row>
        <row r="155">
          <cell r="B155" t="str">
            <v>Delta A</v>
          </cell>
          <cell r="C155" t="str">
            <v>Damietta - Khaled Ismaiel Al-Fath</v>
          </cell>
          <cell r="D155" t="str">
            <v>Islam Ashraf Al tabaey</v>
          </cell>
          <cell r="E155" t="str">
            <v>D22_G01863</v>
          </cell>
          <cell r="F155" t="str">
            <v>شركة الرحمة</v>
          </cell>
          <cell r="G155" t="str">
            <v>W/s Consumer &amp; Industrial</v>
          </cell>
          <cell r="H155">
            <v>46201.512531446802</v>
          </cell>
          <cell r="I155" t="str">
            <v>D22_O_00260387</v>
          </cell>
          <cell r="J155">
            <v>4000000</v>
          </cell>
          <cell r="K155">
            <v>924560</v>
          </cell>
          <cell r="L155">
            <v>0</v>
          </cell>
          <cell r="M155" t="str">
            <v>Not Due</v>
          </cell>
          <cell r="N155">
            <v>46212</v>
          </cell>
          <cell r="O155" t="str">
            <v>PASTA</v>
          </cell>
          <cell r="P155">
            <v>-10</v>
          </cell>
        </row>
        <row r="156">
          <cell r="B156" t="str">
            <v>Delta A</v>
          </cell>
          <cell r="C156" t="str">
            <v>Damietta - Khaled Ismaiel Al-Fath</v>
          </cell>
          <cell r="D156" t="str">
            <v>Islam Ashraf Al tabaey</v>
          </cell>
          <cell r="E156" t="str">
            <v>D22_G01874</v>
          </cell>
          <cell r="F156" t="str">
            <v>عمرو محرز</v>
          </cell>
          <cell r="G156" t="str">
            <v>W/s Consumer &amp; Industrial</v>
          </cell>
          <cell r="H156">
            <v>46196</v>
          </cell>
          <cell r="I156" t="str">
            <v>D22_O_00257726</v>
          </cell>
          <cell r="J156">
            <v>1500000</v>
          </cell>
          <cell r="K156">
            <v>1499870.78</v>
          </cell>
          <cell r="L156">
            <v>0</v>
          </cell>
          <cell r="M156" t="str">
            <v>Not Due</v>
          </cell>
          <cell r="N156">
            <v>46207</v>
          </cell>
          <cell r="O156" t="str">
            <v>PASTA</v>
          </cell>
          <cell r="P156">
            <v>-5</v>
          </cell>
        </row>
        <row r="157">
          <cell r="B157" t="str">
            <v>Delta A</v>
          </cell>
          <cell r="C157" t="str">
            <v>Damietta - Khaled Ismaiel Al-Fath</v>
          </cell>
          <cell r="D157" t="str">
            <v>Islam Ashraf Al tabaey</v>
          </cell>
          <cell r="E157" t="str">
            <v>D22_G01875</v>
          </cell>
          <cell r="F157" t="str">
            <v>عوض عبد الدايم</v>
          </cell>
          <cell r="G157" t="str">
            <v>W/s Consumer &amp; Industrial</v>
          </cell>
          <cell r="H157">
            <v>46158.417895717597</v>
          </cell>
          <cell r="I157" t="str">
            <v>D22_O_00254071</v>
          </cell>
          <cell r="J157">
            <v>150000</v>
          </cell>
          <cell r="K157">
            <v>132080</v>
          </cell>
          <cell r="L157">
            <v>132080</v>
          </cell>
          <cell r="M157" t="str">
            <v>31 : 60 Days</v>
          </cell>
          <cell r="N157">
            <v>46169</v>
          </cell>
          <cell r="O157" t="str">
            <v>PASTA</v>
          </cell>
          <cell r="P157">
            <v>33</v>
          </cell>
        </row>
        <row r="158">
          <cell r="B158" t="str">
            <v>Delta A</v>
          </cell>
          <cell r="C158" t="str">
            <v>Damietta - Khaled Ismaiel Al-Fath</v>
          </cell>
          <cell r="D158" t="str">
            <v>Islam Ashraf Al tabaey</v>
          </cell>
          <cell r="E158" t="str">
            <v>D22_G01972</v>
          </cell>
          <cell r="F158" t="str">
            <v>منصور السيد سالم على</v>
          </cell>
          <cell r="G158" t="str">
            <v>W/s Consumer &amp; Industrial</v>
          </cell>
          <cell r="H158">
            <v>46180.403835798599</v>
          </cell>
          <cell r="I158" t="str">
            <v>D22_O_00257156</v>
          </cell>
          <cell r="J158">
            <v>100000</v>
          </cell>
          <cell r="K158">
            <v>99994.99</v>
          </cell>
          <cell r="L158">
            <v>99994.99</v>
          </cell>
          <cell r="M158" t="str">
            <v>11 : 20 Days</v>
          </cell>
          <cell r="N158">
            <v>46191</v>
          </cell>
          <cell r="O158" t="str">
            <v>PASTA</v>
          </cell>
          <cell r="P158">
            <v>11</v>
          </cell>
        </row>
        <row r="159">
          <cell r="B159" t="str">
            <v>Delta A</v>
          </cell>
          <cell r="C159" t="str">
            <v>Damietta - Khaled Ismaiel Al-Fath</v>
          </cell>
          <cell r="D159" t="str">
            <v>Moaz Mohamed Al desouky</v>
          </cell>
          <cell r="E159" t="str">
            <v>D22_R01896</v>
          </cell>
          <cell r="F159" t="str">
            <v>ابو علاء</v>
          </cell>
          <cell r="G159" t="str">
            <v>W/s Consumer &amp; Industrial</v>
          </cell>
          <cell r="H159">
            <v>46176</v>
          </cell>
          <cell r="I159" t="str">
            <v>D22_O_00255383</v>
          </cell>
          <cell r="J159">
            <v>25000</v>
          </cell>
          <cell r="K159">
            <v>24961.64</v>
          </cell>
          <cell r="L159">
            <v>24961.64</v>
          </cell>
          <cell r="M159" t="str">
            <v>11 : 20 Days</v>
          </cell>
          <cell r="N159">
            <v>46187</v>
          </cell>
          <cell r="O159" t="str">
            <v>AFIA</v>
          </cell>
          <cell r="P159">
            <v>15</v>
          </cell>
        </row>
        <row r="160">
          <cell r="B160" t="str">
            <v>Delta A</v>
          </cell>
          <cell r="C160" t="str">
            <v>Damietta - Khaled Ismaiel Al-Fath</v>
          </cell>
          <cell r="D160" t="str">
            <v>Moaz Mohamed Al desouky</v>
          </cell>
          <cell r="E160" t="str">
            <v>D22_R01898</v>
          </cell>
          <cell r="F160" t="str">
            <v>احمد عبدالله</v>
          </cell>
          <cell r="G160" t="str">
            <v>W/s Consumer &amp; Industrial</v>
          </cell>
          <cell r="H160">
            <v>46193</v>
          </cell>
          <cell r="I160" t="str">
            <v>D22_O_00253946</v>
          </cell>
          <cell r="J160">
            <v>100000</v>
          </cell>
          <cell r="K160">
            <v>56032.71</v>
          </cell>
          <cell r="L160">
            <v>0</v>
          </cell>
          <cell r="M160" t="str">
            <v>Not Due</v>
          </cell>
          <cell r="N160">
            <v>46204</v>
          </cell>
          <cell r="O160" t="str">
            <v>AFIA</v>
          </cell>
          <cell r="P160">
            <v>-2</v>
          </cell>
        </row>
        <row r="161">
          <cell r="B161" t="str">
            <v>Delta A</v>
          </cell>
          <cell r="C161" t="str">
            <v>Damietta - Khaled Ismaiel Al-Fath</v>
          </cell>
          <cell r="D161" t="str">
            <v>Moaz Mohamed Al desouky</v>
          </cell>
          <cell r="E161" t="str">
            <v>D22_R01901</v>
          </cell>
          <cell r="F161" t="str">
            <v>الايمان</v>
          </cell>
          <cell r="G161" t="str">
            <v>W/s Consumer &amp; Industrial</v>
          </cell>
          <cell r="H161">
            <v>46197</v>
          </cell>
          <cell r="I161" t="str">
            <v>D22_O_00256606</v>
          </cell>
          <cell r="J161">
            <v>150000</v>
          </cell>
          <cell r="K161">
            <v>65124.67</v>
          </cell>
          <cell r="L161">
            <v>0</v>
          </cell>
          <cell r="M161" t="str">
            <v>Not Due</v>
          </cell>
          <cell r="N161">
            <v>46208</v>
          </cell>
          <cell r="O161" t="str">
            <v>AFIA</v>
          </cell>
          <cell r="P161">
            <v>-6</v>
          </cell>
        </row>
        <row r="162">
          <cell r="B162" t="str">
            <v>Delta A</v>
          </cell>
          <cell r="C162" t="str">
            <v>Damietta - Khaled Ismaiel Al-Fath</v>
          </cell>
          <cell r="D162" t="str">
            <v>Moaz Mohamed Al desouky</v>
          </cell>
          <cell r="E162" t="str">
            <v>D22_R01907</v>
          </cell>
          <cell r="F162" t="str">
            <v>الفردوس</v>
          </cell>
          <cell r="G162" t="str">
            <v>W/s Consumer &amp; Industrial</v>
          </cell>
          <cell r="H162">
            <v>46184</v>
          </cell>
          <cell r="I162" t="str">
            <v>D22_O_00257123</v>
          </cell>
          <cell r="J162">
            <v>100000</v>
          </cell>
          <cell r="K162">
            <v>51188.82</v>
          </cell>
          <cell r="L162">
            <v>51188.82</v>
          </cell>
          <cell r="M162" t="str">
            <v>1 : 10 Days</v>
          </cell>
          <cell r="N162">
            <v>46195</v>
          </cell>
          <cell r="O162" t="str">
            <v>AFIA</v>
          </cell>
          <cell r="P162">
            <v>7</v>
          </cell>
        </row>
        <row r="163">
          <cell r="B163" t="str">
            <v>Delta A</v>
          </cell>
          <cell r="C163" t="str">
            <v>Damietta - Khaled Ismaiel Al-Fath</v>
          </cell>
          <cell r="D163" t="str">
            <v>Moaz Mohamed Al desouky</v>
          </cell>
          <cell r="E163" t="str">
            <v>D22_R01910</v>
          </cell>
          <cell r="F163" t="str">
            <v>جنة المؤمنيين</v>
          </cell>
          <cell r="G163" t="str">
            <v>W/s Consumer &amp; Industrial</v>
          </cell>
          <cell r="H163">
            <v>46198</v>
          </cell>
          <cell r="I163" t="str">
            <v>D22_O_00259813</v>
          </cell>
          <cell r="J163">
            <v>100000</v>
          </cell>
          <cell r="K163">
            <v>98616.18</v>
          </cell>
          <cell r="L163">
            <v>0</v>
          </cell>
          <cell r="M163" t="str">
            <v>Not Due</v>
          </cell>
          <cell r="N163">
            <v>46209</v>
          </cell>
          <cell r="O163" t="str">
            <v>AFIA</v>
          </cell>
          <cell r="P163">
            <v>-7</v>
          </cell>
        </row>
        <row r="164">
          <cell r="B164" t="str">
            <v>Delta A</v>
          </cell>
          <cell r="C164" t="str">
            <v>Damietta - Khaled Ismaiel Al-Fath</v>
          </cell>
          <cell r="D164" t="str">
            <v>Moaz Mohamed Al desouky</v>
          </cell>
          <cell r="E164" t="str">
            <v>D22_R01913</v>
          </cell>
          <cell r="F164" t="str">
            <v>سامح عبد الله</v>
          </cell>
          <cell r="G164" t="str">
            <v>W/s Consumer &amp; Industrial</v>
          </cell>
          <cell r="H164">
            <v>46198</v>
          </cell>
          <cell r="I164" t="str">
            <v>D22_O_00259783</v>
          </cell>
          <cell r="J164">
            <v>50000</v>
          </cell>
          <cell r="K164">
            <v>16401.62</v>
          </cell>
          <cell r="L164">
            <v>0</v>
          </cell>
          <cell r="M164" t="str">
            <v>Not Due</v>
          </cell>
          <cell r="N164">
            <v>46209</v>
          </cell>
          <cell r="O164" t="str">
            <v>AFIA</v>
          </cell>
          <cell r="P164">
            <v>-7</v>
          </cell>
        </row>
        <row r="165">
          <cell r="B165" t="str">
            <v>Delta A</v>
          </cell>
          <cell r="C165" t="str">
            <v>Damietta - Khaled Ismaiel Al-Fath</v>
          </cell>
          <cell r="D165" t="str">
            <v>Moaz Mohamed Al desouky</v>
          </cell>
          <cell r="E165" t="str">
            <v>D22_R01916</v>
          </cell>
          <cell r="F165" t="str">
            <v>سعد شطا</v>
          </cell>
          <cell r="G165" t="str">
            <v>W/s Consumer &amp; Industrial</v>
          </cell>
          <cell r="H165">
            <v>46189</v>
          </cell>
          <cell r="I165" t="str">
            <v>D22_O_00256655</v>
          </cell>
          <cell r="J165">
            <v>75000</v>
          </cell>
          <cell r="K165">
            <v>74999.72</v>
          </cell>
          <cell r="L165">
            <v>74999.72</v>
          </cell>
          <cell r="M165" t="str">
            <v>1 : 10 Days</v>
          </cell>
          <cell r="N165">
            <v>46200</v>
          </cell>
          <cell r="O165" t="str">
            <v>AFIA</v>
          </cell>
          <cell r="P165">
            <v>2</v>
          </cell>
        </row>
        <row r="166">
          <cell r="B166" t="str">
            <v>Delta A</v>
          </cell>
          <cell r="C166" t="str">
            <v>Damietta - Khaled Ismaiel Al-Fath</v>
          </cell>
          <cell r="D166" t="str">
            <v>Moaz Mohamed Al desouky</v>
          </cell>
          <cell r="E166" t="str">
            <v>D22_R01917</v>
          </cell>
          <cell r="F166" t="str">
            <v>سما خوخه</v>
          </cell>
          <cell r="G166" t="str">
            <v>W/s Consumer &amp; Industrial</v>
          </cell>
          <cell r="H166">
            <v>46179</v>
          </cell>
          <cell r="I166" t="str">
            <v>D22_O_00256636</v>
          </cell>
          <cell r="J166">
            <v>150000</v>
          </cell>
          <cell r="K166">
            <v>120650.89</v>
          </cell>
          <cell r="L166">
            <v>120650.89</v>
          </cell>
          <cell r="M166" t="str">
            <v>11 : 20 Days</v>
          </cell>
          <cell r="N166">
            <v>46190</v>
          </cell>
          <cell r="O166" t="str">
            <v>AFIA</v>
          </cell>
          <cell r="P166">
            <v>12</v>
          </cell>
        </row>
        <row r="167">
          <cell r="B167" t="str">
            <v>Delta A</v>
          </cell>
          <cell r="C167" t="str">
            <v>Damietta - Khaled Ismaiel Al-Fath</v>
          </cell>
          <cell r="D167" t="str">
            <v>Moaz Mohamed Al desouky</v>
          </cell>
          <cell r="E167" t="str">
            <v>D22_R01923</v>
          </cell>
          <cell r="F167" t="str">
            <v>فتحى حجازى</v>
          </cell>
          <cell r="G167" t="str">
            <v>W/s Consumer &amp; Industrial</v>
          </cell>
          <cell r="H167">
            <v>46175</v>
          </cell>
          <cell r="I167" t="str">
            <v>D22_O_00256025</v>
          </cell>
          <cell r="J167">
            <v>100000</v>
          </cell>
          <cell r="K167">
            <v>11199.89</v>
          </cell>
          <cell r="L167">
            <v>11199.89</v>
          </cell>
          <cell r="M167" t="str">
            <v>11 : 20 Days</v>
          </cell>
          <cell r="N167">
            <v>46186</v>
          </cell>
          <cell r="O167" t="str">
            <v>AFIA</v>
          </cell>
          <cell r="P167">
            <v>16</v>
          </cell>
        </row>
        <row r="168">
          <cell r="B168" t="str">
            <v>Delta A</v>
          </cell>
          <cell r="C168" t="str">
            <v>Damietta - Khaled Ismaiel Al-Fath</v>
          </cell>
          <cell r="D168" t="str">
            <v>Moaz Mohamed Al desouky</v>
          </cell>
          <cell r="E168" t="str">
            <v>D22_R01923</v>
          </cell>
          <cell r="F168" t="str">
            <v>فتحى حجازى</v>
          </cell>
          <cell r="G168" t="str">
            <v>W/s Consumer &amp; Industrial</v>
          </cell>
          <cell r="H168">
            <v>46189</v>
          </cell>
          <cell r="I168" t="str">
            <v>D22_O_00258447</v>
          </cell>
          <cell r="J168">
            <v>100000</v>
          </cell>
          <cell r="K168">
            <v>59713.85</v>
          </cell>
          <cell r="L168">
            <v>59713.85</v>
          </cell>
          <cell r="M168" t="str">
            <v>1 : 10 Days</v>
          </cell>
          <cell r="N168">
            <v>46200</v>
          </cell>
          <cell r="O168" t="str">
            <v>AFIA</v>
          </cell>
          <cell r="P168">
            <v>2</v>
          </cell>
        </row>
        <row r="169">
          <cell r="B169" t="str">
            <v>Delta A</v>
          </cell>
          <cell r="C169" t="str">
            <v>Damietta - Khaled Ismaiel Al-Fath</v>
          </cell>
          <cell r="D169" t="str">
            <v>Moaz Mohamed Al desouky</v>
          </cell>
          <cell r="E169" t="str">
            <v>D22_R01924</v>
          </cell>
          <cell r="F169" t="str">
            <v>فتحى خميس</v>
          </cell>
          <cell r="G169" t="str">
            <v>W/s Consumer &amp; Industrial</v>
          </cell>
          <cell r="H169">
            <v>46175</v>
          </cell>
          <cell r="I169" t="str">
            <v>D22_O_00253904</v>
          </cell>
          <cell r="J169">
            <v>100000</v>
          </cell>
          <cell r="K169">
            <v>99998.61</v>
          </cell>
          <cell r="L169">
            <v>99998.61</v>
          </cell>
          <cell r="M169" t="str">
            <v>11 : 20 Days</v>
          </cell>
          <cell r="N169">
            <v>46186</v>
          </cell>
          <cell r="O169" t="str">
            <v>AFIA</v>
          </cell>
          <cell r="P169">
            <v>16</v>
          </cell>
        </row>
        <row r="170">
          <cell r="B170" t="str">
            <v>Delta A</v>
          </cell>
          <cell r="C170" t="str">
            <v>Damietta - Khaled Ismaiel Al-Fath</v>
          </cell>
          <cell r="D170" t="str">
            <v>Moaz Mohamed Al desouky</v>
          </cell>
          <cell r="E170" t="str">
            <v>D22_R01925</v>
          </cell>
          <cell r="F170" t="str">
            <v>لطفى العيسوى</v>
          </cell>
          <cell r="G170" t="str">
            <v>W/s Consumer &amp; Industrial</v>
          </cell>
          <cell r="H170">
            <v>46177</v>
          </cell>
          <cell r="I170" t="str">
            <v>D22_O_00256575</v>
          </cell>
          <cell r="J170">
            <v>600000</v>
          </cell>
          <cell r="K170">
            <v>345602.01</v>
          </cell>
          <cell r="L170">
            <v>345602.01</v>
          </cell>
          <cell r="M170" t="str">
            <v>11 : 20 Days</v>
          </cell>
          <cell r="N170">
            <v>46188</v>
          </cell>
          <cell r="O170" t="str">
            <v>AFIA</v>
          </cell>
          <cell r="P170">
            <v>14</v>
          </cell>
        </row>
        <row r="171">
          <cell r="B171" t="str">
            <v>Delta A</v>
          </cell>
          <cell r="C171" t="str">
            <v>Damietta - Khaled Ismaiel Al-Fath</v>
          </cell>
          <cell r="D171" t="str">
            <v>Moaz Mohamed Al desouky</v>
          </cell>
          <cell r="E171" t="str">
            <v>D22_R01925</v>
          </cell>
          <cell r="F171" t="str">
            <v>لطفى العيسوى</v>
          </cell>
          <cell r="G171" t="str">
            <v>W/s Consumer &amp; Industrial</v>
          </cell>
          <cell r="H171">
            <v>46181</v>
          </cell>
          <cell r="I171" t="str">
            <v>D22_O_00256767</v>
          </cell>
          <cell r="J171">
            <v>600000</v>
          </cell>
          <cell r="K171">
            <v>254396.98</v>
          </cell>
          <cell r="L171">
            <v>254396.98</v>
          </cell>
          <cell r="M171" t="str">
            <v>1 : 10 Days</v>
          </cell>
          <cell r="N171">
            <v>46192</v>
          </cell>
          <cell r="O171" t="str">
            <v>AFIA</v>
          </cell>
          <cell r="P171">
            <v>10</v>
          </cell>
        </row>
        <row r="172">
          <cell r="B172" t="str">
            <v>Delta A</v>
          </cell>
          <cell r="C172" t="str">
            <v>Damietta - Khaled Ismaiel Al-Fath</v>
          </cell>
          <cell r="D172" t="str">
            <v>Moaz Mohamed Al desouky</v>
          </cell>
          <cell r="E172" t="str">
            <v>D22_R01928</v>
          </cell>
          <cell r="F172" t="str">
            <v>محمود حجازى</v>
          </cell>
          <cell r="G172" t="str">
            <v>W/s Consumer &amp; Industrial</v>
          </cell>
          <cell r="H172">
            <v>46179</v>
          </cell>
          <cell r="I172" t="str">
            <v>D22_O_00256066</v>
          </cell>
          <cell r="J172">
            <v>75000</v>
          </cell>
          <cell r="K172">
            <v>25020.1</v>
          </cell>
          <cell r="L172">
            <v>25020.1</v>
          </cell>
          <cell r="M172" t="str">
            <v>11 : 20 Days</v>
          </cell>
          <cell r="N172">
            <v>46190</v>
          </cell>
          <cell r="O172" t="str">
            <v>AFIA</v>
          </cell>
          <cell r="P172">
            <v>12</v>
          </cell>
        </row>
        <row r="173">
          <cell r="B173" t="str">
            <v>Delta A</v>
          </cell>
          <cell r="C173" t="str">
            <v>Damietta - Khaled Ismaiel Al-Fath</v>
          </cell>
          <cell r="D173" t="str">
            <v>Moaz Mohamed Al desouky</v>
          </cell>
          <cell r="E173" t="str">
            <v>D22_R01929</v>
          </cell>
          <cell r="F173" t="str">
            <v>محمود فايد</v>
          </cell>
          <cell r="G173" t="str">
            <v>W/s Consumer &amp; Industrial</v>
          </cell>
          <cell r="H173">
            <v>46193</v>
          </cell>
          <cell r="I173" t="str">
            <v>D22_O_00257587</v>
          </cell>
          <cell r="J173">
            <v>150000</v>
          </cell>
          <cell r="K173">
            <v>37777.120000000003</v>
          </cell>
          <cell r="L173">
            <v>0</v>
          </cell>
          <cell r="M173" t="str">
            <v>Not Due</v>
          </cell>
          <cell r="N173">
            <v>46204</v>
          </cell>
          <cell r="O173" t="str">
            <v>AFIA</v>
          </cell>
          <cell r="P173">
            <v>-2</v>
          </cell>
        </row>
        <row r="174">
          <cell r="B174" t="str">
            <v>Delta A</v>
          </cell>
          <cell r="C174" t="str">
            <v>Damietta - Khaled Ismaiel Al-Fath</v>
          </cell>
          <cell r="D174" t="str">
            <v>Moaz Mohamed Al desouky</v>
          </cell>
          <cell r="E174" t="str">
            <v>D22_R01931</v>
          </cell>
          <cell r="F174" t="str">
            <v>ملفاى</v>
          </cell>
          <cell r="G174" t="str">
            <v>W/s Consumer &amp; Industrial</v>
          </cell>
          <cell r="H174">
            <v>46191</v>
          </cell>
          <cell r="I174" t="str">
            <v>D22_O_00257718</v>
          </cell>
          <cell r="J174">
            <v>75000</v>
          </cell>
          <cell r="K174">
            <v>74680.25</v>
          </cell>
          <cell r="L174">
            <v>0</v>
          </cell>
          <cell r="M174" t="str">
            <v>Not Due</v>
          </cell>
          <cell r="N174">
            <v>46202</v>
          </cell>
          <cell r="O174" t="str">
            <v>AFIA</v>
          </cell>
          <cell r="P174">
            <v>0</v>
          </cell>
        </row>
        <row r="175">
          <cell r="B175" t="str">
            <v>Delta A</v>
          </cell>
          <cell r="C175" t="str">
            <v>Damietta - Khaled Ismaiel Al-Fath</v>
          </cell>
          <cell r="D175" t="str">
            <v>Moaz Mohamed Al desouky</v>
          </cell>
          <cell r="E175" t="str">
            <v>D22_R02216</v>
          </cell>
          <cell r="F175" t="str">
            <v>الطازج</v>
          </cell>
          <cell r="G175" t="str">
            <v>W/s Consumer &amp; Industrial</v>
          </cell>
          <cell r="H175">
            <v>46194</v>
          </cell>
          <cell r="I175" t="str">
            <v>D22_O_00258171</v>
          </cell>
          <cell r="J175">
            <v>75000</v>
          </cell>
          <cell r="K175">
            <v>20599.84</v>
          </cell>
          <cell r="L175">
            <v>0</v>
          </cell>
          <cell r="M175" t="str">
            <v>Not Due</v>
          </cell>
          <cell r="N175">
            <v>46205</v>
          </cell>
          <cell r="O175" t="str">
            <v>AFIA</v>
          </cell>
          <cell r="P175">
            <v>-3</v>
          </cell>
        </row>
        <row r="176">
          <cell r="B176" t="str">
            <v>Delta A</v>
          </cell>
          <cell r="C176" t="str">
            <v>Damietta - Khaled Ismaiel Al-Fath</v>
          </cell>
          <cell r="D176" t="str">
            <v>Mohamed Elsayed Badawy</v>
          </cell>
          <cell r="E176" t="str">
            <v>D22_P00063</v>
          </cell>
          <cell r="F176" t="str">
            <v>محمود فايد</v>
          </cell>
          <cell r="G176" t="str">
            <v>W/s Consumer &amp; Industrial</v>
          </cell>
          <cell r="H176">
            <v>46177.447408761604</v>
          </cell>
          <cell r="I176" t="str">
            <v>D22_O_00256669</v>
          </cell>
          <cell r="J176">
            <v>100000</v>
          </cell>
          <cell r="K176">
            <v>26070</v>
          </cell>
          <cell r="L176">
            <v>26070</v>
          </cell>
          <cell r="M176" t="str">
            <v>11 : 20 Days</v>
          </cell>
          <cell r="N176">
            <v>46188</v>
          </cell>
          <cell r="O176" t="str">
            <v>PASTA</v>
          </cell>
          <cell r="P176">
            <v>14</v>
          </cell>
        </row>
        <row r="177">
          <cell r="B177" t="str">
            <v>Delta A</v>
          </cell>
          <cell r="C177" t="str">
            <v>Damietta - Khaled Ismaiel Al-Fath</v>
          </cell>
          <cell r="D177" t="str">
            <v>Mohamed Elsayed Badawy</v>
          </cell>
          <cell r="E177" t="str">
            <v>D22_P00078</v>
          </cell>
          <cell r="F177" t="str">
            <v>الفردوس</v>
          </cell>
          <cell r="G177" t="str">
            <v>W/s Consumer &amp; Industrial</v>
          </cell>
          <cell r="H177">
            <v>46195.437277002296</v>
          </cell>
          <cell r="I177" t="str">
            <v>D22_O_00259472</v>
          </cell>
          <cell r="J177">
            <v>250000</v>
          </cell>
          <cell r="K177">
            <v>76120</v>
          </cell>
          <cell r="L177">
            <v>0</v>
          </cell>
          <cell r="M177" t="str">
            <v>Not Due</v>
          </cell>
          <cell r="N177">
            <v>46206</v>
          </cell>
          <cell r="O177" t="str">
            <v>PASTA</v>
          </cell>
          <cell r="P177">
            <v>-4</v>
          </cell>
        </row>
        <row r="178">
          <cell r="B178" t="str">
            <v>Delta A</v>
          </cell>
          <cell r="C178" t="str">
            <v>Damietta - Khaled Ismaiel Al-Fath</v>
          </cell>
          <cell r="D178" t="str">
            <v>Mohamed Elsayed Badawy</v>
          </cell>
          <cell r="E178" t="str">
            <v>D22_P00078</v>
          </cell>
          <cell r="F178" t="str">
            <v>الفردوس</v>
          </cell>
          <cell r="G178" t="str">
            <v>W/s Consumer &amp; Industrial</v>
          </cell>
          <cell r="H178">
            <v>46198.460062418999</v>
          </cell>
          <cell r="I178" t="str">
            <v>D22_O_00260050</v>
          </cell>
          <cell r="J178">
            <v>250000</v>
          </cell>
          <cell r="K178">
            <v>112980</v>
          </cell>
          <cell r="L178">
            <v>0</v>
          </cell>
          <cell r="M178" t="str">
            <v>Not Due</v>
          </cell>
          <cell r="N178">
            <v>46209</v>
          </cell>
          <cell r="O178" t="str">
            <v>PASTA</v>
          </cell>
          <cell r="P178">
            <v>-7</v>
          </cell>
        </row>
        <row r="179">
          <cell r="B179" t="str">
            <v>Delta A</v>
          </cell>
          <cell r="C179" t="str">
            <v>Damietta - Khaled Ismaiel Al-Fath</v>
          </cell>
          <cell r="D179" t="str">
            <v>Mohamed Elsayed Badawy</v>
          </cell>
          <cell r="E179" t="str">
            <v>D22_P00078</v>
          </cell>
          <cell r="F179" t="str">
            <v>الفردوس</v>
          </cell>
          <cell r="G179" t="str">
            <v>W/s Consumer &amp; Industrial</v>
          </cell>
          <cell r="H179">
            <v>46200.455083298599</v>
          </cell>
          <cell r="I179" t="str">
            <v>D22_O_00260215</v>
          </cell>
          <cell r="J179">
            <v>250000</v>
          </cell>
          <cell r="K179">
            <v>60900</v>
          </cell>
          <cell r="L179">
            <v>0</v>
          </cell>
          <cell r="M179" t="str">
            <v>Not Due</v>
          </cell>
          <cell r="N179">
            <v>46211</v>
          </cell>
          <cell r="O179" t="str">
            <v>PASTA</v>
          </cell>
          <cell r="P179">
            <v>-9</v>
          </cell>
        </row>
        <row r="180">
          <cell r="B180" t="str">
            <v>Delta A</v>
          </cell>
          <cell r="C180" t="str">
            <v>Damietta - Khaled Ismaiel Al-Fath</v>
          </cell>
          <cell r="D180" t="str">
            <v>Mohamed Elsayed Badawy</v>
          </cell>
          <cell r="E180" t="str">
            <v>D22_P01802</v>
          </cell>
          <cell r="F180" t="str">
            <v>عمرو محرز</v>
          </cell>
          <cell r="G180" t="str">
            <v>W/s Consumer &amp; Industrial</v>
          </cell>
          <cell r="H180">
            <v>46198.445611261603</v>
          </cell>
          <cell r="I180" t="str">
            <v>D22_O_00260048</v>
          </cell>
          <cell r="J180">
            <v>1000000</v>
          </cell>
          <cell r="K180">
            <v>71209</v>
          </cell>
          <cell r="L180">
            <v>0</v>
          </cell>
          <cell r="M180" t="str">
            <v>Not Due</v>
          </cell>
          <cell r="N180">
            <v>46209</v>
          </cell>
          <cell r="O180" t="str">
            <v>PASTA</v>
          </cell>
          <cell r="P180">
            <v>-7</v>
          </cell>
        </row>
        <row r="181">
          <cell r="B181" t="str">
            <v>Delta A</v>
          </cell>
          <cell r="C181" t="str">
            <v>Damietta - Khaled Ismaiel Al-Fath</v>
          </cell>
          <cell r="D181" t="str">
            <v>Mohamed Elsayed Badawy</v>
          </cell>
          <cell r="E181" t="str">
            <v>D22_P01802</v>
          </cell>
          <cell r="F181" t="str">
            <v>عمرو محرز</v>
          </cell>
          <cell r="G181" t="str">
            <v>W/s Consumer &amp; Industrial</v>
          </cell>
          <cell r="H181">
            <v>46200.425004594901</v>
          </cell>
          <cell r="I181" t="str">
            <v>D22_O_00260212</v>
          </cell>
          <cell r="J181">
            <v>1000000</v>
          </cell>
          <cell r="K181">
            <v>104040</v>
          </cell>
          <cell r="L181">
            <v>0</v>
          </cell>
          <cell r="M181" t="str">
            <v>Not Due</v>
          </cell>
          <cell r="N181">
            <v>46211</v>
          </cell>
          <cell r="O181" t="str">
            <v>PASTA</v>
          </cell>
          <cell r="P181">
            <v>-9</v>
          </cell>
        </row>
        <row r="182">
          <cell r="B182" t="str">
            <v>Delta A</v>
          </cell>
          <cell r="C182" t="str">
            <v>Damietta - Khaled Ismaiel Al-Fath</v>
          </cell>
          <cell r="D182" t="str">
            <v>Mohamed Elsayed Badawy</v>
          </cell>
          <cell r="E182" t="str">
            <v>D22_P01802</v>
          </cell>
          <cell r="F182" t="str">
            <v>عمرو محرز</v>
          </cell>
          <cell r="G182" t="str">
            <v>W/s Consumer &amp; Industrial</v>
          </cell>
          <cell r="H182">
            <v>46201.449076076402</v>
          </cell>
          <cell r="I182" t="str">
            <v>D22_O_00260380</v>
          </cell>
          <cell r="J182">
            <v>1000000</v>
          </cell>
          <cell r="K182">
            <v>104040</v>
          </cell>
          <cell r="L182">
            <v>0</v>
          </cell>
          <cell r="M182" t="str">
            <v>Not Due</v>
          </cell>
          <cell r="N182">
            <v>46212</v>
          </cell>
          <cell r="O182" t="str">
            <v>PASTA</v>
          </cell>
          <cell r="P182">
            <v>-10</v>
          </cell>
        </row>
        <row r="183">
          <cell r="B183" t="str">
            <v>Delta A</v>
          </cell>
          <cell r="C183" t="str">
            <v>Damietta - Khaled Ismaiel Al-Fath</v>
          </cell>
          <cell r="D183" t="str">
            <v>Mohamed Elsayed Badawy</v>
          </cell>
          <cell r="E183" t="str">
            <v>D22_P01808</v>
          </cell>
          <cell r="F183" t="str">
            <v>افندينا</v>
          </cell>
          <cell r="G183" t="str">
            <v>W/s Consumer &amp; Industrial</v>
          </cell>
          <cell r="H183">
            <v>46198.453916782397</v>
          </cell>
          <cell r="I183" t="str">
            <v>D22_O_00260049</v>
          </cell>
          <cell r="J183">
            <v>200000</v>
          </cell>
          <cell r="K183">
            <v>37050</v>
          </cell>
          <cell r="L183">
            <v>0</v>
          </cell>
          <cell r="M183" t="str">
            <v>Not Due</v>
          </cell>
          <cell r="N183">
            <v>46209</v>
          </cell>
          <cell r="O183" t="str">
            <v>PASTA</v>
          </cell>
          <cell r="P183">
            <v>-7</v>
          </cell>
        </row>
        <row r="184">
          <cell r="B184" t="str">
            <v>Delta A</v>
          </cell>
          <cell r="C184" t="str">
            <v>Damietta - Khaled Ismaiel Al-Fath</v>
          </cell>
          <cell r="D184" t="str">
            <v>Mohamed Elsayed Badawy</v>
          </cell>
          <cell r="E184" t="str">
            <v>D22_P01814</v>
          </cell>
          <cell r="F184" t="str">
            <v>كشري العدوى</v>
          </cell>
          <cell r="G184" t="str">
            <v>W/s Consumer &amp; Industrial</v>
          </cell>
          <cell r="H184">
            <v>46182.474621030102</v>
          </cell>
          <cell r="I184" t="str">
            <v>D22_O_00257549</v>
          </cell>
          <cell r="J184">
            <v>50000</v>
          </cell>
          <cell r="K184">
            <v>20684.98</v>
          </cell>
          <cell r="L184">
            <v>20684.98</v>
          </cell>
          <cell r="M184" t="str">
            <v>1 : 10 Days</v>
          </cell>
          <cell r="N184">
            <v>46193</v>
          </cell>
          <cell r="O184" t="str">
            <v>PASTA</v>
          </cell>
          <cell r="P184">
            <v>9</v>
          </cell>
        </row>
        <row r="185">
          <cell r="B185" t="str">
            <v>Delta A</v>
          </cell>
          <cell r="C185" t="str">
            <v>Damietta - Khaled Ismaiel Al-Fath</v>
          </cell>
          <cell r="D185" t="str">
            <v>Mohamed Elsayed Badawy</v>
          </cell>
          <cell r="E185" t="str">
            <v>D22_P01814</v>
          </cell>
          <cell r="F185" t="str">
            <v>كشري العدوى</v>
          </cell>
          <cell r="G185" t="str">
            <v>W/s Consumer &amp; Industrial</v>
          </cell>
          <cell r="H185">
            <v>46196.465638391201</v>
          </cell>
          <cell r="I185" t="str">
            <v>D22_O_00259670</v>
          </cell>
          <cell r="J185">
            <v>50000</v>
          </cell>
          <cell r="K185">
            <v>29312</v>
          </cell>
          <cell r="L185">
            <v>0</v>
          </cell>
          <cell r="M185" t="str">
            <v>Not Due</v>
          </cell>
          <cell r="N185">
            <v>46207</v>
          </cell>
          <cell r="O185" t="str">
            <v>PASTA</v>
          </cell>
          <cell r="P185">
            <v>-5</v>
          </cell>
        </row>
        <row r="186">
          <cell r="B186" t="str">
            <v>Delta A</v>
          </cell>
          <cell r="C186" t="str">
            <v>Damietta - Khaled Ismaiel Al-Fath</v>
          </cell>
          <cell r="D186" t="str">
            <v>Mohamed Elsayed Badawy</v>
          </cell>
          <cell r="E186" t="str">
            <v>D22_P01815</v>
          </cell>
          <cell r="F186" t="str">
            <v>الزعيم</v>
          </cell>
          <cell r="G186" t="str">
            <v>W/s Consumer &amp; Industrial</v>
          </cell>
          <cell r="H186">
            <v>46193.443926817097</v>
          </cell>
          <cell r="I186" t="str">
            <v>D22_O_00259099</v>
          </cell>
          <cell r="J186">
            <v>100000</v>
          </cell>
          <cell r="K186">
            <v>22900</v>
          </cell>
          <cell r="L186">
            <v>0</v>
          </cell>
          <cell r="M186" t="str">
            <v>Not Due</v>
          </cell>
          <cell r="N186">
            <v>46204</v>
          </cell>
          <cell r="O186" t="str">
            <v>PASTA</v>
          </cell>
          <cell r="P186">
            <v>-2</v>
          </cell>
        </row>
        <row r="187">
          <cell r="B187" t="str">
            <v>Delta A</v>
          </cell>
          <cell r="C187" t="str">
            <v>Damietta - Khaled Ismaiel Al-Fath</v>
          </cell>
          <cell r="D187" t="str">
            <v>Mohamed Elsayed Badawy</v>
          </cell>
          <cell r="E187" t="str">
            <v>D22_P01816</v>
          </cell>
          <cell r="F187" t="str">
            <v>الامبراطور</v>
          </cell>
          <cell r="G187" t="str">
            <v>W/s Consumer &amp; Industrial</v>
          </cell>
          <cell r="H187">
            <v>46197.428827858799</v>
          </cell>
          <cell r="I187" t="str">
            <v>D22_O_00259877</v>
          </cell>
          <cell r="J187">
            <v>250000</v>
          </cell>
          <cell r="K187">
            <v>249999.98</v>
          </cell>
          <cell r="L187">
            <v>0</v>
          </cell>
          <cell r="M187" t="str">
            <v>Not Due</v>
          </cell>
          <cell r="N187">
            <v>46208</v>
          </cell>
          <cell r="O187" t="str">
            <v>PASTA</v>
          </cell>
          <cell r="P187">
            <v>-6</v>
          </cell>
        </row>
        <row r="188">
          <cell r="B188" t="str">
            <v>Delta A</v>
          </cell>
          <cell r="C188" t="str">
            <v>Damietta - Khaled Ismaiel Al-Fath</v>
          </cell>
          <cell r="D188" t="str">
            <v>Mohamed Elsayed Badawy</v>
          </cell>
          <cell r="E188" t="str">
            <v>D22_P01828</v>
          </cell>
          <cell r="F188" t="str">
            <v>منصور السيد سالم على</v>
          </cell>
          <cell r="G188" t="str">
            <v>W/s Consumer &amp; Industrial</v>
          </cell>
          <cell r="H188">
            <v>46186.454588078697</v>
          </cell>
          <cell r="I188" t="str">
            <v>D22_O_00258052</v>
          </cell>
          <cell r="J188">
            <v>300000</v>
          </cell>
          <cell r="K188">
            <v>208080</v>
          </cell>
          <cell r="L188">
            <v>208080</v>
          </cell>
          <cell r="M188" t="str">
            <v>1 : 10 Days</v>
          </cell>
          <cell r="N188">
            <v>46197</v>
          </cell>
          <cell r="O188" t="str">
            <v>PASTA</v>
          </cell>
          <cell r="P188">
            <v>5</v>
          </cell>
        </row>
        <row r="189">
          <cell r="B189" t="str">
            <v>Delta A</v>
          </cell>
          <cell r="C189" t="str">
            <v>Damietta - Khaled Ismaiel Al-Fath</v>
          </cell>
          <cell r="D189" t="str">
            <v>Mohamed Elsayed Badawy</v>
          </cell>
          <cell r="E189" t="str">
            <v>D22_P01828</v>
          </cell>
          <cell r="F189" t="str">
            <v>منصور السيد سالم على</v>
          </cell>
          <cell r="G189" t="str">
            <v>W/s Consumer &amp; Industrial</v>
          </cell>
          <cell r="H189">
            <v>46189.4542651968</v>
          </cell>
          <cell r="I189" t="str">
            <v>D22_O_00258602</v>
          </cell>
          <cell r="J189">
            <v>300000</v>
          </cell>
          <cell r="K189">
            <v>91350</v>
          </cell>
          <cell r="L189">
            <v>91350</v>
          </cell>
          <cell r="M189" t="str">
            <v>1 : 10 Days</v>
          </cell>
          <cell r="N189">
            <v>46200</v>
          </cell>
          <cell r="O189" t="str">
            <v>PASTA</v>
          </cell>
          <cell r="P189">
            <v>2</v>
          </cell>
        </row>
        <row r="190">
          <cell r="B190" t="str">
            <v>Delta A</v>
          </cell>
          <cell r="C190" t="str">
            <v>Damietta - Khaled Ismaiel Al-Fath</v>
          </cell>
          <cell r="D190" t="str">
            <v>Mohamed Zakaria Ibrahim</v>
          </cell>
          <cell r="E190" t="str">
            <v>D22_G01806</v>
          </cell>
          <cell r="F190" t="str">
            <v>القواس</v>
          </cell>
          <cell r="G190" t="str">
            <v>K-Retail</v>
          </cell>
          <cell r="H190">
            <v>46159.589073032403</v>
          </cell>
          <cell r="I190" t="str">
            <v>D22_O_00254331</v>
          </cell>
          <cell r="J190">
            <v>1000000</v>
          </cell>
          <cell r="K190">
            <v>15401.56</v>
          </cell>
          <cell r="L190">
            <v>15401.56</v>
          </cell>
          <cell r="M190" t="str">
            <v>21 : 30 Days</v>
          </cell>
          <cell r="N190">
            <v>46175</v>
          </cell>
          <cell r="O190" t="str">
            <v>PASTA</v>
          </cell>
          <cell r="P190">
            <v>27</v>
          </cell>
        </row>
        <row r="191">
          <cell r="B191" t="str">
            <v>Delta A</v>
          </cell>
          <cell r="C191" t="str">
            <v>Damietta - Khaled Ismaiel Al-Fath</v>
          </cell>
          <cell r="D191" t="str">
            <v>Mohamed Zakaria Ibrahim</v>
          </cell>
          <cell r="E191" t="str">
            <v>D22_G01806</v>
          </cell>
          <cell r="F191" t="str">
            <v>القواس</v>
          </cell>
          <cell r="G191" t="str">
            <v>K-Retail</v>
          </cell>
          <cell r="H191">
            <v>46186.676501539303</v>
          </cell>
          <cell r="I191" t="str">
            <v>D22_O_00258254</v>
          </cell>
          <cell r="J191">
            <v>1000000</v>
          </cell>
          <cell r="K191">
            <v>150049.51</v>
          </cell>
          <cell r="L191">
            <v>0</v>
          </cell>
          <cell r="M191" t="str">
            <v>Not Due</v>
          </cell>
          <cell r="N191">
            <v>46202</v>
          </cell>
          <cell r="O191" t="str">
            <v>PASTA</v>
          </cell>
          <cell r="P191">
            <v>0</v>
          </cell>
        </row>
        <row r="192">
          <cell r="B192" t="str">
            <v>Delta A</v>
          </cell>
          <cell r="C192" t="str">
            <v>Damietta - Khaled Ismaiel Al-Fath</v>
          </cell>
          <cell r="D192" t="str">
            <v>Mohamed Zakaria Ibrahim</v>
          </cell>
          <cell r="E192" t="str">
            <v>D22_G01806</v>
          </cell>
          <cell r="F192" t="str">
            <v>القواس</v>
          </cell>
          <cell r="G192" t="str">
            <v>K-Retail</v>
          </cell>
          <cell r="H192">
            <v>46193.752983831</v>
          </cell>
          <cell r="I192" t="str">
            <v>D22_O_00259284</v>
          </cell>
          <cell r="J192">
            <v>1000000</v>
          </cell>
          <cell r="K192">
            <v>85228.49</v>
          </cell>
          <cell r="L192">
            <v>0</v>
          </cell>
          <cell r="M192" t="str">
            <v>Not Due</v>
          </cell>
          <cell r="N192">
            <v>46209</v>
          </cell>
          <cell r="O192" t="str">
            <v>PASTA</v>
          </cell>
          <cell r="P192">
            <v>-7</v>
          </cell>
        </row>
        <row r="193">
          <cell r="B193" t="str">
            <v>Delta A</v>
          </cell>
          <cell r="C193" t="str">
            <v>Damietta - Khaled Ismaiel Al-Fath</v>
          </cell>
          <cell r="D193" t="str">
            <v>Mohamed Zakaria Ibrahim</v>
          </cell>
          <cell r="E193" t="str">
            <v>D22_G01806</v>
          </cell>
          <cell r="F193" t="str">
            <v>القواس</v>
          </cell>
          <cell r="G193" t="str">
            <v>K-Retail</v>
          </cell>
          <cell r="H193">
            <v>46197.676869675903</v>
          </cell>
          <cell r="I193" t="str">
            <v>D22_O_00260024</v>
          </cell>
          <cell r="J193">
            <v>1000000</v>
          </cell>
          <cell r="K193">
            <v>168329.69</v>
          </cell>
          <cell r="L193">
            <v>0</v>
          </cell>
          <cell r="M193" t="str">
            <v>Not Due</v>
          </cell>
          <cell r="N193">
            <v>46213</v>
          </cell>
          <cell r="O193" t="str">
            <v>PASTA</v>
          </cell>
          <cell r="P193">
            <v>-11</v>
          </cell>
        </row>
        <row r="194">
          <cell r="B194" t="str">
            <v>Delta A</v>
          </cell>
          <cell r="C194" t="str">
            <v>Damietta - Khaled Ismaiel Al-Fath</v>
          </cell>
          <cell r="D194" t="str">
            <v>Mohamed Zakaria Ibrahim</v>
          </cell>
          <cell r="E194" t="str">
            <v>D22_G01812</v>
          </cell>
          <cell r="F194" t="str">
            <v>محلات محمود الفار</v>
          </cell>
          <cell r="G194" t="str">
            <v>K-Retail</v>
          </cell>
          <cell r="H194">
            <v>46145.627479861098</v>
          </cell>
          <cell r="I194" t="str">
            <v>D22_O_00251949</v>
          </cell>
          <cell r="J194">
            <v>1000000</v>
          </cell>
          <cell r="K194">
            <v>124304.56</v>
          </cell>
          <cell r="L194">
            <v>124304.56</v>
          </cell>
          <cell r="M194" t="str">
            <v>31 : 60 Days</v>
          </cell>
          <cell r="N194">
            <v>46161</v>
          </cell>
          <cell r="O194" t="str">
            <v>PASTA</v>
          </cell>
          <cell r="P194">
            <v>41</v>
          </cell>
        </row>
        <row r="195">
          <cell r="B195" t="str">
            <v>Delta A</v>
          </cell>
          <cell r="C195" t="str">
            <v>Damietta - Khaled Ismaiel Al-Fath</v>
          </cell>
          <cell r="D195" t="str">
            <v>Mohamed Zakaria Ibrahim</v>
          </cell>
          <cell r="E195" t="str">
            <v>D22_G01812</v>
          </cell>
          <cell r="F195" t="str">
            <v>محلات محمود الفار</v>
          </cell>
          <cell r="G195" t="str">
            <v>K-Retail</v>
          </cell>
          <cell r="H195">
            <v>46153.708921296296</v>
          </cell>
          <cell r="I195" t="str">
            <v>D22_O_00253556</v>
          </cell>
          <cell r="J195">
            <v>1000000</v>
          </cell>
          <cell r="K195">
            <v>206247.36</v>
          </cell>
          <cell r="L195">
            <v>206247.36</v>
          </cell>
          <cell r="M195" t="str">
            <v>31 : 60 Days</v>
          </cell>
          <cell r="N195">
            <v>46169</v>
          </cell>
          <cell r="O195" t="str">
            <v>PASTA</v>
          </cell>
          <cell r="P195">
            <v>33</v>
          </cell>
        </row>
        <row r="196">
          <cell r="B196" t="str">
            <v>Delta A</v>
          </cell>
          <cell r="C196" t="str">
            <v>Damietta - Khaled Ismaiel Al-Fath</v>
          </cell>
          <cell r="D196" t="str">
            <v>Mohamed Zakaria Ibrahim</v>
          </cell>
          <cell r="E196" t="str">
            <v>D22_G01812</v>
          </cell>
          <cell r="F196" t="str">
            <v>محلات محمود الفار</v>
          </cell>
          <cell r="G196" t="str">
            <v>K-Retail</v>
          </cell>
          <cell r="H196">
            <v>46167.487452974499</v>
          </cell>
          <cell r="I196" t="str">
            <v>D22_O_00255813</v>
          </cell>
          <cell r="J196">
            <v>1000000</v>
          </cell>
          <cell r="K196">
            <v>243924.79</v>
          </cell>
          <cell r="L196">
            <v>243924.79</v>
          </cell>
          <cell r="M196" t="str">
            <v>11 : 20 Days</v>
          </cell>
          <cell r="N196">
            <v>46183</v>
          </cell>
          <cell r="O196" t="str">
            <v>PASTA</v>
          </cell>
          <cell r="P196">
            <v>19</v>
          </cell>
        </row>
        <row r="197">
          <cell r="B197" t="str">
            <v>Delta A</v>
          </cell>
          <cell r="C197" t="str">
            <v>Damietta - Khaled Ismaiel Al-Fath</v>
          </cell>
          <cell r="D197" t="str">
            <v>Mohamed Zakaria Ibrahim</v>
          </cell>
          <cell r="E197" t="str">
            <v>D22_G01812</v>
          </cell>
          <cell r="F197" t="str">
            <v>محلات محمود الفار</v>
          </cell>
          <cell r="G197" t="str">
            <v>K-Retail</v>
          </cell>
          <cell r="H197">
            <v>46189.450206169</v>
          </cell>
          <cell r="I197" t="str">
            <v>D22_O_00258605</v>
          </cell>
          <cell r="J197">
            <v>1000000</v>
          </cell>
          <cell r="K197">
            <v>96894.94</v>
          </cell>
          <cell r="L197">
            <v>0</v>
          </cell>
          <cell r="M197" t="str">
            <v>Not Due</v>
          </cell>
          <cell r="N197">
            <v>46205</v>
          </cell>
          <cell r="O197" t="str">
            <v>PASTA</v>
          </cell>
          <cell r="P197">
            <v>-3</v>
          </cell>
        </row>
        <row r="198">
          <cell r="B198" t="str">
            <v>Delta A</v>
          </cell>
          <cell r="C198" t="str">
            <v>Damietta - Khaled Ismaiel Al-Fath</v>
          </cell>
          <cell r="D198" t="str">
            <v>Mohamed Zakaria Ibrahim</v>
          </cell>
          <cell r="E198" t="str">
            <v>D22_G01812</v>
          </cell>
          <cell r="F198" t="str">
            <v>محلات محمود الفار</v>
          </cell>
          <cell r="G198" t="str">
            <v>K-Retail</v>
          </cell>
          <cell r="H198">
            <v>46196.722415358803</v>
          </cell>
          <cell r="I198" t="str">
            <v>D22_O_00259846</v>
          </cell>
          <cell r="J198">
            <v>1000000</v>
          </cell>
          <cell r="K198">
            <v>229361.17</v>
          </cell>
          <cell r="L198">
            <v>0</v>
          </cell>
          <cell r="M198" t="str">
            <v>Not Due</v>
          </cell>
          <cell r="N198">
            <v>46212</v>
          </cell>
          <cell r="O198" t="str">
            <v>PASTA</v>
          </cell>
          <cell r="P198">
            <v>-10</v>
          </cell>
        </row>
        <row r="199">
          <cell r="B199" t="str">
            <v>Delta A</v>
          </cell>
          <cell r="C199" t="str">
            <v>Damietta - Khaled Ismaiel Al-Fath</v>
          </cell>
          <cell r="D199" t="str">
            <v>Mohamed Zakaria Ibrahim</v>
          </cell>
          <cell r="E199" t="str">
            <v>D22_G02156</v>
          </cell>
          <cell r="F199" t="str">
            <v>داون تاون العرب</v>
          </cell>
          <cell r="G199" t="str">
            <v>K-Retail</v>
          </cell>
          <cell r="H199">
            <v>46147.599206516199</v>
          </cell>
          <cell r="I199" t="str">
            <v>D22_O_00252493</v>
          </cell>
          <cell r="J199">
            <v>75000</v>
          </cell>
          <cell r="K199">
            <v>18914.310000000001</v>
          </cell>
          <cell r="L199">
            <v>18914.310000000001</v>
          </cell>
          <cell r="M199" t="str">
            <v>31 : 60 Days</v>
          </cell>
          <cell r="N199">
            <v>46163</v>
          </cell>
          <cell r="O199" t="str">
            <v>PASTA</v>
          </cell>
          <cell r="P199">
            <v>39</v>
          </cell>
        </row>
        <row r="200">
          <cell r="B200" t="str">
            <v>Delta A</v>
          </cell>
          <cell r="C200" t="str">
            <v>Damietta - Khaled Ismaiel Al-Fath</v>
          </cell>
          <cell r="D200" t="str">
            <v>Mohamed Zakaria Ibrahim</v>
          </cell>
          <cell r="E200" t="str">
            <v>D22_G02156</v>
          </cell>
          <cell r="F200" t="str">
            <v>داون تاون العرب</v>
          </cell>
          <cell r="G200" t="str">
            <v>K-Retail</v>
          </cell>
          <cell r="H200">
            <v>46198.679032870401</v>
          </cell>
          <cell r="I200" t="str">
            <v>D22_O_00260167</v>
          </cell>
          <cell r="J200">
            <v>75000</v>
          </cell>
          <cell r="K200">
            <v>52951.89</v>
          </cell>
          <cell r="L200">
            <v>0</v>
          </cell>
          <cell r="M200" t="str">
            <v>Not Due</v>
          </cell>
          <cell r="N200">
            <v>46214</v>
          </cell>
          <cell r="O200" t="str">
            <v>PASTA</v>
          </cell>
          <cell r="P200">
            <v>-12</v>
          </cell>
        </row>
        <row r="201">
          <cell r="B201" t="str">
            <v>Delta A</v>
          </cell>
          <cell r="C201" t="str">
            <v>Damietta - Khaled Ismaiel Al-Fath</v>
          </cell>
          <cell r="D201" t="str">
            <v>Mohamed Zakaria Ibrahim</v>
          </cell>
          <cell r="E201" t="str">
            <v>D22_R01806</v>
          </cell>
          <cell r="F201" t="str">
            <v>القواس</v>
          </cell>
          <cell r="G201" t="str">
            <v>K-Retail</v>
          </cell>
          <cell r="H201">
            <v>46194.713306863399</v>
          </cell>
          <cell r="I201" t="str">
            <v>D22_O_00259446</v>
          </cell>
          <cell r="J201">
            <v>1000000</v>
          </cell>
          <cell r="K201">
            <v>180789.08</v>
          </cell>
          <cell r="L201">
            <v>0</v>
          </cell>
          <cell r="M201" t="str">
            <v>Not Due</v>
          </cell>
          <cell r="N201">
            <v>46210</v>
          </cell>
          <cell r="O201" t="str">
            <v>AFIA</v>
          </cell>
          <cell r="P201">
            <v>-8</v>
          </cell>
        </row>
        <row r="202">
          <cell r="B202" t="str">
            <v>Delta A</v>
          </cell>
          <cell r="C202" t="str">
            <v>Damietta - Khaled Ismaiel Al-Fath</v>
          </cell>
          <cell r="D202" t="str">
            <v>Mohamed Zakaria Ibrahim</v>
          </cell>
          <cell r="E202" t="str">
            <v>D22_R01812</v>
          </cell>
          <cell r="F202" t="str">
            <v>محلات محمود الفار</v>
          </cell>
          <cell r="G202" t="str">
            <v>K-Retail</v>
          </cell>
          <cell r="H202">
            <v>46166.5066814815</v>
          </cell>
          <cell r="I202" t="str">
            <v>D22_O_00255512</v>
          </cell>
          <cell r="J202">
            <v>3000000</v>
          </cell>
          <cell r="K202">
            <v>35784.43</v>
          </cell>
          <cell r="L202">
            <v>35784.43</v>
          </cell>
          <cell r="M202" t="str">
            <v>11 : 20 Days</v>
          </cell>
          <cell r="N202">
            <v>46182</v>
          </cell>
          <cell r="O202" t="str">
            <v>AFIA</v>
          </cell>
          <cell r="P202">
            <v>20</v>
          </cell>
        </row>
        <row r="203">
          <cell r="B203" t="str">
            <v>Delta A</v>
          </cell>
          <cell r="C203" t="str">
            <v>Damietta - Khaled Ismaiel Al-Fath</v>
          </cell>
          <cell r="D203" t="str">
            <v>Mohamed Zakaria Ibrahim</v>
          </cell>
          <cell r="E203" t="str">
            <v>D22_R01812</v>
          </cell>
          <cell r="F203" t="str">
            <v>محلات محمود الفار</v>
          </cell>
          <cell r="G203" t="str">
            <v>K-Retail</v>
          </cell>
          <cell r="H203">
            <v>46182.418694756903</v>
          </cell>
          <cell r="I203" t="str">
            <v>D22_O_00257547</v>
          </cell>
          <cell r="J203">
            <v>3000000</v>
          </cell>
          <cell r="K203">
            <v>98716.87</v>
          </cell>
          <cell r="L203">
            <v>98716.87</v>
          </cell>
          <cell r="M203" t="str">
            <v>1 : 10 Days</v>
          </cell>
          <cell r="N203">
            <v>46198</v>
          </cell>
          <cell r="O203" t="str">
            <v>AFIA</v>
          </cell>
          <cell r="P203">
            <v>4</v>
          </cell>
        </row>
        <row r="204">
          <cell r="B204" t="str">
            <v>Delta A</v>
          </cell>
          <cell r="C204" t="str">
            <v>Damietta - Khaled Ismaiel Al-Fath</v>
          </cell>
          <cell r="D204" t="str">
            <v>Mohamed Zakaria Ibrahim</v>
          </cell>
          <cell r="E204" t="str">
            <v>D22_R01812</v>
          </cell>
          <cell r="F204" t="str">
            <v>محلات محمود الفار</v>
          </cell>
          <cell r="G204" t="str">
            <v>K-Retail</v>
          </cell>
          <cell r="H204">
            <v>46196.848310300898</v>
          </cell>
          <cell r="I204" t="str">
            <v>D22_O_00259874</v>
          </cell>
          <cell r="J204">
            <v>3000000</v>
          </cell>
          <cell r="K204">
            <v>949019.04</v>
          </cell>
          <cell r="L204">
            <v>0</v>
          </cell>
          <cell r="M204" t="str">
            <v>Not Due</v>
          </cell>
          <cell r="N204">
            <v>46212</v>
          </cell>
          <cell r="O204" t="str">
            <v>AFIA</v>
          </cell>
          <cell r="P204">
            <v>-10</v>
          </cell>
        </row>
        <row r="205">
          <cell r="B205" t="str">
            <v>Delta A</v>
          </cell>
          <cell r="C205" t="str">
            <v>Damietta - Khaled Ismaiel Al-Fath</v>
          </cell>
          <cell r="D205" t="str">
            <v>Mohamed Zakaria Ibrahim</v>
          </cell>
          <cell r="E205" t="str">
            <v>D22_R02156</v>
          </cell>
          <cell r="F205" t="str">
            <v>داون تاون العرب</v>
          </cell>
          <cell r="G205" t="str">
            <v>K-Retail</v>
          </cell>
          <cell r="H205">
            <v>46198.690031284699</v>
          </cell>
          <cell r="I205" t="str">
            <v>D22_O_00260176</v>
          </cell>
          <cell r="J205">
            <v>100000</v>
          </cell>
          <cell r="K205">
            <v>99802.91</v>
          </cell>
          <cell r="L205">
            <v>0</v>
          </cell>
          <cell r="M205" t="str">
            <v>Not Due</v>
          </cell>
          <cell r="N205">
            <v>46214</v>
          </cell>
          <cell r="O205" t="str">
            <v>AFIA</v>
          </cell>
          <cell r="P205">
            <v>-12</v>
          </cell>
        </row>
      </sheetData>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T (2)"/>
      <sheetName val="M.C"/>
      <sheetName val="المديونية والمتاخرات"/>
      <sheetName val="العملاء المتاخرين والفواتير"/>
      <sheetName val="بيان"/>
      <sheetName val="DATA"/>
      <sheetName val="الموزعين"/>
      <sheetName val="AGA"/>
      <sheetName val="سلوك العملاء"/>
      <sheetName val="M.C OLD"/>
      <sheetName val="Collect"/>
      <sheetName val="مرتجعات"/>
      <sheetName val="Sheet2"/>
      <sheetName val="Sheet1"/>
    </sheetNames>
    <sheetDataSet>
      <sheetData sheetId="0"/>
      <sheetData sheetId="1">
        <row r="5">
          <cell r="B5" t="str">
            <v>AFIA</v>
          </cell>
          <cell r="C5"/>
          <cell r="D5"/>
          <cell r="E5" t="str">
            <v>PASTA</v>
          </cell>
          <cell r="F5"/>
          <cell r="G5"/>
          <cell r="H5" t="str">
            <v>SFIE</v>
          </cell>
          <cell r="I5"/>
          <cell r="J5"/>
          <cell r="K5"/>
          <cell r="L5" t="str">
            <v>ALL</v>
          </cell>
          <cell r="M5"/>
          <cell r="O5" t="str">
            <v>M.C Vs</v>
          </cell>
          <cell r="P5" t="str">
            <v>TAR</v>
          </cell>
        </row>
        <row r="6">
          <cell r="B6" t="str">
            <v xml:space="preserve">M.C </v>
          </cell>
          <cell r="C6" t="str">
            <v xml:space="preserve"> O.D</v>
          </cell>
          <cell r="D6" t="str">
            <v xml:space="preserve"> %</v>
          </cell>
          <cell r="E6" t="str">
            <v xml:space="preserve">M.C </v>
          </cell>
          <cell r="F6" t="str">
            <v xml:space="preserve"> O.D</v>
          </cell>
          <cell r="G6" t="str">
            <v xml:space="preserve"> %</v>
          </cell>
          <cell r="H6" t="str">
            <v xml:space="preserve">M.C </v>
          </cell>
          <cell r="I6" t="str">
            <v xml:space="preserve"> O.D</v>
          </cell>
          <cell r="J6" t="str">
            <v xml:space="preserve"> %</v>
          </cell>
          <cell r="K6" t="str">
            <v xml:space="preserve">Total M.C </v>
          </cell>
          <cell r="L6" t="str">
            <v>Total  O.D</v>
          </cell>
          <cell r="M6" t="str">
            <v>Total  %</v>
          </cell>
          <cell r="O6" t="str">
            <v>M.C Vs TAR</v>
          </cell>
          <cell r="P6" t="str">
            <v>O.D VS TAR</v>
          </cell>
          <cell r="Q6" t="str">
            <v>TAR</v>
          </cell>
        </row>
        <row r="7">
          <cell r="B7">
            <v>30857984.669999994</v>
          </cell>
          <cell r="C7">
            <v>30149648.740000002</v>
          </cell>
          <cell r="D7" t="str">
            <v>98% ⛔</v>
          </cell>
          <cell r="E7">
            <v>5746867.7299999995</v>
          </cell>
          <cell r="F7">
            <v>4982921.01</v>
          </cell>
          <cell r="G7" t="str">
            <v>87% ⛔</v>
          </cell>
          <cell r="H7">
            <v>0</v>
          </cell>
          <cell r="I7">
            <v>0</v>
          </cell>
          <cell r="J7" t="str">
            <v/>
          </cell>
          <cell r="K7">
            <v>36604852.399999999</v>
          </cell>
          <cell r="L7">
            <v>35132569.75</v>
          </cell>
          <cell r="M7" t="str">
            <v>96% ⛔</v>
          </cell>
          <cell r="O7">
            <v>0.566626825238425</v>
          </cell>
          <cell r="P7">
            <v>0.54383654501254119</v>
          </cell>
          <cell r="Q7">
            <v>64601340.369999997</v>
          </cell>
        </row>
        <row r="8">
          <cell r="B8">
            <v>8062959.0499999998</v>
          </cell>
          <cell r="C8">
            <v>8062959.0499999998</v>
          </cell>
          <cell r="D8" t="str">
            <v>100% ⛔</v>
          </cell>
          <cell r="E8">
            <v>372943.53</v>
          </cell>
          <cell r="F8">
            <v>372943.53</v>
          </cell>
          <cell r="G8" t="str">
            <v>100% ⛔</v>
          </cell>
          <cell r="H8">
            <v>0</v>
          </cell>
          <cell r="I8">
            <v>0</v>
          </cell>
          <cell r="J8" t="str">
            <v/>
          </cell>
          <cell r="K8">
            <v>8435902.5800000001</v>
          </cell>
          <cell r="L8">
            <v>8435902.5800000001</v>
          </cell>
          <cell r="M8" t="str">
            <v>100% ⛔</v>
          </cell>
          <cell r="O8">
            <v>0.22726304364806826</v>
          </cell>
          <cell r="P8">
            <v>0.22726304364806826</v>
          </cell>
          <cell r="Q8">
            <v>37119552.939999998</v>
          </cell>
        </row>
        <row r="9">
          <cell r="B9">
            <v>9791597.3999990001</v>
          </cell>
          <cell r="C9">
            <v>6540712.1399989994</v>
          </cell>
          <cell r="D9" t="str">
            <v>67% ⚠</v>
          </cell>
          <cell r="E9">
            <v>4514071.38</v>
          </cell>
          <cell r="F9">
            <v>2840046.0599999996</v>
          </cell>
          <cell r="G9" t="str">
            <v>63% ⚠</v>
          </cell>
          <cell r="H9">
            <v>0</v>
          </cell>
          <cell r="I9">
            <v>0</v>
          </cell>
          <cell r="J9" t="str">
            <v/>
          </cell>
          <cell r="K9">
            <v>14305668.779999005</v>
          </cell>
          <cell r="L9">
            <v>9380758.1999990009</v>
          </cell>
          <cell r="M9" t="str">
            <v>66% ⚠</v>
          </cell>
          <cell r="O9">
            <v>0.32037415836478872</v>
          </cell>
          <cell r="P9">
            <v>0.21008123138920312</v>
          </cell>
          <cell r="Q9">
            <v>44653004.640000001</v>
          </cell>
        </row>
        <row r="10">
          <cell r="B10">
            <v>48712541.119998991</v>
          </cell>
          <cell r="C10">
            <v>66367499.920000002</v>
          </cell>
          <cell r="D10" t="str">
            <v>136% ⛔</v>
          </cell>
          <cell r="E10">
            <v>10633882.640000001</v>
          </cell>
          <cell r="F10">
            <v>8195910.5999999996</v>
          </cell>
          <cell r="G10" t="str">
            <v>77% ⛔</v>
          </cell>
          <cell r="H10">
            <v>0</v>
          </cell>
          <cell r="I10">
            <v>0</v>
          </cell>
          <cell r="J10" t="str">
            <v/>
          </cell>
          <cell r="K10">
            <v>59346423.759999</v>
          </cell>
          <cell r="L10">
            <v>52949230.529999003</v>
          </cell>
          <cell r="M10" t="str">
            <v>89% ⛔</v>
          </cell>
          <cell r="O10">
            <v>0.40544403470262985</v>
          </cell>
          <cell r="P10">
            <v>0.36173956744723695</v>
          </cell>
          <cell r="Q10">
            <v>146373897.94999999</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ed Ibrahim ElSamnoudi" refreshedDate="46202.206113888889" createdVersion="8" refreshedVersion="8" minRefreshableVersion="3" recordCount="690" xr:uid="{CBC5F59C-560E-4EFC-BF84-2F960BDD6D3E}">
  <cacheSource type="worksheet">
    <worksheetSource ref="A1:O691" sheet="M.C"/>
  </cacheSource>
  <cacheFields count="15">
    <cacheField name="Region" numFmtId="49">
      <sharedItems containsMixedTypes="1" containsNumber="1" containsInteger="1" minValue="0" maxValue="0"/>
    </cacheField>
    <cacheField name="Dirstributor" numFmtId="49">
      <sharedItems containsMixedTypes="1" containsNumber="1" containsInteger="1" minValue="0" maxValue="0" count="4">
        <s v="Dakahlia Aga – Al Yasmine"/>
        <s v="Dakahlia - Al Yasmine"/>
        <s v="Damietta - Khaled Ismaiel Al-Fath"/>
        <n v="0"/>
      </sharedItems>
    </cacheField>
    <cacheField name="Salesmannamee" numFmtId="49">
      <sharedItems containsMixedTypes="1" containsNumber="1" containsInteger="1" minValue="0" maxValue="0"/>
    </cacheField>
    <cacheField name="Customer no" numFmtId="49">
      <sharedItems containsMixedTypes="1" containsNumber="1" containsInteger="1" minValue="0" maxValue="0"/>
    </cacheField>
    <cacheField name="Customer name" numFmtId="49">
      <sharedItems containsMixedTypes="1" containsNumber="1" containsInteger="1" minValue="0" maxValue="0"/>
    </cacheField>
    <cacheField name="Description" numFmtId="49">
      <sharedItems containsMixedTypes="1" containsNumber="1" containsInteger="1" minValue="0" maxValue="0"/>
    </cacheField>
    <cacheField name="Date" numFmtId="164">
      <sharedItems containsSemiMixedTypes="0" containsNonDate="0" containsDate="1" containsString="0" minDate="1899-12-30T00:00:00" maxDate="2026-06-28T15:14:17"/>
    </cacheField>
    <cacheField name="Invoice No" numFmtId="49">
      <sharedItems containsMixedTypes="1" containsNumber="1" containsInteger="1" minValue="0" maxValue="0"/>
    </cacheField>
    <cacheField name="Creditlimit" numFmtId="49">
      <sharedItems containsSemiMixedTypes="0" containsString="0" containsNumber="1" containsInteger="1" minValue="0" maxValue="12000000"/>
    </cacheField>
    <cacheField name="Value" numFmtId="49">
      <sharedItems containsSemiMixedTypes="0" containsString="0" containsNumber="1" minValue="0" maxValue="9048827.1699999999"/>
    </cacheField>
    <cacheField name="Total O.D" numFmtId="49">
      <sharedItems containsSemiMixedTypes="0" containsString="0" containsNumber="1" minValue="0" maxValue="9048827.1699999999"/>
    </cacheField>
    <cacheField name="مدة التأخير" numFmtId="49">
      <sharedItems containsMixedTypes="1" containsNumber="1" containsInteger="1" minValue="0" maxValue="0" count="7">
        <s v="61 : 120 Days"/>
        <s v="1 : 10 Days"/>
        <s v="11 : 20 Days"/>
        <s v="Not Due"/>
        <s v="31 : 60 Days"/>
        <s v="21 : 30 Days"/>
        <n v="0"/>
      </sharedItems>
    </cacheField>
    <cacheField name="Due Date" numFmtId="164">
      <sharedItems containsSemiMixedTypes="0" containsNonDate="0" containsDate="1" containsString="0" minDate="1899-12-30T00:00:00" maxDate="2026-07-26T00:00:00"/>
    </cacheField>
    <cacheField name="vendor_x000a_" numFmtId="49">
      <sharedItems containsMixedTypes="1" containsNumber="1" containsInteger="1" minValue="0" maxValue="0"/>
    </cacheField>
    <cacheField name="مدة التأخير باليوم" numFmtId="49">
      <sharedItems containsSemiMixedTypes="0" containsString="0" containsNumber="1" containsInteger="1" minValue="-26" maxValue="10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ed Ibrahim ElSamnoudi" refreshedDate="46202.206129513892" createdVersion="8" refreshedVersion="8" minRefreshableVersion="3" recordCount="516" xr:uid="{48F54BAB-1316-4604-B4F9-D98BD99871D1}">
  <cacheSource type="worksheet">
    <worksheetSource ref="A1:O517" sheet="M.C"/>
  </cacheSource>
  <cacheFields count="15">
    <cacheField name="Region" numFmtId="49">
      <sharedItems containsMixedTypes="1" containsNumber="1" containsInteger="1" minValue="0" maxValue="0"/>
    </cacheField>
    <cacheField name="Dirstributor" numFmtId="49">
      <sharedItems containsMixedTypes="1" containsNumber="1" containsInteger="1" minValue="0" maxValue="0" count="4">
        <s v="Dakahlia Aga – Al Yasmine"/>
        <s v="Dakahlia - Al Yasmine"/>
        <s v="Damietta - Khaled Ismaiel Al-Fath"/>
        <n v="0"/>
      </sharedItems>
    </cacheField>
    <cacheField name="Salesmannamee" numFmtId="49">
      <sharedItems containsMixedTypes="1" containsNumber="1" containsInteger="1" minValue="0" maxValue="0"/>
    </cacheField>
    <cacheField name="Customer no" numFmtId="49">
      <sharedItems containsMixedTypes="1" containsNumber="1" containsInteger="1" minValue="0" maxValue="0"/>
    </cacheField>
    <cacheField name="Customer name" numFmtId="49">
      <sharedItems containsMixedTypes="1" containsNumber="1" containsInteger="1" minValue="0" maxValue="0" count="83">
        <s v="أسواق الندى"/>
        <s v="بطوطة ماركت"/>
        <s v="صلاح غلوش"/>
        <s v="مؤسسة محمد حسن"/>
        <s v="أحمد الشنيطى"/>
        <s v="تجارة ضيف الله"/>
        <s v="صلاح الطناحى"/>
        <s v="شركة مسلم للتجارة"/>
        <s v="محمود ضيف الله"/>
        <s v="البنا "/>
        <s v="محمد عبد السميع "/>
        <s v="محمد عيطة "/>
        <s v="ورثة محمد المرسى "/>
        <s v="عبد القادر جودة"/>
        <s v="سامى حلمى"/>
        <s v="أحمد عبد السميع"/>
        <s v="المتحدة للتجارة والتوكيلات"/>
        <s v="الشركة المصرية للتجارة"/>
        <s v="أحمد صلاح مسلم "/>
        <s v="صرح للاستيراد والتصدير "/>
        <s v="العوضى غلوش"/>
        <s v="محمود النحاس"/>
        <s v="محمد حنيجل"/>
        <s v="شركة مكسب للتجارة و الالكترونية"/>
        <s v="المصباح للتسويق و التجاره الالكترونيه"/>
        <s v="مصطفى حسيب"/>
        <s v="محمود عبداللطيف"/>
        <s v="عبد الله شطا"/>
        <s v="حامد الطحان"/>
        <s v="ياسر الصعيدى"/>
        <s v="خالد زغلول"/>
        <s v="خلاف"/>
        <s v="شركة الوفاق"/>
        <s v="خالدهاشم"/>
        <s v="احمد الكردى"/>
        <s v="وكالة المنصورة"/>
        <s v="كية اتش جملة ماركت"/>
        <s v="ميلانو"/>
        <s v="كشري السندباد"/>
        <s v="كشرى الثوره 2"/>
        <s v="احمد الشامى"/>
        <s v="الجميل"/>
        <s v="ايهاب مرجان"/>
        <s v="حسن منتصر"/>
        <s v="رامى الشامى"/>
        <s v="زكريا عيد"/>
        <s v="شركة الرحمة"/>
        <s v="عبده الشافعى"/>
        <s v="عزت الشربينى"/>
        <s v="عمرو محرز"/>
        <s v="عوض عبد الدايم"/>
        <s v="ياسر عثمان"/>
        <s v="منصور السيد سالم على"/>
        <s v="يحيى عيد"/>
        <s v="احمد عبدالله"/>
        <s v="الاتحاد التعاونى"/>
        <s v="الفردوس"/>
        <s v="ايمن عبد الله"/>
        <s v="جنة المؤمنيين"/>
        <s v="سامح عبد الله"/>
        <s v="سعد شطا"/>
        <s v="فتحى حجازى"/>
        <s v="فتحى خميس"/>
        <s v="محمد المليجى"/>
        <s v="هندام"/>
        <s v="عارف العشرى"/>
        <s v="محمد الشيخ"/>
        <s v="الطازج"/>
        <s v="ابو علاء"/>
        <s v="الايمان"/>
        <s v="سما خوخه"/>
        <s v="لطفى العيسوى"/>
        <s v="محمود حجازى"/>
        <s v="محمود فايد"/>
        <s v="ملفاى"/>
        <s v="افندينا"/>
        <s v="كشري العدوى"/>
        <s v="الزعيم"/>
        <s v="الامبراطور"/>
        <s v="القواس"/>
        <s v="محلات محمود الفار"/>
        <s v="داون تاون العرب"/>
        <n v="0"/>
      </sharedItems>
    </cacheField>
    <cacheField name="Description" numFmtId="49">
      <sharedItems containsMixedTypes="1" containsNumber="1" containsInteger="1" minValue="0" maxValue="0"/>
    </cacheField>
    <cacheField name="Date" numFmtId="164">
      <sharedItems containsSemiMixedTypes="0" containsNonDate="0" containsDate="1" containsString="0" minDate="1899-12-30T00:00:00" maxDate="2026-06-28T15:14:17"/>
    </cacheField>
    <cacheField name="Invoice No" numFmtId="49">
      <sharedItems containsMixedTypes="1" containsNumber="1" containsInteger="1" minValue="0" maxValue="0"/>
    </cacheField>
    <cacheField name="Creditlimit" numFmtId="49">
      <sharedItems containsSemiMixedTypes="0" containsString="0" containsNumber="1" containsInteger="1" minValue="0" maxValue="12000000"/>
    </cacheField>
    <cacheField name="Value" numFmtId="49">
      <sharedItems containsSemiMixedTypes="0" containsString="0" containsNumber="1" minValue="0" maxValue="9048827.1699999999"/>
    </cacheField>
    <cacheField name="Total O.D" numFmtId="49">
      <sharedItems containsSemiMixedTypes="0" containsString="0" containsNumber="1" minValue="0" maxValue="9048827.1699999999"/>
    </cacheField>
    <cacheField name="مدة التأخير" numFmtId="49">
      <sharedItems containsMixedTypes="1" containsNumber="1" containsInteger="1" minValue="0" maxValue="0" count="7">
        <s v="61 : 120 Days"/>
        <s v="1 : 10 Days"/>
        <s v="11 : 20 Days"/>
        <s v="Not Due"/>
        <s v="31 : 60 Days"/>
        <s v="21 : 30 Days"/>
        <n v="0"/>
      </sharedItems>
    </cacheField>
    <cacheField name="Due Date" numFmtId="164">
      <sharedItems containsSemiMixedTypes="0" containsNonDate="0" containsDate="1" containsString="0" minDate="1899-12-30T00:00:00" maxDate="2026-07-26T00:00:00"/>
    </cacheField>
    <cacheField name="vendor_x000a_" numFmtId="49">
      <sharedItems containsMixedTypes="1" containsNumber="1" containsInteger="1" minValue="0" maxValue="0"/>
    </cacheField>
    <cacheField name="مدة التأخير باليوم" numFmtId="49">
      <sharedItems containsSemiMixedTypes="0" containsString="0" containsNumber="1" containsInteger="1" minValue="-26" maxValue="1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0">
  <r>
    <s v="Delta A"/>
    <x v="0"/>
    <s v="Ahmed Saad Ibrahim"/>
    <s v="D24_G00704"/>
    <s v="أسواق الندى"/>
    <s v="K-Retail"/>
    <d v="2026-03-09T14:56:36"/>
    <s v="D24_O_00120803"/>
    <n v="0"/>
    <n v="65180.93"/>
    <n v="65180.93"/>
    <x v="0"/>
    <d v="2026-03-25T00:00:00"/>
    <s v="PASTA"/>
    <n v="96"/>
  </r>
  <r>
    <s v="Delta A"/>
    <x v="0"/>
    <s v="El Sayed Omar Attiah"/>
    <s v="D24_R00704"/>
    <s v="أسواق الندى"/>
    <s v="K-Retail"/>
    <d v="2026-03-07T15:11:01"/>
    <s v="D24_O_00120635"/>
    <n v="0"/>
    <n v="66136.759999999995"/>
    <n v="66136.759999999995"/>
    <x v="0"/>
    <d v="2026-03-23T00:00:00"/>
    <s v="AFIA"/>
    <n v="98"/>
  </r>
  <r>
    <s v="Delta A"/>
    <x v="0"/>
    <s v="Mahmoud Arafa Mohamed Salama"/>
    <s v="D24_G00274"/>
    <s v="بطوطة ماركت"/>
    <s v="K-Retail"/>
    <d v="2026-03-07T12:55:30"/>
    <s v="D24_O_00120589"/>
    <n v="0"/>
    <n v="21755.56"/>
    <n v="21755.56"/>
    <x v="0"/>
    <d v="2026-03-23T00:00:00"/>
    <s v="PASTA"/>
    <n v="98"/>
  </r>
  <r>
    <s v="Delta A"/>
    <x v="0"/>
    <s v="Mohamed Ali Al sayed Al sayed"/>
    <s v="D24_R01104"/>
    <s v="صلاح غلوش"/>
    <s v="W/s Consumer &amp; Industrial"/>
    <d v="2026-03-07T16:46:14"/>
    <s v="D24_O_00120614"/>
    <n v="3500000"/>
    <n v="1602863.43"/>
    <n v="1602863.43"/>
    <x v="0"/>
    <d v="2026-03-18T00:00:00"/>
    <s v="AFIA"/>
    <n v="103"/>
  </r>
  <r>
    <s v="Delta A"/>
    <x v="0"/>
    <s v="Mohamed Kamel Ali - Ganna Mix"/>
    <s v="D24_01212"/>
    <s v="مؤسسة محمد حسن"/>
    <s v="W/s Consumer &amp; Industrial"/>
    <d v="2026-06-21T00:00:00"/>
    <s v="D24_O_00126984"/>
    <n v="300000"/>
    <n v="211989.26"/>
    <n v="211989.26"/>
    <x v="1"/>
    <d v="2026-06-22T00:00:00"/>
    <s v="AFIA"/>
    <n v="7"/>
  </r>
  <r>
    <s v="Delta A"/>
    <x v="0"/>
    <s v="Tawakkol Mustafa Enab"/>
    <s v="D24_G01094"/>
    <s v="أحمد الشنيطى"/>
    <s v="W/s Consumer &amp; Industrial"/>
    <d v="2026-06-11T10:52:30"/>
    <s v="D24_O_00126600"/>
    <n v="200000"/>
    <n v="39624"/>
    <n v="39624"/>
    <x v="1"/>
    <d v="2026-06-22T00:00:00"/>
    <s v="PASTA"/>
    <n v="7"/>
  </r>
  <r>
    <s v="Delta A"/>
    <x v="0"/>
    <s v="Tawakkol Mustafa Enab"/>
    <s v="D24_G01096"/>
    <s v="تجارة ضيف الله"/>
    <s v="W/s Consumer &amp; Industrial"/>
    <d v="2026-06-06T09:36:06"/>
    <s v="D24_O_00126202"/>
    <n v="200000"/>
    <n v="49382.57"/>
    <n v="49382.57"/>
    <x v="2"/>
    <d v="2026-06-17T00:00:00"/>
    <s v="PASTA"/>
    <n v="12"/>
  </r>
  <r>
    <s v="Delta A"/>
    <x v="0"/>
    <s v="Tawakkol Mustafa Enab"/>
    <s v="D24_G01102"/>
    <s v="صلاح الطناحى"/>
    <s v="W/s Consumer &amp; Industrial"/>
    <d v="2026-06-07T09:40:39"/>
    <s v="D24_O_00126280"/>
    <n v="200000"/>
    <n v="52832"/>
    <n v="52832"/>
    <x v="2"/>
    <d v="2026-06-18T00:00:00"/>
    <s v="PASTA"/>
    <n v="11"/>
  </r>
  <r>
    <s v="Delta A"/>
    <x v="0"/>
    <s v="Tawakkol Mustafa Enab"/>
    <s v="D24_G01108"/>
    <s v="شركة مسلم للتجارة"/>
    <s v="W/s Consumer &amp; Industrial"/>
    <d v="2026-06-07T12:04:53"/>
    <s v="D24_O_00126285"/>
    <n v="1500000"/>
    <n v="97517"/>
    <n v="97517"/>
    <x v="2"/>
    <d v="2026-06-18T00:00:00"/>
    <s v="PASTA"/>
    <n v="11"/>
  </r>
  <r>
    <s v="Delta A"/>
    <x v="0"/>
    <s v="Tawakkol Mustafa Enab"/>
    <s v="D24_G01108"/>
    <s v="شركة مسلم للتجارة"/>
    <s v="W/s Consumer &amp; Industrial"/>
    <d v="2026-06-10T12:32:06"/>
    <s v="D24_O_00126540"/>
    <n v="1500000"/>
    <n v="26550.57"/>
    <n v="26550.57"/>
    <x v="1"/>
    <d v="2026-06-21T00:00:00"/>
    <s v="PASTA"/>
    <n v="8"/>
  </r>
  <r>
    <s v="Delta A"/>
    <x v="0"/>
    <s v="Tawakkol Mustafa Enab"/>
    <s v="D24_G01108"/>
    <s v="شركة مسلم للتجارة"/>
    <s v="W/s Consumer &amp; Industrial"/>
    <d v="2026-06-16T11:57:02"/>
    <s v="D24_O_00126838"/>
    <n v="1500000"/>
    <n v="52832"/>
    <n v="52832"/>
    <x v="1"/>
    <d v="2026-06-27T00:00:00"/>
    <s v="PASTA"/>
    <n v="2"/>
  </r>
  <r>
    <s v="Delta A"/>
    <x v="0"/>
    <s v="Tawakkol Mustafa Enab"/>
    <s v="D24_G01108"/>
    <s v="شركة مسلم للتجارة"/>
    <s v="W/s Consumer &amp; Industrial"/>
    <d v="2026-06-17T12:20:26"/>
    <s v="D24_O_00126904"/>
    <n v="1500000"/>
    <n v="52832"/>
    <n v="52832"/>
    <x v="1"/>
    <d v="2026-06-28T00:00:00"/>
    <s v="PASTA"/>
    <n v="1"/>
  </r>
  <r>
    <s v="Delta A"/>
    <x v="0"/>
    <s v="Tawakkol Mustafa Enab"/>
    <s v="D24_G01108"/>
    <s v="شركة مسلم للتجارة"/>
    <s v="W/s Consumer &amp; Industrial"/>
    <d v="2026-06-18T13:51:30"/>
    <s v="D24_O_00126986"/>
    <n v="1500000"/>
    <n v="26550.58"/>
    <n v="0"/>
    <x v="3"/>
    <d v="2026-06-29T00:00:00"/>
    <s v="PASTA"/>
    <n v="0"/>
  </r>
  <r>
    <s v="Delta A"/>
    <x v="0"/>
    <s v="Tawakkol Mustafa Enab"/>
    <s v="D24_G01108"/>
    <s v="شركة مسلم للتجارة"/>
    <s v="W/s Consumer &amp; Industrial"/>
    <d v="2026-06-20T12:25:05"/>
    <s v="D24_O_00127040"/>
    <n v="1500000"/>
    <n v="52832"/>
    <n v="0"/>
    <x v="3"/>
    <d v="2026-07-01T00:00:00"/>
    <s v="PASTA"/>
    <n v="-2"/>
  </r>
  <r>
    <s v="Delta A"/>
    <x v="0"/>
    <s v="Tawakkol Mustafa Enab"/>
    <s v="D24_G01108"/>
    <s v="شركة مسلم للتجارة"/>
    <s v="W/s Consumer &amp; Industrial"/>
    <d v="2026-06-21T11:24:48"/>
    <s v="D24_O_00127115"/>
    <n v="1500000"/>
    <n v="52832"/>
    <n v="0"/>
    <x v="3"/>
    <d v="2026-07-02T00:00:00"/>
    <s v="PASTA"/>
    <n v="-3"/>
  </r>
  <r>
    <s v="Delta A"/>
    <x v="0"/>
    <s v="Tawakkol Mustafa Enab"/>
    <s v="D24_G01108"/>
    <s v="شركة مسلم للتجارة"/>
    <s v="W/s Consumer &amp; Industrial"/>
    <d v="2026-06-22T11:22:49"/>
    <s v="D24_O_00127202"/>
    <n v="1500000"/>
    <n v="92456"/>
    <n v="0"/>
    <x v="3"/>
    <d v="2026-07-03T00:00:00"/>
    <s v="PASTA"/>
    <n v="-4"/>
  </r>
  <r>
    <s v="Delta A"/>
    <x v="0"/>
    <s v="Tawakkol Mustafa Enab"/>
    <s v="D24_G01108"/>
    <s v="شركة مسلم للتجارة"/>
    <s v="W/s Consumer &amp; Industrial"/>
    <d v="2026-06-23T10:29:50"/>
    <s v="D24_O_00127284"/>
    <n v="1500000"/>
    <n v="92456"/>
    <n v="0"/>
    <x v="3"/>
    <d v="2026-07-04T00:00:00"/>
    <s v="PASTA"/>
    <n v="-5"/>
  </r>
  <r>
    <s v="Delta A"/>
    <x v="0"/>
    <s v="Tawakkol Mustafa Enab"/>
    <s v="D24_G01108"/>
    <s v="شركة مسلم للتجارة"/>
    <s v="W/s Consumer &amp; Industrial"/>
    <d v="2026-06-28T10:17:34"/>
    <s v="D24_O_00127584"/>
    <n v="1500000"/>
    <n v="79382.58"/>
    <n v="0"/>
    <x v="3"/>
    <d v="2026-07-09T00:00:00"/>
    <s v="PASTA"/>
    <n v="-10"/>
  </r>
  <r>
    <s v="Delta A"/>
    <x v="0"/>
    <s v="Tawakkol Mustafa Enab"/>
    <s v="D24_G01116"/>
    <s v="محمود ضيف الله"/>
    <s v="W/s Consumer &amp; Industrial"/>
    <d v="2026-06-10T11:51:23"/>
    <s v="D24_O_00126538"/>
    <n v="200000"/>
    <n v="98496"/>
    <n v="98496"/>
    <x v="1"/>
    <d v="2026-06-21T00:00:00"/>
    <s v="PASTA"/>
    <n v="8"/>
  </r>
  <r>
    <s v="Delta A"/>
    <x v="0"/>
    <s v="Tawakkol Mustafa Enab"/>
    <s v="D24_G01633"/>
    <s v="البنا "/>
    <s v="W/s Consumer &amp; Industrial"/>
    <d v="2026-06-21T10:11:08"/>
    <s v="D24_O_00127111"/>
    <n v="200000"/>
    <n v="67932"/>
    <n v="0"/>
    <x v="3"/>
    <d v="2026-07-02T00:00:00"/>
    <s v="PASTA"/>
    <n v="-3"/>
  </r>
  <r>
    <s v="Delta A"/>
    <x v="0"/>
    <s v="Tawakkol Mustafa Enab"/>
    <s v="D24_G01633"/>
    <s v="البنا "/>
    <s v="W/s Consumer &amp; Industrial"/>
    <d v="2026-06-24T11:06:59"/>
    <s v="D24_O_00127362"/>
    <n v="200000"/>
    <n v="24000"/>
    <n v="0"/>
    <x v="3"/>
    <d v="2026-07-05T00:00:00"/>
    <s v="SFIE"/>
    <n v="-6"/>
  </r>
  <r>
    <s v="Delta A"/>
    <x v="0"/>
    <s v="Tawakkol Mustafa Enab"/>
    <s v="D24_G01655"/>
    <s v="محمد عبد السميع "/>
    <s v="W/s Consumer &amp; Industrial"/>
    <d v="2026-06-23T10:22:38"/>
    <s v="D24_O_00127282"/>
    <n v="300000"/>
    <n v="132214.57999999999"/>
    <n v="0"/>
    <x v="3"/>
    <d v="2026-07-04T00:00:00"/>
    <s v="PASTA"/>
    <n v="-5"/>
  </r>
  <r>
    <s v="Delta A"/>
    <x v="0"/>
    <s v="Tawakkol Mustafa Enab"/>
    <s v="D24_G01655"/>
    <s v="محمد عبد السميع "/>
    <s v="W/s Consumer &amp; Industrial"/>
    <d v="2026-06-23T10:28:31"/>
    <s v="D24_O_00127283"/>
    <n v="300000"/>
    <n v="60000"/>
    <n v="0"/>
    <x v="3"/>
    <d v="2026-07-04T00:00:00"/>
    <s v="SFIE"/>
    <n v="-5"/>
  </r>
  <r>
    <s v="Delta A"/>
    <x v="0"/>
    <s v="Tawakkol Mustafa Enab"/>
    <s v="D24_G01660"/>
    <s v="محمد عيطة "/>
    <s v="W/s Consumer &amp; Industrial"/>
    <d v="2026-06-06T10:42:31"/>
    <s v="D24_O_00126205"/>
    <n v="200000"/>
    <n v="52832"/>
    <n v="52832"/>
    <x v="2"/>
    <d v="2026-06-17T00:00:00"/>
    <s v="PASTA"/>
    <n v="12"/>
  </r>
  <r>
    <s v="Delta A"/>
    <x v="0"/>
    <s v="Tawakkol Mustafa Enab"/>
    <s v="D24_G01674"/>
    <s v="ورثة محمد المرسى "/>
    <s v="W/s Consumer &amp; Industrial"/>
    <d v="2026-06-21T12:40:57"/>
    <s v="D24_O_00127121"/>
    <n v="200000"/>
    <n v="26550.57"/>
    <n v="0"/>
    <x v="3"/>
    <d v="2026-07-02T00:00:00"/>
    <s v="PASTA"/>
    <n v="-3"/>
  </r>
  <r>
    <s v="Delta A"/>
    <x v="0"/>
    <s v="مندوب جملة احتياطي عافية"/>
    <s v="D24_R01092"/>
    <s v="عبد القادر جودة"/>
    <s v="W/s Consumer &amp; Industrial"/>
    <d v="2026-06-07T10:25:02"/>
    <s v="D24_O_00126283"/>
    <n v="300000"/>
    <n v="169917.99"/>
    <n v="169917.99"/>
    <x v="2"/>
    <d v="2026-06-18T00:00:00"/>
    <s v="AFIA"/>
    <n v="11"/>
  </r>
  <r>
    <s v="Delta A"/>
    <x v="0"/>
    <s v="مندوب جملة احتياطي عافية"/>
    <s v="D24_R01095"/>
    <s v="سامى حلمى"/>
    <s v="W/s Consumer &amp; Industrial"/>
    <d v="2026-06-11T10:27:04"/>
    <s v="D24_O_00126599"/>
    <n v="250000"/>
    <n v="137006.82"/>
    <n v="137006.82"/>
    <x v="1"/>
    <d v="2026-06-22T00:00:00"/>
    <s v="AFIA"/>
    <n v="7"/>
  </r>
  <r>
    <s v="Delta A"/>
    <x v="0"/>
    <s v="مندوب جملة احتياطي عافية"/>
    <s v="D24_R01106"/>
    <s v="أحمد عبد السميع"/>
    <s v="W/s Consumer &amp; Industrial"/>
    <d v="2026-06-07T12:44:44"/>
    <s v="D24_O_00126286"/>
    <n v="500000"/>
    <n v="159048.14000000001"/>
    <n v="159048.14000000001"/>
    <x v="2"/>
    <d v="2026-06-18T00:00:00"/>
    <s v="AFIA"/>
    <n v="11"/>
  </r>
  <r>
    <s v="Delta A"/>
    <x v="0"/>
    <s v="مندوب جملة احتياطي عافية"/>
    <s v="D24_R01107"/>
    <s v="المتحدة للتجارة والتوكيلات"/>
    <s v="W/s Consumer &amp; Industrial"/>
    <d v="2026-05-18T17:04:55"/>
    <s v="D24_O_00125287"/>
    <n v="5000000"/>
    <n v="2172584"/>
    <n v="2172584"/>
    <x v="4"/>
    <d v="2026-05-29T00:00:00"/>
    <s v="AFIA"/>
    <n v="31"/>
  </r>
  <r>
    <s v="Delta A"/>
    <x v="0"/>
    <s v="مندوب جملة احتياطي عافية"/>
    <s v="D24_R01107"/>
    <s v="المتحدة للتجارة والتوكيلات"/>
    <s v="W/s Consumer &amp; Industrial"/>
    <d v="2026-05-21T13:41:32"/>
    <s v="D24_O_00125473"/>
    <n v="5000000"/>
    <n v="824000"/>
    <n v="824000"/>
    <x v="5"/>
    <d v="2026-06-01T00:00:00"/>
    <s v="AFIA"/>
    <n v="28"/>
  </r>
  <r>
    <s v="Delta A"/>
    <x v="0"/>
    <s v="مندوب جملة احتياطي عافية"/>
    <s v="D24_R01107"/>
    <s v="المتحدة للتجارة والتوكيلات"/>
    <s v="W/s Consumer &amp; Industrial"/>
    <d v="2026-06-04T13:11:23"/>
    <s v="D24_O_00126096"/>
    <n v="5000000"/>
    <n v="1065600"/>
    <n v="1065600"/>
    <x v="2"/>
    <d v="2026-06-15T00:00:00"/>
    <s v="AFIA"/>
    <n v="14"/>
  </r>
  <r>
    <s v="Delta A"/>
    <x v="0"/>
    <s v="مندوب جملة احتياطي عافية"/>
    <s v="D24_R01107"/>
    <s v="المتحدة للتجارة والتوكيلات"/>
    <s v="W/s Consumer &amp; Industrial"/>
    <d v="2026-06-14T12:34:31"/>
    <s v="D24_O_00126695"/>
    <n v="5000000"/>
    <n v="828800"/>
    <n v="828800"/>
    <x v="1"/>
    <d v="2026-06-25T00:00:00"/>
    <s v="AFIA"/>
    <n v="4"/>
  </r>
  <r>
    <s v="Delta A"/>
    <x v="0"/>
    <s v="مندوب جملة احتياطي عافية"/>
    <s v="D24_R01633"/>
    <s v="البنا "/>
    <s v="W/s Consumer &amp; Industrial"/>
    <d v="2026-06-08T13:58:16"/>
    <s v="D24_O_00126383"/>
    <n v="250000"/>
    <n v="149999.45000000001"/>
    <n v="149999.45000000001"/>
    <x v="1"/>
    <d v="2026-06-19T00:00:00"/>
    <s v="AFIA"/>
    <n v="10"/>
  </r>
  <r>
    <s v="Delta A"/>
    <x v="0"/>
    <s v="مندوب جملة احتياطي عافية"/>
    <s v="D24_R01633"/>
    <s v="البنا "/>
    <s v="W/s Consumer &amp; Industrial"/>
    <d v="2026-06-24T11:28:18"/>
    <s v="D24_O_00127365"/>
    <n v="250000"/>
    <n v="90657.35"/>
    <n v="0"/>
    <x v="3"/>
    <d v="2026-07-05T00:00:00"/>
    <s v="AFIA"/>
    <n v="-6"/>
  </r>
  <r>
    <s v="Delta A"/>
    <x v="0"/>
    <s v="مندوب جملة احتياطي عافية"/>
    <s v="D24_R01655"/>
    <s v="محمد عبد السميع "/>
    <s v="W/s Consumer &amp; Industrial"/>
    <d v="2026-06-17T12:21:10"/>
    <s v="D24_O_00126903"/>
    <n v="500000"/>
    <n v="248014.28"/>
    <n v="248014.28"/>
    <x v="1"/>
    <d v="2026-06-28T00:00:00"/>
    <s v="AFIA"/>
    <n v="1"/>
  </r>
  <r>
    <s v="Delta A"/>
    <x v="0"/>
    <s v="مندوب جملة احتياطي عافية"/>
    <s v="D24_R01655"/>
    <s v="محمد عبد السميع "/>
    <s v="W/s Consumer &amp; Industrial"/>
    <d v="2026-06-28T14:07:23"/>
    <s v="D24_O_00127610"/>
    <n v="500000"/>
    <n v="250926.98"/>
    <n v="0"/>
    <x v="3"/>
    <d v="2026-07-09T00:00:00"/>
    <s v="AFIA"/>
    <n v="-10"/>
  </r>
  <r>
    <s v="Delta A"/>
    <x v="0"/>
    <s v="مندوب جملة احتياطي عافية"/>
    <s v="D24_R01660"/>
    <s v="محمد عيطة "/>
    <s v="W/s Consumer &amp; Industrial"/>
    <d v="2026-06-06T10:44:19"/>
    <s v="D24_O_00126204"/>
    <n v="250000"/>
    <n v="64972.97"/>
    <n v="64972.97"/>
    <x v="2"/>
    <d v="2026-06-17T00:00:00"/>
    <s v="AFIA"/>
    <n v="12"/>
  </r>
  <r>
    <s v="Delta A"/>
    <x v="0"/>
    <s v="مندوب جملة احتياطي عافية"/>
    <s v="D24_R01663"/>
    <s v="الشركة المصرية للتجارة"/>
    <s v="W/s Consumer &amp; Industrial"/>
    <d v="2026-06-27T15:07:22"/>
    <s v="D24_O_00127548"/>
    <n v="250000"/>
    <n v="54281.52"/>
    <n v="0"/>
    <x v="3"/>
    <d v="2026-07-08T00:00:00"/>
    <s v="AFIA"/>
    <n v="-9"/>
  </r>
  <r>
    <s v="Delta A"/>
    <x v="0"/>
    <s v="مندوب جملة احتياطي عافية"/>
    <s v="D24_R01668"/>
    <s v="أحمد صلاح مسلم "/>
    <s v="W/s Consumer &amp; Industrial"/>
    <d v="2026-06-04T17:20:50"/>
    <s v="D24_O_00126197"/>
    <n v="200000"/>
    <n v="30275.56"/>
    <n v="30275.56"/>
    <x v="2"/>
    <d v="2026-06-15T00:00:00"/>
    <s v="AFIA"/>
    <n v="14"/>
  </r>
  <r>
    <s v="Delta A"/>
    <x v="0"/>
    <s v="مندوب جملة احتياطي عافية"/>
    <s v="D24_R01668"/>
    <s v="أحمد صلاح مسلم "/>
    <s v="W/s Consumer &amp; Industrial"/>
    <d v="2026-06-18T12:16:22"/>
    <s v="D24_O_00126982"/>
    <n v="200000"/>
    <n v="122435.49"/>
    <n v="0"/>
    <x v="3"/>
    <d v="2026-06-29T00:00:00"/>
    <s v="AFIA"/>
    <n v="0"/>
  </r>
  <r>
    <s v="Delta A"/>
    <x v="0"/>
    <s v="مندوب جملة احتياطي عافية"/>
    <s v="D24_R01668"/>
    <s v="أحمد صلاح مسلم "/>
    <s v="W/s Consumer &amp; Industrial"/>
    <d v="2026-06-22T11:10:53"/>
    <s v="D24_O_00127201"/>
    <n v="200000"/>
    <n v="46400"/>
    <n v="0"/>
    <x v="3"/>
    <d v="2026-07-03T00:00:00"/>
    <s v="AFIA"/>
    <n v="-4"/>
  </r>
  <r>
    <s v="Delta A"/>
    <x v="0"/>
    <s v="مندوب جملة احتياطي عافية"/>
    <s v="D24_R01674"/>
    <s v="ورثة محمد المرسى "/>
    <s v="W/s Consumer &amp; Industrial"/>
    <d v="2026-06-08T00:00:00"/>
    <s v="D24_O_00126282"/>
    <n v="250000"/>
    <n v="63170.69"/>
    <n v="63170.69"/>
    <x v="1"/>
    <d v="2026-06-19T00:00:00"/>
    <s v="AFIA"/>
    <n v="10"/>
  </r>
  <r>
    <s v="Delta A"/>
    <x v="0"/>
    <s v="مندوب جملة احتياطي عافية"/>
    <s v="D24_R01674"/>
    <s v="ورثة محمد المرسى "/>
    <s v="W/s Consumer &amp; Industrial"/>
    <d v="2026-06-21T12:40:05"/>
    <s v="D24_O_00127120"/>
    <n v="250000"/>
    <n v="25770"/>
    <n v="0"/>
    <x v="3"/>
    <d v="2026-07-02T00:00:00"/>
    <s v="AFIA"/>
    <n v="-3"/>
  </r>
  <r>
    <s v="Delta A"/>
    <x v="0"/>
    <s v="مندوب جملة احتياطي عافية"/>
    <s v="D24_R01748"/>
    <s v="صرح للاستيراد والتصدير "/>
    <s v="W/s Consumer &amp; Industrial"/>
    <d v="2026-06-06T09:46:59"/>
    <s v="D24_O_00126203"/>
    <n v="250000"/>
    <n v="151630.31"/>
    <n v="151630.31"/>
    <x v="2"/>
    <d v="2026-06-17T00:00:00"/>
    <s v="AFIA"/>
    <n v="12"/>
  </r>
  <r>
    <s v="Delta A"/>
    <x v="0"/>
    <s v="مندوب جملة احتياطي عافية"/>
    <s v="D24_R01748"/>
    <s v="صرح للاستيراد والتصدير "/>
    <s v="W/s Consumer &amp; Industrial"/>
    <d v="2026-06-25T12:16:52"/>
    <s v="D24_O_00127422"/>
    <n v="250000"/>
    <n v="83078.289999999994"/>
    <n v="0"/>
    <x v="3"/>
    <d v="2026-07-06T00:00:00"/>
    <s v="AFIA"/>
    <n v="-7"/>
  </r>
  <r>
    <s v="Delta A"/>
    <x v="0"/>
    <s v="#MULTIVALUE"/>
    <s v="D24_R01547"/>
    <s v="العوضى غلوش"/>
    <s v="W/s Consumer &amp; Industrial"/>
    <d v="2026-03-07T16:48:42"/>
    <s v="D24_O_00120615"/>
    <n v="3500000"/>
    <n v="1097867.52"/>
    <n v="1097867.52"/>
    <x v="0"/>
    <d v="2026-03-18T00:00:00"/>
    <s v="AFIA"/>
    <n v="103"/>
  </r>
  <r>
    <s v="Delta A"/>
    <x v="0"/>
    <s v="#MULTIVALUE"/>
    <s v="D24_R01547"/>
    <s v="العوضى غلوش"/>
    <s v="W/s Consumer &amp; Industrial"/>
    <d v="2026-06-13T09:56:03"/>
    <s v="D24_O_00126645"/>
    <n v="3500000"/>
    <n v="328720"/>
    <n v="328720"/>
    <x v="1"/>
    <d v="2026-06-24T00:00:00"/>
    <s v="AFIA"/>
    <n v="5"/>
  </r>
  <r>
    <s v="Delta A"/>
    <x v="0"/>
    <s v="#MULTIVALUE"/>
    <s v="D24_R01547"/>
    <s v="العوضى غلوش"/>
    <s v="W/s Consumer &amp; Industrial"/>
    <d v="2026-06-18T12:36:37"/>
    <s v="D24_O_00126983"/>
    <n v="3500000"/>
    <n v="779520"/>
    <n v="0"/>
    <x v="3"/>
    <d v="2026-06-29T00:00:00"/>
    <s v="AFIA"/>
    <n v="0"/>
  </r>
  <r>
    <s v="Delta A"/>
    <x v="1"/>
    <s v="Ahmed Abdl Hadi Abdl Galil"/>
    <s v="D21_R01107"/>
    <s v="محمود النحاس"/>
    <s v="W/s Consumer &amp; Industrial"/>
    <d v="2026-06-27T10:13:16"/>
    <s v="D21_O_00269895"/>
    <n v="150000"/>
    <n v="40000"/>
    <n v="0"/>
    <x v="3"/>
    <d v="2026-07-08T00:00:00"/>
    <s v="AFIA"/>
    <n v="-9"/>
  </r>
  <r>
    <s v="Delta A"/>
    <x v="1"/>
    <s v="Ahmed Abdl Hadi Abdl Galil"/>
    <s v="D21_R01157"/>
    <s v="محمد حنيجل"/>
    <s v="W/s Consumer &amp; Industrial"/>
    <d v="2026-05-18T09:38:25"/>
    <s v="D21_O_00263609"/>
    <n v="500000"/>
    <n v="174790.94"/>
    <n v="174790.94"/>
    <x v="4"/>
    <d v="2026-05-29T00:00:00"/>
    <s v="AFIA"/>
    <n v="31"/>
  </r>
  <r>
    <s v="Delta A"/>
    <x v="1"/>
    <s v="Ahmed Abdl Hadi Abdl Galil"/>
    <s v="D21_R01195"/>
    <s v="شركة مكسب للتجارة و الالكترونية"/>
    <s v="W/s Consumer &amp; Industrial"/>
    <d v="2026-06-17T00:00:00"/>
    <s v="D21_O_00268536"/>
    <n v="1500000"/>
    <n v="71902.100000000006"/>
    <n v="71902.100000000006"/>
    <x v="1"/>
    <d v="2026-06-28T00:00:00"/>
    <s v="AFIA"/>
    <n v="1"/>
  </r>
  <r>
    <s v="Delta A"/>
    <x v="1"/>
    <s v="Ahmed Abdl Hadi Abdl Galil"/>
    <s v="D21_R01195"/>
    <s v="شركة مكسب للتجارة و الالكترونية"/>
    <s v="W/s Consumer &amp; Industrial"/>
    <d v="2026-06-21T09:34:12"/>
    <s v="D21_O_00269103"/>
    <n v="1500000"/>
    <n v="91431.07"/>
    <n v="0"/>
    <x v="3"/>
    <d v="2026-07-02T00:00:00"/>
    <s v="AFIA"/>
    <n v="-3"/>
  </r>
  <r>
    <s v="Delta A"/>
    <x v="1"/>
    <s v="Ahmed Abdl Hadi Abdl Galil"/>
    <s v="D21_R01195"/>
    <s v="شركة مكسب للتجارة و الالكترونية"/>
    <s v="W/s Consumer &amp; Industrial"/>
    <d v="2026-06-21T09:37:40"/>
    <s v="D21_O_00269104"/>
    <n v="1500000"/>
    <n v="94168.94"/>
    <n v="0"/>
    <x v="3"/>
    <d v="2026-07-02T00:00:00"/>
    <s v="AFIA"/>
    <n v="-3"/>
  </r>
  <r>
    <s v="Delta A"/>
    <x v="1"/>
    <s v="Ahmed Abdl Hadi Abdl Galil"/>
    <s v="D21_R01195"/>
    <s v="شركة مكسب للتجارة و الالكترونية"/>
    <s v="W/s Consumer &amp; Industrial"/>
    <d v="2026-06-28T09:48:11"/>
    <s v="D21_O_00270087"/>
    <n v="1500000"/>
    <n v="147205.06"/>
    <n v="0"/>
    <x v="3"/>
    <d v="2026-07-09T00:00:00"/>
    <s v="AFIA"/>
    <n v="-10"/>
  </r>
  <r>
    <s v="Delta A"/>
    <x v="1"/>
    <s v="Ahmed Abdl Hadi Abdl Galil"/>
    <s v="D21_R02240"/>
    <s v="المصباح للتسويق و التجاره الالكترونيه"/>
    <s v="W/s Consumer &amp; Industrial"/>
    <d v="2026-05-23T00:00:00"/>
    <s v="D21_O_00264359"/>
    <n v="3000000"/>
    <n v="39835"/>
    <n v="39835"/>
    <x v="5"/>
    <d v="2026-06-03T00:00:00"/>
    <s v="AFIA"/>
    <n v="26"/>
  </r>
  <r>
    <s v="Delta A"/>
    <x v="1"/>
    <s v="Ahmed Abdl Hadi Abdl Galil"/>
    <s v="D21_R02347"/>
    <s v="مصطفى حسيب"/>
    <s v="W/s Consumer &amp; Industrial"/>
    <d v="2026-02-26T19:06:41"/>
    <s v="D21_O_00250572"/>
    <n v="12000000"/>
    <n v="109149.19"/>
    <n v="109149.19"/>
    <x v="0"/>
    <d v="2026-03-14T00:00:00"/>
    <s v="AFIA"/>
    <n v="107"/>
  </r>
  <r>
    <s v="Delta A"/>
    <x v="1"/>
    <s v="Ahmed Abdl Hadi Abdl Galil"/>
    <s v="D21_R02347"/>
    <s v="مصطفى حسيب"/>
    <s v="W/s Consumer &amp; Industrial"/>
    <d v="2026-02-28T17:28:15"/>
    <s v="D21_O_00250744"/>
    <n v="12000000"/>
    <n v="1239804.1399999999"/>
    <n v="1239804.1399999999"/>
    <x v="0"/>
    <d v="2026-03-16T00:00:00"/>
    <s v="AFIA"/>
    <n v="105"/>
  </r>
  <r>
    <s v="Delta A"/>
    <x v="1"/>
    <s v="Ahmed Abdl Hadi Abdl Galil"/>
    <s v="D21_R02347"/>
    <s v="مصطفى حسيب"/>
    <s v="W/s Consumer &amp; Industrial"/>
    <d v="2026-03-07T08:13:07"/>
    <s v="D21_O_00251954"/>
    <n v="12000000"/>
    <n v="9048827.1699999999"/>
    <n v="9048827.1699999999"/>
    <x v="0"/>
    <d v="2026-03-23T00:00:00"/>
    <s v="AFIA"/>
    <n v="98"/>
  </r>
  <r>
    <s v="Delta A"/>
    <x v="1"/>
    <s v="Ahmed Abdl Hadi Abdl Galil"/>
    <s v="D21_R02347"/>
    <s v="مصطفى حسيب"/>
    <s v="W/s Consumer &amp; Industrial"/>
    <d v="2026-06-09T18:01:39"/>
    <s v="D21_O_00267314"/>
    <n v="12000000"/>
    <n v="366422.07"/>
    <n v="366422.07"/>
    <x v="1"/>
    <d v="2026-06-20T00:00:00"/>
    <s v="AFIA"/>
    <n v="9"/>
  </r>
  <r>
    <s v="Delta A"/>
    <x v="1"/>
    <s v="Ahmed Abdl Hadi Abdl Galil"/>
    <s v="D21_R02347"/>
    <s v="مصطفى حسيب"/>
    <s v="W/s Consumer &amp; Industrial"/>
    <d v="2026-06-11T14:24:14"/>
    <s v="D21_O_00267624"/>
    <n v="12000000"/>
    <n v="453649.62"/>
    <n v="453649.62"/>
    <x v="1"/>
    <d v="2026-06-22T00:00:00"/>
    <s v="AFIA"/>
    <n v="7"/>
  </r>
  <r>
    <s v="Delta A"/>
    <x v="1"/>
    <s v="Ahmed Abdl Hadi Abdl Galil"/>
    <s v="D21_R02347"/>
    <s v="مصطفى حسيب"/>
    <s v="W/s Consumer &amp; Industrial"/>
    <d v="2026-06-17T14:42:30"/>
    <s v="D21_O_00268606"/>
    <n v="12000000"/>
    <n v="356250.75"/>
    <n v="356250.75"/>
    <x v="1"/>
    <d v="2026-06-28T00:00:00"/>
    <s v="AFIA"/>
    <n v="1"/>
  </r>
  <r>
    <s v="Delta A"/>
    <x v="1"/>
    <s v="Ahmed Abdl Hadi Abdl Galil"/>
    <s v="D21_R02347"/>
    <s v="مصطفى حسيب"/>
    <s v="W/s Consumer &amp; Industrial"/>
    <d v="2026-06-18T12:41:27"/>
    <s v="D21_O_00268754"/>
    <n v="12000000"/>
    <n v="216077.89"/>
    <n v="0"/>
    <x v="3"/>
    <d v="2026-06-29T00:00:00"/>
    <s v="AFIA"/>
    <n v="0"/>
  </r>
  <r>
    <s v="Delta A"/>
    <x v="1"/>
    <s v="Ahmed Al Taneeb Aboda"/>
    <s v="D21_M01115"/>
    <s v="محمود عبداللطيف"/>
    <s v="W/s Consumer &amp; Industrial"/>
    <d v="2026-06-09T09:41:58"/>
    <s v="D21_O_00267118"/>
    <n v="150000"/>
    <n v="27148"/>
    <n v="27148"/>
    <x v="1"/>
    <d v="2026-06-20T00:00:00"/>
    <s v="PASTA"/>
    <n v="9"/>
  </r>
  <r>
    <s v="Delta A"/>
    <x v="1"/>
    <s v="Ahmed Al Taneeb Aboda"/>
    <s v="D21_M01123"/>
    <s v="عبد الله شطا"/>
    <s v="W/s Consumer &amp; Industrial"/>
    <d v="2026-06-13T09:23:03"/>
    <s v="D21_O_00267800"/>
    <n v="150000"/>
    <n v="14114"/>
    <n v="14114"/>
    <x v="1"/>
    <d v="2026-06-24T00:00:00"/>
    <s v="PASTA"/>
    <n v="5"/>
  </r>
  <r>
    <s v="Delta A"/>
    <x v="1"/>
    <s v="Ahmed Al Taneeb Aboda"/>
    <s v="D21_M01133"/>
    <s v="حامد الطحان"/>
    <s v="W/s Consumer &amp; Industrial"/>
    <d v="2026-06-21T09:14:13"/>
    <s v="D21_O_00269102"/>
    <n v="200000"/>
    <n v="7705"/>
    <n v="0"/>
    <x v="3"/>
    <d v="2026-07-02T00:00:00"/>
    <s v="PASTA"/>
    <n v="-3"/>
  </r>
  <r>
    <s v="Delta A"/>
    <x v="1"/>
    <s v="Ahmed Al Taneeb Aboda"/>
    <s v="D21_M02347"/>
    <s v="مصطفى حسيب"/>
    <s v="W/s Consumer &amp; Industrial"/>
    <d v="2026-02-28T22:11:30"/>
    <s v="D21_O_00250773"/>
    <n v="2500000"/>
    <n v="2173119.46"/>
    <n v="2173119.46"/>
    <x v="0"/>
    <d v="2026-03-16T00:00:00"/>
    <s v="PASTA"/>
    <n v="105"/>
  </r>
  <r>
    <s v="Delta A"/>
    <x v="1"/>
    <s v="Ahmed Al Taneeb Aboda"/>
    <s v="D21_M02347"/>
    <s v="مصطفى حسيب"/>
    <s v="W/s Consumer &amp; Industrial"/>
    <d v="2026-06-11T20:26:57"/>
    <s v="D21_O_00267793"/>
    <n v="2500000"/>
    <n v="158496"/>
    <n v="158496"/>
    <x v="1"/>
    <d v="2026-06-22T00:00:00"/>
    <s v="PASTA"/>
    <n v="7"/>
  </r>
  <r>
    <s v="Delta A"/>
    <x v="1"/>
    <s v="Ahmed Mosad Al shahaat"/>
    <s v="D21_P01503"/>
    <s v="محمد حنيجل"/>
    <s v="W/s Consumer &amp; Industrial"/>
    <d v="2026-06-02T13:09:53"/>
    <s v="D21_O_00265651"/>
    <n v="225000"/>
    <n v="116540"/>
    <n v="116540"/>
    <x v="2"/>
    <d v="2026-06-13T00:00:00"/>
    <s v="PASTA"/>
    <n v="16"/>
  </r>
  <r>
    <s v="Delta A"/>
    <x v="1"/>
    <s v="Ahmed Mosad Al shahaat"/>
    <s v="D21_P01503"/>
    <s v="محمد حنيجل"/>
    <s v="W/s Consumer &amp; Industrial"/>
    <d v="2026-06-18T00:00:00"/>
    <s v="D21_O_00268540"/>
    <n v="225000"/>
    <n v="104040"/>
    <n v="0"/>
    <x v="3"/>
    <d v="2026-06-29T00:00:00"/>
    <s v="PASTA"/>
    <n v="0"/>
  </r>
  <r>
    <s v="Delta A"/>
    <x v="1"/>
    <s v="Ahmed Mosad Al shahaat"/>
    <s v="D21_P01505"/>
    <s v="ياسر الصعيدى"/>
    <s v="W/s Consumer &amp; Industrial"/>
    <d v="2026-06-20T10:55:33"/>
    <s v="D21_O_00268898"/>
    <n v="150000"/>
    <n v="32981"/>
    <n v="0"/>
    <x v="3"/>
    <d v="2026-07-01T00:00:00"/>
    <s v="PASTA"/>
    <n v="-2"/>
  </r>
  <r>
    <s v="Delta A"/>
    <x v="1"/>
    <s v="Ahmed Mosad Al shahaat"/>
    <s v="D21_P01505"/>
    <s v="ياسر الصعيدى"/>
    <s v="W/s Consumer &amp; Industrial"/>
    <d v="2026-06-24T10:24:36"/>
    <s v="D21_O_00269601"/>
    <n v="150000"/>
    <n v="61740"/>
    <n v="0"/>
    <x v="3"/>
    <d v="2026-07-05T00:00:00"/>
    <s v="PASTA"/>
    <n v="-6"/>
  </r>
  <r>
    <s v="Delta A"/>
    <x v="1"/>
    <s v="Ahmed Mosad Al shahaat"/>
    <s v="D21_P01511"/>
    <s v="خالد زغلول"/>
    <s v="W/s Consumer &amp; Industrial"/>
    <d v="2026-06-23T00:00:00"/>
    <s v="D21_O_00269423"/>
    <n v="150000"/>
    <n v="105000"/>
    <n v="0"/>
    <x v="3"/>
    <d v="2026-07-04T00:00:00"/>
    <s v="PASTA"/>
    <n v="-5"/>
  </r>
  <r>
    <s v="Delta A"/>
    <x v="1"/>
    <s v="Ahmed Mosad Al shahaat"/>
    <s v="D21_P01564"/>
    <s v="خلاف"/>
    <s v="W/s Consumer &amp; Industrial"/>
    <d v="2026-06-08T12:04:49"/>
    <s v="D21_O_00266939"/>
    <n v="1500000"/>
    <n v="210000"/>
    <n v="210000"/>
    <x v="1"/>
    <d v="2026-06-19T00:00:00"/>
    <s v="PASTA"/>
    <n v="10"/>
  </r>
  <r>
    <s v="Delta A"/>
    <x v="1"/>
    <s v="Ahmed Mosad Al shahaat"/>
    <s v="D21_P01654"/>
    <s v="مصطفى حسيب"/>
    <s v="W/s Consumer &amp; Industrial"/>
    <d v="2026-06-06T12:01:00"/>
    <s v="D21_O_00266427"/>
    <n v="500000"/>
    <n v="364620"/>
    <n v="364620"/>
    <x v="2"/>
    <d v="2026-06-17T00:00:00"/>
    <s v="PASTA"/>
    <n v="12"/>
  </r>
  <r>
    <s v="Delta A"/>
    <x v="1"/>
    <s v="Ashraf El Sayed Mahmoud"/>
    <s v="D21_M01154"/>
    <s v="شركة الوفاق"/>
    <s v="W/s Consumer &amp; Industrial"/>
    <d v="2026-06-03T09:54:58"/>
    <s v="D21_O_00265886"/>
    <n v="175000"/>
    <n v="68329"/>
    <n v="68329"/>
    <x v="2"/>
    <d v="2026-06-14T00:00:00"/>
    <s v="PASTA"/>
    <n v="15"/>
  </r>
  <r>
    <s v="Delta A"/>
    <x v="1"/>
    <s v="Ashraf El Sayed Mahmoud"/>
    <s v="D21_M01159"/>
    <s v="ياسر الصعيدى"/>
    <s v="W/s Consumer &amp; Industrial"/>
    <d v="2026-06-20T10:43:08"/>
    <s v="D21_O_00268897"/>
    <n v="80000"/>
    <n v="26416"/>
    <n v="0"/>
    <x v="3"/>
    <d v="2026-07-01T00:00:00"/>
    <s v="PASTA"/>
    <n v="-2"/>
  </r>
  <r>
    <s v="Delta A"/>
    <x v="1"/>
    <s v="Ashraf El Sayed Mahmoud"/>
    <s v="D21_M01190"/>
    <s v="خالدهاشم"/>
    <s v="W/s Consumer &amp; Industrial"/>
    <d v="2026-06-22T00:00:00"/>
    <s v="D21_O_00268364"/>
    <n v="55000"/>
    <n v="25000"/>
    <n v="0"/>
    <x v="3"/>
    <d v="2026-07-03T00:00:00"/>
    <s v="PASTA"/>
    <n v="-4"/>
  </r>
  <r>
    <s v="Delta A"/>
    <x v="1"/>
    <s v="Ashraf El Sayed Mahmoud"/>
    <s v="D21_M01195"/>
    <s v="شركة مكسب للتجارة و الالكترونية"/>
    <s v="W/s Consumer &amp; Industrial"/>
    <d v="2026-06-28T09:23:31"/>
    <s v="D21_O_00270084"/>
    <n v="2000000"/>
    <n v="221032"/>
    <n v="0"/>
    <x v="3"/>
    <d v="2026-07-09T00:00:00"/>
    <s v="PASTA"/>
    <n v="-10"/>
  </r>
  <r>
    <s v="Delta A"/>
    <x v="1"/>
    <s v="Ashraf El Sayed Mahmoud"/>
    <s v="D21_M01195"/>
    <s v="شركة مكسب للتجارة و الالكترونية"/>
    <s v="W/s Consumer &amp; Industrial"/>
    <d v="2026-06-28T09:30:58"/>
    <s v="D21_O_00270086"/>
    <n v="2000000"/>
    <n v="195820"/>
    <n v="0"/>
    <x v="3"/>
    <d v="2026-07-09T00:00:00"/>
    <s v="PASTA"/>
    <n v="-10"/>
  </r>
  <r>
    <s v="Delta A"/>
    <x v="1"/>
    <s v="Ashraf El Sayed Mahmoud"/>
    <s v="D21_M03061"/>
    <s v="احمد الكردى"/>
    <s v="W/s Consumer &amp; Industrial"/>
    <d v="2026-06-06T10:06:03"/>
    <s v="D21_O_00266414"/>
    <n v="80000"/>
    <n v="30000"/>
    <n v="30000"/>
    <x v="2"/>
    <d v="2026-06-17T00:00:00"/>
    <s v="PASTA"/>
    <n v="12"/>
  </r>
  <r>
    <s v="Delta A"/>
    <x v="1"/>
    <s v="Mahmoud Ragab Ramadan"/>
    <s v="D21_R01559"/>
    <s v="وكالة المنصورة"/>
    <s v="K-Retail"/>
    <d v="2026-05-12T12:30:27"/>
    <s v="D21_O_00262683"/>
    <n v="4000000"/>
    <n v="1261072.42"/>
    <n v="1261072.42"/>
    <x v="4"/>
    <d v="2026-05-28T00:00:00"/>
    <s v="AFIA"/>
    <n v="32"/>
  </r>
  <r>
    <s v="Delta A"/>
    <x v="1"/>
    <s v="Mahmoud Ragab Ramadan"/>
    <s v="D21_R01559"/>
    <s v="وكالة المنصورة"/>
    <s v="K-Retail"/>
    <d v="2026-06-08T20:41:11"/>
    <s v="D21_O_00267114"/>
    <n v="4000000"/>
    <n v="143349.24"/>
    <n v="143349.24"/>
    <x v="1"/>
    <d v="2026-06-24T00:00:00"/>
    <s v="AFIA"/>
    <n v="5"/>
  </r>
  <r>
    <s v="Delta A"/>
    <x v="1"/>
    <s v="Mahmoud Ragab Ramadan"/>
    <s v="D21_R01559"/>
    <s v="وكالة المنصورة"/>
    <s v="K-Retail"/>
    <d v="2026-06-08T21:05:10"/>
    <s v="D21_O_00267116"/>
    <n v="4000000"/>
    <n v="1211975.8"/>
    <n v="1211975.8"/>
    <x v="1"/>
    <d v="2026-06-24T00:00:00"/>
    <s v="AFIA"/>
    <n v="5"/>
  </r>
  <r>
    <s v="Delta A"/>
    <x v="1"/>
    <s v="Mahmoud Ragab Ramadan"/>
    <s v="D21_R01559"/>
    <s v="وكالة المنصورة"/>
    <s v="K-Retail"/>
    <d v="2026-06-20T20:23:44"/>
    <s v="D21_O_00269100"/>
    <n v="4000000"/>
    <n v="502703.25"/>
    <n v="0"/>
    <x v="3"/>
    <d v="2026-07-06T00:00:00"/>
    <s v="AFIA"/>
    <n v="-7"/>
  </r>
  <r>
    <s v="Delta A"/>
    <x v="1"/>
    <s v="Mahmoud Ragab Ramadan"/>
    <s v="D21_R01559"/>
    <s v="وكالة المنصورة"/>
    <s v="K-Retail"/>
    <d v="2026-06-23T14:12:58"/>
    <s v="D21_O_00269566"/>
    <n v="4000000"/>
    <n v="483813.75"/>
    <n v="0"/>
    <x v="3"/>
    <d v="2026-07-09T00:00:00"/>
    <s v="AFIA"/>
    <n v="-10"/>
  </r>
  <r>
    <s v="Delta A"/>
    <x v="1"/>
    <s v="Mahmoud Ragab Ramadan"/>
    <s v="D21_R03072"/>
    <s v="كية اتش جملة ماركت"/>
    <s v="K-Account"/>
    <d v="2026-06-24T10:40:52"/>
    <s v="D21_O_00269602"/>
    <n v="3000000"/>
    <n v="20113.25"/>
    <n v="0"/>
    <x v="3"/>
    <d v="2026-07-25T00:00:00"/>
    <s v="AFIA"/>
    <n v="-26"/>
  </r>
  <r>
    <s v="Delta A"/>
    <x v="1"/>
    <s v="Mohamed Kamel Ali - Ganna Mix"/>
    <s v="D21_01640"/>
    <s v="وكالة المنصورة"/>
    <s v="K-Retail"/>
    <d v="2026-05-12T13:50:55"/>
    <s v="D21_O_00262680"/>
    <n v="100000"/>
    <n v="63920.5"/>
    <n v="63920.5"/>
    <x v="4"/>
    <d v="2026-05-28T00:00:00"/>
    <s v="AFIA"/>
    <n v="32"/>
  </r>
  <r>
    <s v="Delta A"/>
    <x v="1"/>
    <s v="Mohamed Kamel Ali - Ganna Mix"/>
    <s v="D21_01678"/>
    <s v="ميلانو"/>
    <s v="W/s Consumer &amp; Industrial"/>
    <d v="2026-06-28T15:14:17"/>
    <s v="D21_O_00270228"/>
    <n v="600000"/>
    <n v="251321"/>
    <n v="0"/>
    <x v="3"/>
    <d v="2026-07-09T00:00:00"/>
    <s v="AFIA"/>
    <n v="-10"/>
  </r>
  <r>
    <s v="Delta A"/>
    <x v="1"/>
    <s v="Mohamed Mossad Fathey"/>
    <s v="D21_M01559"/>
    <s v="وكالة المنصورة"/>
    <s v="K-Retail"/>
    <d v="2026-06-08T17:24:08"/>
    <s v="D21_O_00267112"/>
    <n v="1750000"/>
    <n v="456966.68"/>
    <n v="456966.68"/>
    <x v="1"/>
    <d v="2026-06-24T00:00:00"/>
    <s v="PASTA"/>
    <n v="5"/>
  </r>
  <r>
    <s v="Delta A"/>
    <x v="1"/>
    <s v="Mohamed Mossad Fathey"/>
    <s v="D21_M01559"/>
    <s v="وكالة المنصورة"/>
    <s v="K-Retail"/>
    <d v="2026-06-20T17:59:58"/>
    <s v="D21_O_00269094"/>
    <n v="1750000"/>
    <n v="238319.02"/>
    <n v="0"/>
    <x v="3"/>
    <d v="2026-07-06T00:00:00"/>
    <s v="PASTA"/>
    <n v="-7"/>
  </r>
  <r>
    <s v="Delta A"/>
    <x v="1"/>
    <s v="Mohamed Mossad Fathey"/>
    <s v="D21_M01559"/>
    <s v="وكالة المنصورة"/>
    <s v="K-Retail"/>
    <d v="2026-06-23T12:17:00"/>
    <s v="D21_O_00269489"/>
    <n v="1750000"/>
    <n v="252449.42"/>
    <n v="0"/>
    <x v="3"/>
    <d v="2026-07-09T00:00:00"/>
    <s v="PASTA"/>
    <n v="-10"/>
  </r>
  <r>
    <s v="Delta A"/>
    <x v="1"/>
    <s v="Mohamed Mounir Mohamed - Koshary"/>
    <s v="D21_P01524"/>
    <s v="كشري السندباد"/>
    <s v="W/s Consumer &amp; Industrial"/>
    <d v="2026-06-10T00:00:00"/>
    <s v="D21_O_00267572"/>
    <n v="75000"/>
    <n v="68625"/>
    <n v="68625"/>
    <x v="1"/>
    <d v="2026-06-21T00:00:00"/>
    <s v="PASTA"/>
    <n v="8"/>
  </r>
  <r>
    <s v="Delta A"/>
    <x v="1"/>
    <s v="Mohamed Mounir Mohamed - Koshary"/>
    <s v="D21_P01641"/>
    <s v="كشرى الثوره 2"/>
    <s v="W/s Consumer &amp; Industrial"/>
    <d v="2026-06-23T00:00:00"/>
    <s v="D21_O_00269037"/>
    <n v="700000"/>
    <n v="669000"/>
    <n v="0"/>
    <x v="3"/>
    <d v="2026-07-04T00:00:00"/>
    <s v="PASTA"/>
    <n v="-5"/>
  </r>
  <r>
    <s v="Delta A"/>
    <x v="1"/>
    <s v="Samir Ashraf Mahmoud"/>
    <s v="D21_G01195"/>
    <s v="شركة مكسب للتجارة و الالكترونية"/>
    <s v="W/s Consumer &amp; Industrial"/>
    <d v="2026-06-17T00:00:00"/>
    <s v="D21_O_00268527"/>
    <n v="1500000"/>
    <n v="58677.75"/>
    <n v="58677.75"/>
    <x v="1"/>
    <d v="2026-06-28T00:00:00"/>
    <s v="AFIA"/>
    <n v="1"/>
  </r>
  <r>
    <s v="Delta A"/>
    <x v="1"/>
    <s v="Samir Ashraf Mahmoud"/>
    <s v="D21_G01195"/>
    <s v="شركة مكسب للتجارة و الالكترونية"/>
    <s v="W/s Consumer &amp; Industrial"/>
    <d v="2026-06-21T00:00:00"/>
    <s v="D21_O_00269086"/>
    <n v="1500000"/>
    <n v="54402"/>
    <n v="0"/>
    <x v="3"/>
    <d v="2026-07-02T00:00:00"/>
    <s v="AFIA"/>
    <n v="-3"/>
  </r>
  <r>
    <s v="Delta A"/>
    <x v="1"/>
    <s v="Samir Ashraf Mahmoud"/>
    <s v="D21_G01195"/>
    <s v="شركة مكسب للتجارة و الالكترونية"/>
    <s v="W/s Consumer &amp; Industrial"/>
    <d v="2026-06-21T00:00:00"/>
    <s v="D21_O_00269089"/>
    <n v="1500000"/>
    <n v="72461.94"/>
    <n v="0"/>
    <x v="3"/>
    <d v="2026-07-02T00:00:00"/>
    <s v="AFIA"/>
    <n v="-3"/>
  </r>
  <r>
    <s v="Delta A"/>
    <x v="1"/>
    <s v="Samir Ashraf Mahmoud"/>
    <s v="D21_G01195"/>
    <s v="شركة مكسب للتجارة و الالكترونية"/>
    <s v="W/s Consumer &amp; Industrial"/>
    <d v="2026-06-28T00:00:00"/>
    <s v="D21_O_00258531"/>
    <n v="1500000"/>
    <n v="183976.63"/>
    <n v="0"/>
    <x v="3"/>
    <d v="2026-07-09T00:00:00"/>
    <s v="AFIA"/>
    <n v="-10"/>
  </r>
  <r>
    <s v="Delta A"/>
    <x v="1"/>
    <s v="Samir Ashraf Mahmoud"/>
    <s v="D21_G02347"/>
    <s v="مصطفى حسيب"/>
    <s v="W/s Consumer &amp; Industrial"/>
    <d v="2026-02-28T16:05:26"/>
    <s v="D21_O_00250727"/>
    <n v="10000000"/>
    <n v="1219556.58"/>
    <n v="1219556.58"/>
    <x v="0"/>
    <d v="2026-03-16T00:00:00"/>
    <s v="AFIA"/>
    <n v="105"/>
  </r>
  <r>
    <s v="Delta A"/>
    <x v="1"/>
    <s v="Samir Ashraf Mahmoud"/>
    <s v="D21_G02347"/>
    <s v="مصطفى حسيب"/>
    <s v="W/s Consumer &amp; Industrial"/>
    <d v="2026-03-07T23:15:29"/>
    <s v="D21_O_00252359"/>
    <n v="10000000"/>
    <n v="7963401.2400000002"/>
    <n v="7963401.2400000002"/>
    <x v="0"/>
    <d v="2026-03-23T00:00:00"/>
    <s v="AFIA"/>
    <n v="98"/>
  </r>
  <r>
    <s v="Delta A"/>
    <x v="1"/>
    <s v="Samir Ashraf Mahmoud"/>
    <s v="D21_G02347"/>
    <s v="مصطفى حسيب"/>
    <s v="W/s Consumer &amp; Industrial"/>
    <d v="2026-06-06T11:25:42"/>
    <s v="D21_O_00266424"/>
    <n v="10000000"/>
    <n v="311600"/>
    <n v="311600"/>
    <x v="2"/>
    <d v="2026-06-17T00:00:00"/>
    <s v="AFIA"/>
    <n v="12"/>
  </r>
  <r>
    <s v="Delta A"/>
    <x v="1"/>
    <s v="Samir Ashraf Mahmoud"/>
    <s v="D21_G02347"/>
    <s v="مصطفى حسيب"/>
    <s v="W/s Consumer &amp; Industrial"/>
    <d v="2026-06-09T12:30:18"/>
    <s v="D21_O_00267163"/>
    <n v="10000000"/>
    <n v="79092.37"/>
    <n v="79092.37"/>
    <x v="1"/>
    <d v="2026-06-20T00:00:00"/>
    <s v="AFIA"/>
    <n v="9"/>
  </r>
  <r>
    <s v="Delta A"/>
    <x v="1"/>
    <s v="Samir Ashraf Mahmoud"/>
    <s v="D21_G02347"/>
    <s v="مصطفى حسيب"/>
    <s v="W/s Consumer &amp; Industrial"/>
    <d v="2026-06-11T10:42:06"/>
    <s v="D21_O_00267589"/>
    <n v="10000000"/>
    <n v="121643.48"/>
    <n v="121643.48"/>
    <x v="1"/>
    <d v="2026-06-22T00:00:00"/>
    <s v="AFIA"/>
    <n v="7"/>
  </r>
  <r>
    <s v="Delta A"/>
    <x v="1"/>
    <s v="Samir Ashraf Mahmoud"/>
    <s v="D21_G02347"/>
    <s v="مصطفى حسيب"/>
    <s v="W/s Consumer &amp; Industrial"/>
    <d v="2026-06-17T12:17:31"/>
    <s v="D21_O_00268560"/>
    <n v="10000000"/>
    <n v="115996.25"/>
    <n v="115996.25"/>
    <x v="1"/>
    <d v="2026-06-28T00:00:00"/>
    <s v="AFIA"/>
    <n v="1"/>
  </r>
  <r>
    <s v="Delta A"/>
    <x v="1"/>
    <s v="Samir Ashraf Mahmoud"/>
    <s v="D21_G02347"/>
    <s v="مصطفى حسيب"/>
    <s v="W/s Consumer &amp; Industrial"/>
    <d v="2026-06-18T12:56:01"/>
    <s v="D21_O_00268756"/>
    <n v="10000000"/>
    <n v="116032"/>
    <n v="0"/>
    <x v="3"/>
    <d v="2026-06-29T00:00:00"/>
    <s v="AFIA"/>
    <n v="0"/>
  </r>
  <r>
    <s v="Delta A"/>
    <x v="2"/>
    <s v="Al Saied Ibrahim Abdel Aal"/>
    <s v="D22_R01835"/>
    <s v="احمد الشامى"/>
    <s v="W/s Consumer &amp; Industrial"/>
    <d v="2026-06-02T09:00:24"/>
    <s v="D22_O_00256229"/>
    <n v="1000000"/>
    <n v="39480"/>
    <n v="39480"/>
    <x v="2"/>
    <d v="2026-06-13T00:00:00"/>
    <s v="AFIA"/>
    <n v="16"/>
  </r>
  <r>
    <s v="Delta A"/>
    <x v="2"/>
    <s v="Al Saied Ibrahim Abdel Aal"/>
    <s v="D22_R01835"/>
    <s v="احمد الشامى"/>
    <s v="W/s Consumer &amp; Industrial"/>
    <d v="2026-06-10T09:00:17"/>
    <s v="D22_O_00257725"/>
    <n v="1000000"/>
    <n v="153920"/>
    <n v="153920"/>
    <x v="1"/>
    <d v="2026-06-21T00:00:00"/>
    <s v="AFIA"/>
    <n v="8"/>
  </r>
  <r>
    <s v="Delta A"/>
    <x v="2"/>
    <s v="Al Saied Ibrahim Abdel Aal"/>
    <s v="D22_R01835"/>
    <s v="احمد الشامى"/>
    <s v="W/s Consumer &amp; Industrial"/>
    <d v="2026-06-11T00:00:00"/>
    <s v="D22_O_00239537"/>
    <n v="1000000"/>
    <n v="23200"/>
    <n v="23200"/>
    <x v="1"/>
    <d v="2026-06-22T00:00:00"/>
    <s v="AFIA"/>
    <n v="7"/>
  </r>
  <r>
    <s v="Delta A"/>
    <x v="2"/>
    <s v="Al Saied Ibrahim Abdel Aal"/>
    <s v="D22_R01835"/>
    <s v="احمد الشامى"/>
    <s v="W/s Consumer &amp; Industrial"/>
    <d v="2026-06-15T00:00:00"/>
    <s v="D22_O_00236683"/>
    <n v="1000000"/>
    <n v="46400"/>
    <n v="46400"/>
    <x v="1"/>
    <d v="2026-06-26T00:00:00"/>
    <s v="AFIA"/>
    <n v="3"/>
  </r>
  <r>
    <s v="Delta A"/>
    <x v="2"/>
    <s v="Al Saied Ibrahim Abdel Aal"/>
    <s v="D22_R01835"/>
    <s v="احمد الشامى"/>
    <s v="W/s Consumer &amp; Industrial"/>
    <d v="2026-06-21T00:00:00"/>
    <s v="D22_O_00233474"/>
    <n v="1000000"/>
    <n v="82880"/>
    <n v="0"/>
    <x v="3"/>
    <d v="2026-07-02T00:00:00"/>
    <s v="AFIA"/>
    <n v="-3"/>
  </r>
  <r>
    <s v="Delta A"/>
    <x v="2"/>
    <s v="Al Saied Ibrahim Abdel Aal"/>
    <s v="D22_R01835"/>
    <s v="احمد الشامى"/>
    <s v="W/s Consumer &amp; Industrial"/>
    <d v="2026-06-22T16:45:07"/>
    <s v="D22_O_00259626"/>
    <n v="1000000"/>
    <n v="549120"/>
    <n v="0"/>
    <x v="3"/>
    <d v="2026-07-03T00:00:00"/>
    <s v="AFIA"/>
    <n v="-4"/>
  </r>
  <r>
    <s v="Delta A"/>
    <x v="2"/>
    <s v="Al Saied Ibrahim Abdel Aal"/>
    <s v="D22_R01843"/>
    <s v="الجميل"/>
    <s v="W/s Consumer &amp; Industrial"/>
    <d v="2026-06-07T11:05:41"/>
    <s v="D22_O_00257164"/>
    <n v="50000"/>
    <n v="24000"/>
    <n v="24000"/>
    <x v="2"/>
    <d v="2026-06-18T00:00:00"/>
    <s v="AFIA"/>
    <n v="11"/>
  </r>
  <r>
    <s v="Delta A"/>
    <x v="2"/>
    <s v="Al Saied Ibrahim Abdel Aal"/>
    <s v="D22_R01852"/>
    <s v="ايهاب مرجان"/>
    <s v="W/s Consumer &amp; Industrial"/>
    <d v="2026-06-04T00:00:00"/>
    <s v="D22_O_00254132"/>
    <n v="400000"/>
    <n v="17436.82"/>
    <n v="17436.82"/>
    <x v="2"/>
    <d v="2026-06-15T00:00:00"/>
    <s v="AFIA"/>
    <n v="14"/>
  </r>
  <r>
    <s v="Delta A"/>
    <x v="2"/>
    <s v="Al Saied Ibrahim Abdel Aal"/>
    <s v="D22_R01852"/>
    <s v="ايهاب مرجان"/>
    <s v="W/s Consumer &amp; Industrial"/>
    <d v="2026-06-08T00:00:00"/>
    <s v="D22_O_00256941"/>
    <n v="400000"/>
    <n v="69113.27"/>
    <n v="69113.27"/>
    <x v="1"/>
    <d v="2026-06-19T00:00:00"/>
    <s v="AFIA"/>
    <n v="10"/>
  </r>
  <r>
    <s v="Delta A"/>
    <x v="2"/>
    <s v="Al Saied Ibrahim Abdel Aal"/>
    <s v="D22_R01852"/>
    <s v="ايهاب مرجان"/>
    <s v="W/s Consumer &amp; Industrial"/>
    <d v="2026-06-18T00:00:00"/>
    <s v="D22_O_00258100"/>
    <n v="400000"/>
    <n v="190166.05"/>
    <n v="0"/>
    <x v="3"/>
    <d v="2026-06-29T00:00:00"/>
    <s v="AFIA"/>
    <n v="0"/>
  </r>
  <r>
    <s v="Delta A"/>
    <x v="2"/>
    <s v="Al Saied Ibrahim Abdel Aal"/>
    <s v="D22_R01855"/>
    <s v="حسن منتصر"/>
    <s v="W/s Consumer &amp; Industrial"/>
    <d v="2026-06-10T00:00:00"/>
    <s v="D22_O_00257590"/>
    <n v="240000"/>
    <n v="24000.9"/>
    <n v="24000.9"/>
    <x v="1"/>
    <d v="2026-06-21T00:00:00"/>
    <s v="AFIA"/>
    <n v="8"/>
  </r>
  <r>
    <s v="Delta A"/>
    <x v="2"/>
    <s v="Al Saied Ibrahim Abdel Aal"/>
    <s v="D22_R01855"/>
    <s v="حسن منتصر"/>
    <s v="W/s Consumer &amp; Industrial"/>
    <d v="2026-06-27T08:57:59"/>
    <s v="D22_O_00260210"/>
    <n v="240000"/>
    <n v="59200"/>
    <n v="0"/>
    <x v="3"/>
    <d v="2026-07-08T00:00:00"/>
    <s v="AFIA"/>
    <n v="-9"/>
  </r>
  <r>
    <s v="Delta A"/>
    <x v="2"/>
    <s v="Al Saied Ibrahim Abdel Aal"/>
    <s v="D22_R01858"/>
    <s v="رامى الشامى"/>
    <s v="W/s Consumer &amp; Industrial"/>
    <d v="2026-06-27T09:06:00"/>
    <s v="D22_O_00260211"/>
    <n v="150000"/>
    <n v="148000"/>
    <n v="0"/>
    <x v="3"/>
    <d v="2026-07-08T00:00:00"/>
    <s v="AFIA"/>
    <n v="-9"/>
  </r>
  <r>
    <s v="Delta A"/>
    <x v="2"/>
    <s v="Al Saied Ibrahim Abdel Aal"/>
    <s v="D22_R01860"/>
    <s v="زكريا عيد"/>
    <s v="W/s Consumer &amp; Industrial"/>
    <d v="2026-06-03T00:00:00"/>
    <s v="D22_O_00243786"/>
    <n v="100000"/>
    <n v="37075.78"/>
    <n v="37075.78"/>
    <x v="2"/>
    <d v="2026-06-14T00:00:00"/>
    <s v="AFIA"/>
    <n v="15"/>
  </r>
  <r>
    <s v="Delta A"/>
    <x v="2"/>
    <s v="Al Saied Ibrahim Abdel Aal"/>
    <s v="D22_R01860"/>
    <s v="زكريا عيد"/>
    <s v="W/s Consumer &amp; Industrial"/>
    <d v="2026-06-27T00:00:00"/>
    <s v="D22_O_00259135"/>
    <n v="100000"/>
    <n v="5332.28"/>
    <n v="0"/>
    <x v="3"/>
    <d v="2026-07-08T00:00:00"/>
    <s v="AFIA"/>
    <n v="-9"/>
  </r>
  <r>
    <s v="Delta A"/>
    <x v="2"/>
    <s v="Al Saied Ibrahim Abdel Aal"/>
    <s v="D22_R01863"/>
    <s v="شركة الرحمة"/>
    <s v="W/s Consumer &amp; Industrial"/>
    <d v="2026-05-14T00:00:00"/>
    <s v="D22_O_00236673"/>
    <n v="12000000"/>
    <n v="616800"/>
    <n v="616800"/>
    <x v="4"/>
    <d v="2026-05-25T00:00:00"/>
    <s v="AFIA"/>
    <n v="35"/>
  </r>
  <r>
    <s v="Delta A"/>
    <x v="2"/>
    <s v="Al Saied Ibrahim Abdel Aal"/>
    <s v="D22_R01863"/>
    <s v="شركة الرحمة"/>
    <s v="W/s Consumer &amp; Industrial"/>
    <d v="2026-05-14T00:00:00"/>
    <s v="D22_O_00236674"/>
    <n v="12000000"/>
    <n v="1529152.5"/>
    <n v="1529152.5"/>
    <x v="4"/>
    <d v="2026-05-25T00:00:00"/>
    <s v="AFIA"/>
    <n v="35"/>
  </r>
  <r>
    <s v="Delta A"/>
    <x v="2"/>
    <s v="Al Saied Ibrahim Abdel Aal"/>
    <s v="D22_R01863"/>
    <s v="شركة الرحمة"/>
    <s v="W/s Consumer &amp; Industrial"/>
    <d v="2026-05-17T00:00:00"/>
    <s v="D22_O_00232973"/>
    <n v="12000000"/>
    <n v="247459.97"/>
    <n v="247459.97"/>
    <x v="4"/>
    <d v="2026-05-28T00:00:00"/>
    <s v="AFIA"/>
    <n v="32"/>
  </r>
  <r>
    <s v="Delta A"/>
    <x v="2"/>
    <s v="Al Saied Ibrahim Abdel Aal"/>
    <s v="D22_R01863"/>
    <s v="شركة الرحمة"/>
    <s v="W/s Consumer &amp; Industrial"/>
    <d v="2026-05-19T10:32:28"/>
    <s v="D22_O_00254585"/>
    <n v="12000000"/>
    <n v="430099.20000000001"/>
    <n v="430099.20000000001"/>
    <x v="5"/>
    <d v="2026-05-30T00:00:00"/>
    <s v="AFIA"/>
    <n v="30"/>
  </r>
  <r>
    <s v="Delta A"/>
    <x v="2"/>
    <s v="Al Saied Ibrahim Abdel Aal"/>
    <s v="D22_R01863"/>
    <s v="شركة الرحمة"/>
    <s v="W/s Consumer &amp; Industrial"/>
    <d v="2026-05-21T00:00:00"/>
    <s v="D22_O_00232051"/>
    <n v="12000000"/>
    <n v="659200"/>
    <n v="659200"/>
    <x v="5"/>
    <d v="2026-06-01T00:00:00"/>
    <s v="AFIA"/>
    <n v="28"/>
  </r>
  <r>
    <s v="Delta A"/>
    <x v="2"/>
    <s v="Al Saied Ibrahim Abdel Aal"/>
    <s v="D22_R01863"/>
    <s v="شركة الرحمة"/>
    <s v="W/s Consumer &amp; Industrial"/>
    <d v="2026-05-25T00:00:00"/>
    <s v="D22_O_00255200"/>
    <n v="12000000"/>
    <n v="1537600"/>
    <n v="1537600"/>
    <x v="5"/>
    <d v="2026-06-05T00:00:00"/>
    <s v="AFIA"/>
    <n v="24"/>
  </r>
  <r>
    <s v="Delta A"/>
    <x v="2"/>
    <s v="Al Saied Ibrahim Abdel Aal"/>
    <s v="D22_R01863"/>
    <s v="شركة الرحمة"/>
    <s v="W/s Consumer &amp; Industrial"/>
    <d v="2026-06-06T00:00:00"/>
    <s v="D22_O_00256233"/>
    <n v="12000000"/>
    <n v="108640"/>
    <n v="108640"/>
    <x v="2"/>
    <d v="2026-06-17T00:00:00"/>
    <s v="AFIA"/>
    <n v="12"/>
  </r>
  <r>
    <s v="Delta A"/>
    <x v="2"/>
    <s v="Al Saied Ibrahim Abdel Aal"/>
    <s v="D22_R01863"/>
    <s v="شركة الرحمة"/>
    <s v="W/s Consumer &amp; Industrial"/>
    <d v="2026-06-16T10:37:10"/>
    <s v="D22_O_00258600"/>
    <n v="12000000"/>
    <n v="592000"/>
    <n v="592000"/>
    <x v="1"/>
    <d v="2026-06-27T00:00:00"/>
    <s v="AFIA"/>
    <n v="2"/>
  </r>
  <r>
    <s v="Delta A"/>
    <x v="2"/>
    <s v="Al Saied Ibrahim Abdel Aal"/>
    <s v="D22_R01863"/>
    <s v="شركة الرحمة"/>
    <s v="W/s Consumer &amp; Industrial"/>
    <d v="2026-06-20T09:22:48"/>
    <s v="D22_O_00259097"/>
    <n v="12000000"/>
    <n v="821888"/>
    <n v="0"/>
    <x v="3"/>
    <d v="2026-07-01T00:00:00"/>
    <s v="AFIA"/>
    <n v="-2"/>
  </r>
  <r>
    <s v="Delta A"/>
    <x v="2"/>
    <s v="Al Saied Ibrahim Abdel Aal"/>
    <s v="D22_R01869"/>
    <s v="عبده الشافعى"/>
    <s v="W/s Consumer &amp; Industrial"/>
    <d v="2026-06-03T00:00:00"/>
    <s v="D22_O_00252315"/>
    <n v="50000"/>
    <n v="46779.65"/>
    <n v="46779.65"/>
    <x v="2"/>
    <d v="2026-06-14T00:00:00"/>
    <s v="AFIA"/>
    <n v="15"/>
  </r>
  <r>
    <s v="Delta A"/>
    <x v="2"/>
    <s v="Al Saied Ibrahim Abdel Aal"/>
    <s v="D22_R01872"/>
    <s v="عزت الشربينى"/>
    <s v="W/s Consumer &amp; Industrial"/>
    <d v="2026-06-15T00:00:00"/>
    <s v="D22_O_00258096"/>
    <n v="300000"/>
    <n v="35350.39"/>
    <n v="35350.39"/>
    <x v="1"/>
    <d v="2026-06-26T00:00:00"/>
    <s v="AFIA"/>
    <n v="3"/>
  </r>
  <r>
    <s v="Delta A"/>
    <x v="2"/>
    <s v="Al Saied Ibrahim Abdel Aal"/>
    <s v="D22_R01872"/>
    <s v="عزت الشربينى"/>
    <s v="W/s Consumer &amp; Industrial"/>
    <d v="2026-06-21T00:00:00"/>
    <s v="D22_O_00259111"/>
    <n v="300000"/>
    <n v="31730.34"/>
    <n v="0"/>
    <x v="3"/>
    <d v="2026-07-02T00:00:00"/>
    <s v="AFIA"/>
    <n v="-3"/>
  </r>
  <r>
    <s v="Delta A"/>
    <x v="2"/>
    <s v="Al Saied Ibrahim Abdel Aal"/>
    <s v="D22_R01874"/>
    <s v="عمرو محرز"/>
    <s v="W/s Consumer &amp; Industrial"/>
    <d v="2026-06-25T00:00:00"/>
    <s v="D22_O_00259291"/>
    <n v="250000"/>
    <n v="5442.28"/>
    <n v="0"/>
    <x v="3"/>
    <d v="2026-07-06T00:00:00"/>
    <s v="AFIA"/>
    <n v="-7"/>
  </r>
  <r>
    <s v="Delta A"/>
    <x v="2"/>
    <s v="Al Saied Ibrahim Abdel Aal"/>
    <s v="D22_R01875"/>
    <s v="عوض عبد الدايم"/>
    <s v="W/s Consumer &amp; Industrial"/>
    <d v="2026-06-22T10:01:48"/>
    <s v="D22_O_00259471"/>
    <n v="200000"/>
    <n v="51678.82"/>
    <n v="0"/>
    <x v="3"/>
    <d v="2026-07-03T00:00:00"/>
    <s v="AFIA"/>
    <n v="-4"/>
  </r>
  <r>
    <s v="Delta A"/>
    <x v="2"/>
    <s v="Al Saied Ibrahim Abdel Aal"/>
    <s v="D22_R01893"/>
    <s v="ياسر عثمان"/>
    <s v="W/s Consumer &amp; Industrial"/>
    <d v="2026-06-18T00:00:00"/>
    <s v="D22_O_00258074"/>
    <n v="100000"/>
    <n v="71762.06"/>
    <n v="0"/>
    <x v="3"/>
    <d v="2026-06-29T00:00:00"/>
    <s v="AFIA"/>
    <n v="0"/>
  </r>
  <r>
    <s v="Delta A"/>
    <x v="2"/>
    <s v="Al Saied Ibrahim Abdel Aal"/>
    <s v="D22_R01972"/>
    <s v="منصور السيد سالم على"/>
    <s v="W/s Consumer &amp; Industrial"/>
    <d v="2026-05-05T00:00:00"/>
    <s v="D22_O_00252164"/>
    <n v="300000"/>
    <n v="204936.45"/>
    <n v="204936.45"/>
    <x v="4"/>
    <d v="2026-05-16T00:00:00"/>
    <s v="AFIA"/>
    <n v="44"/>
  </r>
  <r>
    <s v="Delta A"/>
    <x v="2"/>
    <s v="Al Saied Ibrahim Abdel Aal"/>
    <s v="D22_R01972"/>
    <s v="منصور السيد سالم على"/>
    <s v="W/s Consumer &amp; Industrial"/>
    <d v="2026-05-31T00:00:00"/>
    <s v="D22_O_00237039"/>
    <n v="300000"/>
    <n v="40608.94"/>
    <n v="40608.94"/>
    <x v="2"/>
    <d v="2026-06-11T00:00:00"/>
    <s v="AFIA"/>
    <n v="18"/>
  </r>
  <r>
    <s v="Delta A"/>
    <x v="2"/>
    <s v="Al Saied Ibrahim Abdel Aal"/>
    <s v="D22_R02215"/>
    <s v="يحيى عيد"/>
    <s v="W/s Consumer &amp; Industrial"/>
    <d v="2026-06-16T00:00:00"/>
    <s v="D22_O_00258108"/>
    <n v="150000"/>
    <n v="6925.73"/>
    <n v="6925.73"/>
    <x v="1"/>
    <d v="2026-06-27T00:00:00"/>
    <s v="AFIA"/>
    <n v="2"/>
  </r>
  <r>
    <s v="Delta A"/>
    <x v="2"/>
    <s v="Gamal Hassan Al souhagy"/>
    <s v="D22_G01898"/>
    <s v="احمد عبدالله"/>
    <s v="W/s Consumer &amp; Industrial"/>
    <d v="2026-06-06T00:00:00"/>
    <s v="D22_O_00252746"/>
    <n v="75000"/>
    <n v="1042"/>
    <n v="1042"/>
    <x v="2"/>
    <d v="2026-06-17T00:00:00"/>
    <s v="PASTA"/>
    <n v="12"/>
  </r>
  <r>
    <s v="Delta A"/>
    <x v="2"/>
    <s v="Gamal Hassan Al souhagy"/>
    <s v="D22_G01899"/>
    <s v="الاتحاد التعاونى"/>
    <s v="W/s Consumer &amp; Industrial"/>
    <d v="2026-06-11T00:00:00"/>
    <s v="D22_O_00257895"/>
    <n v="30000"/>
    <n v="23134.6"/>
    <n v="23134.6"/>
    <x v="1"/>
    <d v="2026-06-22T00:00:00"/>
    <s v="PASTA"/>
    <n v="7"/>
  </r>
  <r>
    <s v="Delta A"/>
    <x v="2"/>
    <s v="Gamal Hassan Al souhagy"/>
    <s v="D22_G01907"/>
    <s v="الفردوس"/>
    <s v="W/s Consumer &amp; Industrial"/>
    <d v="2026-06-22T00:00:00"/>
    <s v="D22_O_00258786"/>
    <n v="100000"/>
    <n v="45664"/>
    <n v="0"/>
    <x v="3"/>
    <d v="2026-07-03T00:00:00"/>
    <s v="PASTA"/>
    <n v="-4"/>
  </r>
  <r>
    <s v="Delta A"/>
    <x v="2"/>
    <s v="Gamal Hassan Al souhagy"/>
    <s v="D22_G01909"/>
    <s v="ايمن عبد الله"/>
    <s v="W/s Consumer &amp; Industrial"/>
    <d v="2026-06-15T00:00:00"/>
    <s v="D22_O_00258216"/>
    <n v="30000"/>
    <n v="29999.99"/>
    <n v="29999.99"/>
    <x v="1"/>
    <d v="2026-06-26T00:00:00"/>
    <s v="PASTA"/>
    <n v="3"/>
  </r>
  <r>
    <s v="Delta A"/>
    <x v="2"/>
    <s v="Gamal Hassan Al souhagy"/>
    <s v="D22_G01910"/>
    <s v="جنة المؤمنيين"/>
    <s v="W/s Consumer &amp; Industrial"/>
    <d v="2026-06-24T00:00:00"/>
    <s v="D22_O_00259812"/>
    <n v="150000"/>
    <n v="135814"/>
    <n v="0"/>
    <x v="3"/>
    <d v="2026-07-05T00:00:00"/>
    <s v="PASTA"/>
    <n v="-6"/>
  </r>
  <r>
    <s v="Delta A"/>
    <x v="2"/>
    <s v="Gamal Hassan Al souhagy"/>
    <s v="D22_G01913"/>
    <s v="سامح عبد الله"/>
    <s v="W/s Consumer &amp; Industrial"/>
    <d v="2026-06-15T00:00:00"/>
    <s v="D22_O_00258048"/>
    <n v="50000"/>
    <n v="5001"/>
    <n v="5001"/>
    <x v="1"/>
    <d v="2026-06-26T00:00:00"/>
    <s v="PASTA"/>
    <n v="3"/>
  </r>
  <r>
    <s v="Delta A"/>
    <x v="2"/>
    <s v="Gamal Hassan Al souhagy"/>
    <s v="D22_G01916"/>
    <s v="سعد شطا"/>
    <s v="W/s Consumer &amp; Industrial"/>
    <d v="2026-05-13T00:00:00"/>
    <s v="D22_O_00253368"/>
    <n v="50000"/>
    <n v="21694.49"/>
    <n v="21694.49"/>
    <x v="4"/>
    <d v="2026-05-24T00:00:00"/>
    <s v="PASTA"/>
    <n v="36"/>
  </r>
  <r>
    <s v="Delta A"/>
    <x v="2"/>
    <s v="Gamal Hassan Al souhagy"/>
    <s v="D22_G01923"/>
    <s v="فتحى حجازى"/>
    <s v="W/s Consumer &amp; Industrial"/>
    <d v="2026-06-16T00:00:00"/>
    <s v="D22_O_00258236"/>
    <n v="50000"/>
    <n v="49872.99"/>
    <n v="49872.99"/>
    <x v="1"/>
    <d v="2026-06-27T00:00:00"/>
    <s v="PASTA"/>
    <n v="2"/>
  </r>
  <r>
    <s v="Delta A"/>
    <x v="2"/>
    <s v="Gamal Hassan Al souhagy"/>
    <s v="D22_G01924"/>
    <s v="فتحى خميس"/>
    <s v="W/s Consumer &amp; Industrial"/>
    <d v="2026-06-21T00:00:00"/>
    <s v="D22_O_00235559"/>
    <n v="125000"/>
    <n v="124999.99"/>
    <n v="0"/>
    <x v="3"/>
    <d v="2026-07-02T00:00:00"/>
    <s v="PASTA"/>
    <n v="-3"/>
  </r>
  <r>
    <s v="Delta A"/>
    <x v="2"/>
    <s v="Gamal Hassan Al souhagy"/>
    <s v="D22_G01926"/>
    <s v="محمد المليجى"/>
    <s v="W/s Consumer &amp; Industrial"/>
    <d v="2026-06-28T00:00:00"/>
    <s v="D22_O_00259849"/>
    <n v="75000"/>
    <n v="52832"/>
    <n v="0"/>
    <x v="3"/>
    <d v="2026-07-09T00:00:00"/>
    <s v="PASTA"/>
    <n v="-10"/>
  </r>
  <r>
    <s v="Delta A"/>
    <x v="2"/>
    <s v="Gamal Hassan Al souhagy"/>
    <s v="D22_G01934"/>
    <s v="هندام"/>
    <s v="W/s Consumer &amp; Industrial"/>
    <d v="2026-06-13T00:00:00"/>
    <s v="D22_O_00257019"/>
    <n v="25000"/>
    <n v="15499.99"/>
    <n v="15499.99"/>
    <x v="1"/>
    <d v="2026-06-24T00:00:00"/>
    <s v="PASTA"/>
    <n v="5"/>
  </r>
  <r>
    <s v="Delta A"/>
    <x v="2"/>
    <s v="Gamal Hassan Al souhagy"/>
    <s v="D22_G01969"/>
    <s v="عارف العشرى"/>
    <s v="W/s Consumer &amp; Industrial"/>
    <d v="2026-06-16T00:00:00"/>
    <s v="D22_O_00256225"/>
    <n v="25000"/>
    <n v="24999.99"/>
    <n v="24999.99"/>
    <x v="1"/>
    <d v="2026-06-27T00:00:00"/>
    <s v="PASTA"/>
    <n v="2"/>
  </r>
  <r>
    <s v="Delta A"/>
    <x v="2"/>
    <s v="Gamal Hassan Al souhagy"/>
    <s v="D22_G01974"/>
    <s v="محمد الشيخ"/>
    <s v="W/s Consumer &amp; Industrial"/>
    <d v="2026-06-21T00:00:00"/>
    <s v="D22_O_00239528"/>
    <n v="25000"/>
    <n v="24999.99"/>
    <n v="0"/>
    <x v="3"/>
    <d v="2026-07-02T00:00:00"/>
    <s v="PASTA"/>
    <n v="-3"/>
  </r>
  <r>
    <s v="Delta A"/>
    <x v="2"/>
    <s v="Gamal Hassan Al souhagy"/>
    <s v="D22_G02216"/>
    <s v="الطازج"/>
    <s v="W/s Consumer &amp; Industrial"/>
    <d v="2026-06-21T00:00:00"/>
    <s v="D22_O_00258266"/>
    <n v="25000"/>
    <n v="24999.99"/>
    <n v="0"/>
    <x v="3"/>
    <d v="2026-07-02T00:00:00"/>
    <s v="PASTA"/>
    <n v="-3"/>
  </r>
  <r>
    <s v="Delta A"/>
    <x v="2"/>
    <s v="Islam Ashraf Al tabaey"/>
    <s v="D22_G01863"/>
    <s v="شركة الرحمة"/>
    <s v="W/s Consumer &amp; Industrial"/>
    <d v="2026-06-13T00:00:00"/>
    <s v="D22_O_00256619"/>
    <n v="4000000"/>
    <n v="599374.91"/>
    <n v="599374.91"/>
    <x v="1"/>
    <d v="2026-06-24T00:00:00"/>
    <s v="PASTA"/>
    <n v="5"/>
  </r>
  <r>
    <s v="Delta A"/>
    <x v="2"/>
    <s v="Islam Ashraf Al tabaey"/>
    <s v="D22_G01863"/>
    <s v="شركة الرحمة"/>
    <s v="W/s Consumer &amp; Industrial"/>
    <d v="2026-06-28T12:18:03"/>
    <s v="D22_O_00260387"/>
    <n v="4000000"/>
    <n v="924560"/>
    <n v="0"/>
    <x v="3"/>
    <d v="2026-07-09T00:00:00"/>
    <s v="PASTA"/>
    <n v="-10"/>
  </r>
  <r>
    <s v="Delta A"/>
    <x v="2"/>
    <s v="Islam Ashraf Al tabaey"/>
    <s v="D22_G01874"/>
    <s v="عمرو محرز"/>
    <s v="W/s Consumer &amp; Industrial"/>
    <d v="2026-06-23T00:00:00"/>
    <s v="D22_O_00257726"/>
    <n v="1500000"/>
    <n v="1499870.78"/>
    <n v="0"/>
    <x v="3"/>
    <d v="2026-07-04T00:00:00"/>
    <s v="PASTA"/>
    <n v="-5"/>
  </r>
  <r>
    <s v="Delta A"/>
    <x v="2"/>
    <s v="Islam Ashraf Al tabaey"/>
    <s v="D22_G01875"/>
    <s v="عوض عبد الدايم"/>
    <s v="W/s Consumer &amp; Industrial"/>
    <d v="2026-05-16T10:01:46"/>
    <s v="D22_O_00254071"/>
    <n v="150000"/>
    <n v="132080"/>
    <n v="132080"/>
    <x v="4"/>
    <d v="2026-05-27T00:00:00"/>
    <s v="PASTA"/>
    <n v="33"/>
  </r>
  <r>
    <s v="Delta A"/>
    <x v="2"/>
    <s v="Islam Ashraf Al tabaey"/>
    <s v="D22_G01972"/>
    <s v="منصور السيد سالم على"/>
    <s v="W/s Consumer &amp; Industrial"/>
    <d v="2026-06-07T09:41:31"/>
    <s v="D22_O_00257156"/>
    <n v="100000"/>
    <n v="99994.99"/>
    <n v="99994.99"/>
    <x v="2"/>
    <d v="2026-06-18T00:00:00"/>
    <s v="PASTA"/>
    <n v="11"/>
  </r>
  <r>
    <s v="Delta A"/>
    <x v="2"/>
    <s v="Moaz Mohamed Al desouky"/>
    <s v="D22_R01896"/>
    <s v="ابو علاء"/>
    <s v="W/s Consumer &amp; Industrial"/>
    <d v="2026-06-03T00:00:00"/>
    <s v="D22_O_00255383"/>
    <n v="25000"/>
    <n v="24961.64"/>
    <n v="24961.64"/>
    <x v="2"/>
    <d v="2026-06-14T00:00:00"/>
    <s v="AFIA"/>
    <n v="15"/>
  </r>
  <r>
    <s v="Delta A"/>
    <x v="2"/>
    <s v="Moaz Mohamed Al desouky"/>
    <s v="D22_R01898"/>
    <s v="احمد عبدالله"/>
    <s v="W/s Consumer &amp; Industrial"/>
    <d v="2026-06-20T00:00:00"/>
    <s v="D22_O_00253946"/>
    <n v="100000"/>
    <n v="56032.71"/>
    <n v="0"/>
    <x v="3"/>
    <d v="2026-07-01T00:00:00"/>
    <s v="AFIA"/>
    <n v="-2"/>
  </r>
  <r>
    <s v="Delta A"/>
    <x v="2"/>
    <s v="Moaz Mohamed Al desouky"/>
    <s v="D22_R01901"/>
    <s v="الايمان"/>
    <s v="W/s Consumer &amp; Industrial"/>
    <d v="2026-06-24T00:00:00"/>
    <s v="D22_O_00256606"/>
    <n v="150000"/>
    <n v="65124.67"/>
    <n v="0"/>
    <x v="3"/>
    <d v="2026-07-05T00:00:00"/>
    <s v="AFIA"/>
    <n v="-6"/>
  </r>
  <r>
    <s v="Delta A"/>
    <x v="2"/>
    <s v="Moaz Mohamed Al desouky"/>
    <s v="D22_R01907"/>
    <s v="الفردوس"/>
    <s v="W/s Consumer &amp; Industrial"/>
    <d v="2026-06-11T00:00:00"/>
    <s v="D22_O_00257123"/>
    <n v="100000"/>
    <n v="51188.82"/>
    <n v="51188.82"/>
    <x v="1"/>
    <d v="2026-06-22T00:00:00"/>
    <s v="AFIA"/>
    <n v="7"/>
  </r>
  <r>
    <s v="Delta A"/>
    <x v="2"/>
    <s v="Moaz Mohamed Al desouky"/>
    <s v="D22_R01910"/>
    <s v="جنة المؤمنيين"/>
    <s v="W/s Consumer &amp; Industrial"/>
    <d v="2026-06-25T00:00:00"/>
    <s v="D22_O_00259813"/>
    <n v="100000"/>
    <n v="98616.18"/>
    <n v="0"/>
    <x v="3"/>
    <d v="2026-07-06T00:00:00"/>
    <s v="AFIA"/>
    <n v="-7"/>
  </r>
  <r>
    <s v="Delta A"/>
    <x v="2"/>
    <s v="Moaz Mohamed Al desouky"/>
    <s v="D22_R01913"/>
    <s v="سامح عبد الله"/>
    <s v="W/s Consumer &amp; Industrial"/>
    <d v="2026-06-25T00:00:00"/>
    <s v="D22_O_00259783"/>
    <n v="50000"/>
    <n v="16401.62"/>
    <n v="0"/>
    <x v="3"/>
    <d v="2026-07-06T00:00:00"/>
    <s v="AFIA"/>
    <n v="-7"/>
  </r>
  <r>
    <s v="Delta A"/>
    <x v="2"/>
    <s v="Moaz Mohamed Al desouky"/>
    <s v="D22_R01916"/>
    <s v="سعد شطا"/>
    <s v="W/s Consumer &amp; Industrial"/>
    <d v="2026-06-16T00:00:00"/>
    <s v="D22_O_00256655"/>
    <n v="75000"/>
    <n v="74999.72"/>
    <n v="74999.72"/>
    <x v="1"/>
    <d v="2026-06-27T00:00:00"/>
    <s v="AFIA"/>
    <n v="2"/>
  </r>
  <r>
    <s v="Delta A"/>
    <x v="2"/>
    <s v="Moaz Mohamed Al desouky"/>
    <s v="D22_R01917"/>
    <s v="سما خوخه"/>
    <s v="W/s Consumer &amp; Industrial"/>
    <d v="2026-06-06T00:00:00"/>
    <s v="D22_O_00256636"/>
    <n v="150000"/>
    <n v="120650.89"/>
    <n v="120650.89"/>
    <x v="2"/>
    <d v="2026-06-17T00:00:00"/>
    <s v="AFIA"/>
    <n v="12"/>
  </r>
  <r>
    <s v="Delta A"/>
    <x v="2"/>
    <s v="Moaz Mohamed Al desouky"/>
    <s v="D22_R01923"/>
    <s v="فتحى حجازى"/>
    <s v="W/s Consumer &amp; Industrial"/>
    <d v="2026-06-02T00:00:00"/>
    <s v="D22_O_00256025"/>
    <n v="100000"/>
    <n v="11199.89"/>
    <n v="11199.89"/>
    <x v="2"/>
    <d v="2026-06-13T00:00:00"/>
    <s v="AFIA"/>
    <n v="16"/>
  </r>
  <r>
    <s v="Delta A"/>
    <x v="2"/>
    <s v="Moaz Mohamed Al desouky"/>
    <s v="D22_R01923"/>
    <s v="فتحى حجازى"/>
    <s v="W/s Consumer &amp; Industrial"/>
    <d v="2026-06-16T00:00:00"/>
    <s v="D22_O_00258447"/>
    <n v="100000"/>
    <n v="59713.85"/>
    <n v="59713.85"/>
    <x v="1"/>
    <d v="2026-06-27T00:00:00"/>
    <s v="AFIA"/>
    <n v="2"/>
  </r>
  <r>
    <s v="Delta A"/>
    <x v="2"/>
    <s v="Moaz Mohamed Al desouky"/>
    <s v="D22_R01924"/>
    <s v="فتحى خميس"/>
    <s v="W/s Consumer &amp; Industrial"/>
    <d v="2026-06-02T00:00:00"/>
    <s v="D22_O_00253904"/>
    <n v="100000"/>
    <n v="99998.61"/>
    <n v="99998.61"/>
    <x v="2"/>
    <d v="2026-06-13T00:00:00"/>
    <s v="AFIA"/>
    <n v="16"/>
  </r>
  <r>
    <s v="Delta A"/>
    <x v="2"/>
    <s v="Moaz Mohamed Al desouky"/>
    <s v="D22_R01925"/>
    <s v="لطفى العيسوى"/>
    <s v="W/s Consumer &amp; Industrial"/>
    <d v="2026-06-04T00:00:00"/>
    <s v="D22_O_00256575"/>
    <n v="600000"/>
    <n v="345602.01"/>
    <n v="345602.01"/>
    <x v="2"/>
    <d v="2026-06-15T00:00:00"/>
    <s v="AFIA"/>
    <n v="14"/>
  </r>
  <r>
    <s v="Delta A"/>
    <x v="2"/>
    <s v="Moaz Mohamed Al desouky"/>
    <s v="D22_R01925"/>
    <s v="لطفى العيسوى"/>
    <s v="W/s Consumer &amp; Industrial"/>
    <d v="2026-06-08T00:00:00"/>
    <s v="D22_O_00256767"/>
    <n v="600000"/>
    <n v="254396.98"/>
    <n v="254396.98"/>
    <x v="1"/>
    <d v="2026-06-19T00:00:00"/>
    <s v="AFIA"/>
    <n v="10"/>
  </r>
  <r>
    <s v="Delta A"/>
    <x v="2"/>
    <s v="Moaz Mohamed Al desouky"/>
    <s v="D22_R01928"/>
    <s v="محمود حجازى"/>
    <s v="W/s Consumer &amp; Industrial"/>
    <d v="2026-06-06T00:00:00"/>
    <s v="D22_O_00256066"/>
    <n v="75000"/>
    <n v="25020.1"/>
    <n v="25020.1"/>
    <x v="2"/>
    <d v="2026-06-17T00:00:00"/>
    <s v="AFIA"/>
    <n v="12"/>
  </r>
  <r>
    <s v="Delta A"/>
    <x v="2"/>
    <s v="Moaz Mohamed Al desouky"/>
    <s v="D22_R01929"/>
    <s v="محمود فايد"/>
    <s v="W/s Consumer &amp; Industrial"/>
    <d v="2026-06-20T00:00:00"/>
    <s v="D22_O_00257587"/>
    <n v="150000"/>
    <n v="37777.120000000003"/>
    <n v="0"/>
    <x v="3"/>
    <d v="2026-07-01T00:00:00"/>
    <s v="AFIA"/>
    <n v="-2"/>
  </r>
  <r>
    <s v="Delta A"/>
    <x v="2"/>
    <s v="Moaz Mohamed Al desouky"/>
    <s v="D22_R01931"/>
    <s v="ملفاى"/>
    <s v="W/s Consumer &amp; Industrial"/>
    <d v="2026-06-18T00:00:00"/>
    <s v="D22_O_00257718"/>
    <n v="75000"/>
    <n v="74680.25"/>
    <n v="0"/>
    <x v="3"/>
    <d v="2026-06-29T00:00:00"/>
    <s v="AFIA"/>
    <n v="0"/>
  </r>
  <r>
    <s v="Delta A"/>
    <x v="2"/>
    <s v="Moaz Mohamed Al desouky"/>
    <s v="D22_R02216"/>
    <s v="الطازج"/>
    <s v="W/s Consumer &amp; Industrial"/>
    <d v="2026-06-21T00:00:00"/>
    <s v="D22_O_00258171"/>
    <n v="75000"/>
    <n v="20599.84"/>
    <n v="0"/>
    <x v="3"/>
    <d v="2026-07-02T00:00:00"/>
    <s v="AFIA"/>
    <n v="-3"/>
  </r>
  <r>
    <s v="Delta A"/>
    <x v="2"/>
    <s v="Mohamed Elsayed Badawy"/>
    <s v="D22_P00063"/>
    <s v="محمود فايد"/>
    <s v="W/s Consumer &amp; Industrial"/>
    <d v="2026-06-04T10:44:16"/>
    <s v="D22_O_00256669"/>
    <n v="100000"/>
    <n v="26070"/>
    <n v="26070"/>
    <x v="2"/>
    <d v="2026-06-15T00:00:00"/>
    <s v="PASTA"/>
    <n v="14"/>
  </r>
  <r>
    <s v="Delta A"/>
    <x v="2"/>
    <s v="Mohamed Elsayed Badawy"/>
    <s v="D22_P00078"/>
    <s v="الفردوس"/>
    <s v="W/s Consumer &amp; Industrial"/>
    <d v="2026-06-22T10:29:41"/>
    <s v="D22_O_00259472"/>
    <n v="250000"/>
    <n v="76120"/>
    <n v="0"/>
    <x v="3"/>
    <d v="2026-07-03T00:00:00"/>
    <s v="PASTA"/>
    <n v="-4"/>
  </r>
  <r>
    <s v="Delta A"/>
    <x v="2"/>
    <s v="Mohamed Elsayed Badawy"/>
    <s v="D22_P00078"/>
    <s v="الفردوس"/>
    <s v="W/s Consumer &amp; Industrial"/>
    <d v="2026-06-25T11:02:29"/>
    <s v="D22_O_00260050"/>
    <n v="250000"/>
    <n v="112980"/>
    <n v="0"/>
    <x v="3"/>
    <d v="2026-07-06T00:00:00"/>
    <s v="PASTA"/>
    <n v="-7"/>
  </r>
  <r>
    <s v="Delta A"/>
    <x v="2"/>
    <s v="Mohamed Elsayed Badawy"/>
    <s v="D22_P00078"/>
    <s v="الفردوس"/>
    <s v="W/s Consumer &amp; Industrial"/>
    <d v="2026-06-27T10:55:19"/>
    <s v="D22_O_00260215"/>
    <n v="250000"/>
    <n v="60900"/>
    <n v="0"/>
    <x v="3"/>
    <d v="2026-07-08T00:00:00"/>
    <s v="PASTA"/>
    <n v="-9"/>
  </r>
  <r>
    <s v="Delta A"/>
    <x v="2"/>
    <s v="Mohamed Elsayed Badawy"/>
    <s v="D22_P01802"/>
    <s v="عمرو محرز"/>
    <s v="W/s Consumer &amp; Industrial"/>
    <d v="2026-06-25T10:41:41"/>
    <s v="D22_O_00260048"/>
    <n v="1000000"/>
    <n v="71209"/>
    <n v="0"/>
    <x v="3"/>
    <d v="2026-07-06T00:00:00"/>
    <s v="PASTA"/>
    <n v="-7"/>
  </r>
  <r>
    <s v="Delta A"/>
    <x v="2"/>
    <s v="Mohamed Elsayed Badawy"/>
    <s v="D22_P01802"/>
    <s v="عمرو محرز"/>
    <s v="W/s Consumer &amp; Industrial"/>
    <d v="2026-06-27T10:12:00"/>
    <s v="D22_O_00260212"/>
    <n v="1000000"/>
    <n v="104040"/>
    <n v="0"/>
    <x v="3"/>
    <d v="2026-07-08T00:00:00"/>
    <s v="PASTA"/>
    <n v="-9"/>
  </r>
  <r>
    <s v="Delta A"/>
    <x v="2"/>
    <s v="Mohamed Elsayed Badawy"/>
    <s v="D22_P01802"/>
    <s v="عمرو محرز"/>
    <s v="W/s Consumer &amp; Industrial"/>
    <d v="2026-06-28T10:46:40"/>
    <s v="D22_O_00260380"/>
    <n v="1000000"/>
    <n v="104040"/>
    <n v="0"/>
    <x v="3"/>
    <d v="2026-07-09T00:00:00"/>
    <s v="PASTA"/>
    <n v="-10"/>
  </r>
  <r>
    <s v="Delta A"/>
    <x v="2"/>
    <s v="Mohamed Elsayed Badawy"/>
    <s v="D22_P01808"/>
    <s v="افندينا"/>
    <s v="W/s Consumer &amp; Industrial"/>
    <d v="2026-06-25T10:53:38"/>
    <s v="D22_O_00260049"/>
    <n v="200000"/>
    <n v="37050"/>
    <n v="0"/>
    <x v="3"/>
    <d v="2026-07-06T00:00:00"/>
    <s v="PASTA"/>
    <n v="-7"/>
  </r>
  <r>
    <s v="Delta A"/>
    <x v="2"/>
    <s v="Mohamed Elsayed Badawy"/>
    <s v="D22_P01814"/>
    <s v="كشري العدوى"/>
    <s v="W/s Consumer &amp; Industrial"/>
    <d v="2026-06-09T11:23:27"/>
    <s v="D22_O_00257549"/>
    <n v="50000"/>
    <n v="20684.98"/>
    <n v="20684.98"/>
    <x v="1"/>
    <d v="2026-06-20T00:00:00"/>
    <s v="PASTA"/>
    <n v="9"/>
  </r>
  <r>
    <s v="Delta A"/>
    <x v="2"/>
    <s v="Mohamed Elsayed Badawy"/>
    <s v="D22_P01814"/>
    <s v="كشري العدوى"/>
    <s v="W/s Consumer &amp; Industrial"/>
    <d v="2026-06-23T11:10:31"/>
    <s v="D22_O_00259670"/>
    <n v="50000"/>
    <n v="29312"/>
    <n v="0"/>
    <x v="3"/>
    <d v="2026-07-04T00:00:00"/>
    <s v="PASTA"/>
    <n v="-5"/>
  </r>
  <r>
    <s v="Delta A"/>
    <x v="2"/>
    <s v="Mohamed Elsayed Badawy"/>
    <s v="D22_P01815"/>
    <s v="الزعيم"/>
    <s v="W/s Consumer &amp; Industrial"/>
    <d v="2026-06-20T10:39:15"/>
    <s v="D22_O_00259099"/>
    <n v="100000"/>
    <n v="22900"/>
    <n v="0"/>
    <x v="3"/>
    <d v="2026-07-01T00:00:00"/>
    <s v="PASTA"/>
    <n v="-2"/>
  </r>
  <r>
    <s v="Delta A"/>
    <x v="2"/>
    <s v="Mohamed Elsayed Badawy"/>
    <s v="D22_P01816"/>
    <s v="الامبراطور"/>
    <s v="W/s Consumer &amp; Industrial"/>
    <d v="2026-06-24T10:17:31"/>
    <s v="D22_O_00259877"/>
    <n v="250000"/>
    <n v="249999.98"/>
    <n v="0"/>
    <x v="3"/>
    <d v="2026-07-05T00:00:00"/>
    <s v="PASTA"/>
    <n v="-6"/>
  </r>
  <r>
    <s v="Delta A"/>
    <x v="2"/>
    <s v="Mohamed Elsayed Badawy"/>
    <s v="D22_P01828"/>
    <s v="منصور السيد سالم على"/>
    <s v="W/s Consumer &amp; Industrial"/>
    <d v="2026-06-13T10:54:36"/>
    <s v="D22_O_00258052"/>
    <n v="300000"/>
    <n v="208080"/>
    <n v="208080"/>
    <x v="1"/>
    <d v="2026-06-24T00:00:00"/>
    <s v="PASTA"/>
    <n v="5"/>
  </r>
  <r>
    <s v="Delta A"/>
    <x v="2"/>
    <s v="Mohamed Elsayed Badawy"/>
    <s v="D22_P01828"/>
    <s v="منصور السيد سالم على"/>
    <s v="W/s Consumer &amp; Industrial"/>
    <d v="2026-06-16T10:54:09"/>
    <s v="D22_O_00258602"/>
    <n v="300000"/>
    <n v="91350"/>
    <n v="91350"/>
    <x v="1"/>
    <d v="2026-06-27T00:00:00"/>
    <s v="PASTA"/>
    <n v="2"/>
  </r>
  <r>
    <s v="Delta A"/>
    <x v="2"/>
    <s v="Mohamed Zakaria Ibrahim"/>
    <s v="D22_G01806"/>
    <s v="القواس"/>
    <s v="K-Retail"/>
    <d v="2026-05-17T14:08:16"/>
    <s v="D22_O_00254331"/>
    <n v="1000000"/>
    <n v="15401.56"/>
    <n v="15401.56"/>
    <x v="5"/>
    <d v="2026-06-02T00:00:00"/>
    <s v="PASTA"/>
    <n v="27"/>
  </r>
  <r>
    <s v="Delta A"/>
    <x v="2"/>
    <s v="Mohamed Zakaria Ibrahim"/>
    <s v="D22_G01806"/>
    <s v="القواس"/>
    <s v="K-Retail"/>
    <d v="2026-06-13T16:14:10"/>
    <s v="D22_O_00258254"/>
    <n v="1000000"/>
    <n v="150049.51"/>
    <n v="0"/>
    <x v="3"/>
    <d v="2026-06-29T00:00:00"/>
    <s v="PASTA"/>
    <n v="0"/>
  </r>
  <r>
    <s v="Delta A"/>
    <x v="2"/>
    <s v="Mohamed Zakaria Ibrahim"/>
    <s v="D22_G01806"/>
    <s v="القواس"/>
    <s v="K-Retail"/>
    <d v="2026-06-20T18:04:18"/>
    <s v="D22_O_00259284"/>
    <n v="1000000"/>
    <n v="85228.49"/>
    <n v="0"/>
    <x v="3"/>
    <d v="2026-07-06T00:00:00"/>
    <s v="PASTA"/>
    <n v="-7"/>
  </r>
  <r>
    <s v="Delta A"/>
    <x v="2"/>
    <s v="Mohamed Zakaria Ibrahim"/>
    <s v="D22_G01806"/>
    <s v="القواس"/>
    <s v="K-Retail"/>
    <d v="2026-06-24T16:14:42"/>
    <s v="D22_O_00260024"/>
    <n v="1000000"/>
    <n v="168329.69"/>
    <n v="0"/>
    <x v="3"/>
    <d v="2026-07-10T00:00:00"/>
    <s v="PASTA"/>
    <n v="-11"/>
  </r>
  <r>
    <s v="Delta A"/>
    <x v="2"/>
    <s v="Mohamed Zakaria Ibrahim"/>
    <s v="D22_G01812"/>
    <s v="محلات محمود الفار"/>
    <s v="K-Retail"/>
    <d v="2026-05-03T15:03:34"/>
    <s v="D22_O_00251949"/>
    <n v="1000000"/>
    <n v="124304.56"/>
    <n v="124304.56"/>
    <x v="4"/>
    <d v="2026-05-19T00:00:00"/>
    <s v="PASTA"/>
    <n v="41"/>
  </r>
  <r>
    <s v="Delta A"/>
    <x v="2"/>
    <s v="Mohamed Zakaria Ibrahim"/>
    <s v="D22_G01812"/>
    <s v="محلات محمود الفار"/>
    <s v="K-Retail"/>
    <d v="2026-05-11T17:00:51"/>
    <s v="D22_O_00253556"/>
    <n v="1000000"/>
    <n v="206247.36"/>
    <n v="206247.36"/>
    <x v="4"/>
    <d v="2026-05-27T00:00:00"/>
    <s v="PASTA"/>
    <n v="33"/>
  </r>
  <r>
    <s v="Delta A"/>
    <x v="2"/>
    <s v="Mohamed Zakaria Ibrahim"/>
    <s v="D22_G01812"/>
    <s v="محلات محمود الفار"/>
    <s v="K-Retail"/>
    <d v="2026-05-25T11:41:56"/>
    <s v="D22_O_00255813"/>
    <n v="1000000"/>
    <n v="243924.79"/>
    <n v="243924.79"/>
    <x v="2"/>
    <d v="2026-06-10T00:00:00"/>
    <s v="PASTA"/>
    <n v="19"/>
  </r>
  <r>
    <s v="Delta A"/>
    <x v="2"/>
    <s v="Mohamed Zakaria Ibrahim"/>
    <s v="D22_G01812"/>
    <s v="محلات محمود الفار"/>
    <s v="K-Retail"/>
    <d v="2026-06-16T10:48:18"/>
    <s v="D22_O_00258605"/>
    <n v="1000000"/>
    <n v="96894.94"/>
    <n v="0"/>
    <x v="3"/>
    <d v="2026-07-02T00:00:00"/>
    <s v="PASTA"/>
    <n v="-3"/>
  </r>
  <r>
    <s v="Delta A"/>
    <x v="2"/>
    <s v="Mohamed Zakaria Ibrahim"/>
    <s v="D22_G01812"/>
    <s v="محلات محمود الفار"/>
    <s v="K-Retail"/>
    <d v="2026-06-23T17:20:17"/>
    <s v="D22_O_00259846"/>
    <n v="1000000"/>
    <n v="229361.17"/>
    <n v="0"/>
    <x v="3"/>
    <d v="2026-07-09T00:00:00"/>
    <s v="PASTA"/>
    <n v="-10"/>
  </r>
  <r>
    <s v="Delta A"/>
    <x v="2"/>
    <s v="Mohamed Zakaria Ibrahim"/>
    <s v="D22_G02156"/>
    <s v="داون تاون العرب"/>
    <s v="K-Retail"/>
    <d v="2026-05-05T14:22:51"/>
    <s v="D22_O_00252493"/>
    <n v="75000"/>
    <n v="18914.310000000001"/>
    <n v="18914.310000000001"/>
    <x v="4"/>
    <d v="2026-05-21T00:00:00"/>
    <s v="PASTA"/>
    <n v="39"/>
  </r>
  <r>
    <s v="Delta A"/>
    <x v="2"/>
    <s v="Mohamed Zakaria Ibrahim"/>
    <s v="D22_G02156"/>
    <s v="داون تاون العرب"/>
    <s v="K-Retail"/>
    <d v="2026-06-25T16:17:48"/>
    <s v="D22_O_00260167"/>
    <n v="75000"/>
    <n v="52951.89"/>
    <n v="0"/>
    <x v="3"/>
    <d v="2026-07-11T00:00:00"/>
    <s v="PASTA"/>
    <n v="-12"/>
  </r>
  <r>
    <s v="Delta A"/>
    <x v="2"/>
    <s v="Mohamed Zakaria Ibrahim"/>
    <s v="D22_R01806"/>
    <s v="القواس"/>
    <s v="K-Retail"/>
    <d v="2026-06-21T17:07:10"/>
    <s v="D22_O_00259446"/>
    <n v="1000000"/>
    <n v="180789.08"/>
    <n v="0"/>
    <x v="3"/>
    <d v="2026-07-07T00:00:00"/>
    <s v="AFIA"/>
    <n v="-8"/>
  </r>
  <r>
    <s v="Delta A"/>
    <x v="2"/>
    <s v="Mohamed Zakaria Ibrahim"/>
    <s v="D22_R01812"/>
    <s v="محلات محمود الفار"/>
    <s v="K-Retail"/>
    <d v="2026-05-24T12:09:37"/>
    <s v="D22_O_00255512"/>
    <n v="3000000"/>
    <n v="35784.43"/>
    <n v="35784.43"/>
    <x v="2"/>
    <d v="2026-06-09T00:00:00"/>
    <s v="AFIA"/>
    <n v="20"/>
  </r>
  <r>
    <s v="Delta A"/>
    <x v="2"/>
    <s v="Mohamed Zakaria Ibrahim"/>
    <s v="D22_R01812"/>
    <s v="محلات محمود الفار"/>
    <s v="K-Retail"/>
    <d v="2026-06-09T10:02:55"/>
    <s v="D22_O_00257547"/>
    <n v="3000000"/>
    <n v="98716.87"/>
    <n v="98716.87"/>
    <x v="1"/>
    <d v="2026-06-25T00:00:00"/>
    <s v="AFIA"/>
    <n v="4"/>
  </r>
  <r>
    <s v="Delta A"/>
    <x v="2"/>
    <s v="Mohamed Zakaria Ibrahim"/>
    <s v="D22_R01812"/>
    <s v="محلات محمود الفار"/>
    <s v="K-Retail"/>
    <d v="2026-06-23T20:21:34"/>
    <s v="D22_O_00259874"/>
    <n v="3000000"/>
    <n v="949019.04"/>
    <n v="0"/>
    <x v="3"/>
    <d v="2026-07-09T00:00:00"/>
    <s v="AFIA"/>
    <n v="-10"/>
  </r>
  <r>
    <s v="Delta A"/>
    <x v="2"/>
    <s v="Mohamed Zakaria Ibrahim"/>
    <s v="D22_R02156"/>
    <s v="داون تاون العرب"/>
    <s v="K-Retail"/>
    <d v="2026-06-25T16:33:39"/>
    <s v="D22_O_00260176"/>
    <n v="100000"/>
    <n v="99802.91"/>
    <n v="0"/>
    <x v="3"/>
    <d v="2026-07-11T00:00:00"/>
    <s v="AFIA"/>
    <n v="-12"/>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r>
    <n v="0"/>
    <x v="3"/>
    <n v="0"/>
    <n v="0"/>
    <n v="0"/>
    <n v="0"/>
    <d v="1899-12-30T00:00:00"/>
    <n v="0"/>
    <n v="0"/>
    <n v="0"/>
    <n v="0"/>
    <x v="6"/>
    <d v="1899-12-30T00:00:0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6">
  <r>
    <s v="Delta A"/>
    <x v="0"/>
    <s v="Ahmed Saad Ibrahim"/>
    <s v="D24_G00704"/>
    <x v="0"/>
    <s v="K-Retail"/>
    <d v="2026-03-09T14:56:36"/>
    <s v="D24_O_00120803"/>
    <n v="0"/>
    <n v="65180.93"/>
    <n v="65180.93"/>
    <x v="0"/>
    <d v="2026-03-25T00:00:00"/>
    <s v="PASTA"/>
    <n v="96"/>
  </r>
  <r>
    <s v="Delta A"/>
    <x v="0"/>
    <s v="El Sayed Omar Attiah"/>
    <s v="D24_R00704"/>
    <x v="0"/>
    <s v="K-Retail"/>
    <d v="2026-03-07T15:11:01"/>
    <s v="D24_O_00120635"/>
    <n v="0"/>
    <n v="66136.759999999995"/>
    <n v="66136.759999999995"/>
    <x v="0"/>
    <d v="2026-03-23T00:00:00"/>
    <s v="AFIA"/>
    <n v="98"/>
  </r>
  <r>
    <s v="Delta A"/>
    <x v="0"/>
    <s v="Mahmoud Arafa Mohamed Salama"/>
    <s v="D24_G00274"/>
    <x v="1"/>
    <s v="K-Retail"/>
    <d v="2026-03-07T12:55:30"/>
    <s v="D24_O_00120589"/>
    <n v="0"/>
    <n v="21755.56"/>
    <n v="21755.56"/>
    <x v="0"/>
    <d v="2026-03-23T00:00:00"/>
    <s v="PASTA"/>
    <n v="98"/>
  </r>
  <r>
    <s v="Delta A"/>
    <x v="0"/>
    <s v="Mohamed Ali Al sayed Al sayed"/>
    <s v="D24_R01104"/>
    <x v="2"/>
    <s v="W/s Consumer &amp; Industrial"/>
    <d v="2026-03-07T16:46:14"/>
    <s v="D24_O_00120614"/>
    <n v="3500000"/>
    <n v="1602863.43"/>
    <n v="1602863.43"/>
    <x v="0"/>
    <d v="2026-03-18T00:00:00"/>
    <s v="AFIA"/>
    <n v="103"/>
  </r>
  <r>
    <s v="Delta A"/>
    <x v="0"/>
    <s v="Mohamed Kamel Ali - Ganna Mix"/>
    <s v="D24_01212"/>
    <x v="3"/>
    <s v="W/s Consumer &amp; Industrial"/>
    <d v="2026-06-21T00:00:00"/>
    <s v="D24_O_00126984"/>
    <n v="300000"/>
    <n v="211989.26"/>
    <n v="211989.26"/>
    <x v="1"/>
    <d v="2026-06-22T00:00:00"/>
    <s v="AFIA"/>
    <n v="7"/>
  </r>
  <r>
    <s v="Delta A"/>
    <x v="0"/>
    <s v="Tawakkol Mustafa Enab"/>
    <s v="D24_G01094"/>
    <x v="4"/>
    <s v="W/s Consumer &amp; Industrial"/>
    <d v="2026-06-11T10:52:30"/>
    <s v="D24_O_00126600"/>
    <n v="200000"/>
    <n v="39624"/>
    <n v="39624"/>
    <x v="1"/>
    <d v="2026-06-22T00:00:00"/>
    <s v="PASTA"/>
    <n v="7"/>
  </r>
  <r>
    <s v="Delta A"/>
    <x v="0"/>
    <s v="Tawakkol Mustafa Enab"/>
    <s v="D24_G01096"/>
    <x v="5"/>
    <s v="W/s Consumer &amp; Industrial"/>
    <d v="2026-06-06T09:36:06"/>
    <s v="D24_O_00126202"/>
    <n v="200000"/>
    <n v="49382.57"/>
    <n v="49382.57"/>
    <x v="2"/>
    <d v="2026-06-17T00:00:00"/>
    <s v="PASTA"/>
    <n v="12"/>
  </r>
  <r>
    <s v="Delta A"/>
    <x v="0"/>
    <s v="Tawakkol Mustafa Enab"/>
    <s v="D24_G01102"/>
    <x v="6"/>
    <s v="W/s Consumer &amp; Industrial"/>
    <d v="2026-06-07T09:40:39"/>
    <s v="D24_O_00126280"/>
    <n v="200000"/>
    <n v="52832"/>
    <n v="52832"/>
    <x v="2"/>
    <d v="2026-06-18T00:00:00"/>
    <s v="PASTA"/>
    <n v="11"/>
  </r>
  <r>
    <s v="Delta A"/>
    <x v="0"/>
    <s v="Tawakkol Mustafa Enab"/>
    <s v="D24_G01108"/>
    <x v="7"/>
    <s v="W/s Consumer &amp; Industrial"/>
    <d v="2026-06-07T12:04:53"/>
    <s v="D24_O_00126285"/>
    <n v="1500000"/>
    <n v="97517"/>
    <n v="97517"/>
    <x v="2"/>
    <d v="2026-06-18T00:00:00"/>
    <s v="PASTA"/>
    <n v="11"/>
  </r>
  <r>
    <s v="Delta A"/>
    <x v="0"/>
    <s v="Tawakkol Mustafa Enab"/>
    <s v="D24_G01108"/>
    <x v="7"/>
    <s v="W/s Consumer &amp; Industrial"/>
    <d v="2026-06-10T12:32:06"/>
    <s v="D24_O_00126540"/>
    <n v="1500000"/>
    <n v="26550.57"/>
    <n v="26550.57"/>
    <x v="1"/>
    <d v="2026-06-21T00:00:00"/>
    <s v="PASTA"/>
    <n v="8"/>
  </r>
  <r>
    <s v="Delta A"/>
    <x v="0"/>
    <s v="Tawakkol Mustafa Enab"/>
    <s v="D24_G01108"/>
    <x v="7"/>
    <s v="W/s Consumer &amp; Industrial"/>
    <d v="2026-06-16T11:57:02"/>
    <s v="D24_O_00126838"/>
    <n v="1500000"/>
    <n v="52832"/>
    <n v="52832"/>
    <x v="1"/>
    <d v="2026-06-27T00:00:00"/>
    <s v="PASTA"/>
    <n v="2"/>
  </r>
  <r>
    <s v="Delta A"/>
    <x v="0"/>
    <s v="Tawakkol Mustafa Enab"/>
    <s v="D24_G01108"/>
    <x v="7"/>
    <s v="W/s Consumer &amp; Industrial"/>
    <d v="2026-06-17T12:20:26"/>
    <s v="D24_O_00126904"/>
    <n v="1500000"/>
    <n v="52832"/>
    <n v="52832"/>
    <x v="1"/>
    <d v="2026-06-28T00:00:00"/>
    <s v="PASTA"/>
    <n v="1"/>
  </r>
  <r>
    <s v="Delta A"/>
    <x v="0"/>
    <s v="Tawakkol Mustafa Enab"/>
    <s v="D24_G01108"/>
    <x v="7"/>
    <s v="W/s Consumer &amp; Industrial"/>
    <d v="2026-06-18T13:51:30"/>
    <s v="D24_O_00126986"/>
    <n v="1500000"/>
    <n v="26550.58"/>
    <n v="0"/>
    <x v="3"/>
    <d v="2026-06-29T00:00:00"/>
    <s v="PASTA"/>
    <n v="0"/>
  </r>
  <r>
    <s v="Delta A"/>
    <x v="0"/>
    <s v="Tawakkol Mustafa Enab"/>
    <s v="D24_G01108"/>
    <x v="7"/>
    <s v="W/s Consumer &amp; Industrial"/>
    <d v="2026-06-20T12:25:05"/>
    <s v="D24_O_00127040"/>
    <n v="1500000"/>
    <n v="52832"/>
    <n v="0"/>
    <x v="3"/>
    <d v="2026-07-01T00:00:00"/>
    <s v="PASTA"/>
    <n v="-2"/>
  </r>
  <r>
    <s v="Delta A"/>
    <x v="0"/>
    <s v="Tawakkol Mustafa Enab"/>
    <s v="D24_G01108"/>
    <x v="7"/>
    <s v="W/s Consumer &amp; Industrial"/>
    <d v="2026-06-21T11:24:48"/>
    <s v="D24_O_00127115"/>
    <n v="1500000"/>
    <n v="52832"/>
    <n v="0"/>
    <x v="3"/>
    <d v="2026-07-02T00:00:00"/>
    <s v="PASTA"/>
    <n v="-3"/>
  </r>
  <r>
    <s v="Delta A"/>
    <x v="0"/>
    <s v="Tawakkol Mustafa Enab"/>
    <s v="D24_G01108"/>
    <x v="7"/>
    <s v="W/s Consumer &amp; Industrial"/>
    <d v="2026-06-22T11:22:49"/>
    <s v="D24_O_00127202"/>
    <n v="1500000"/>
    <n v="92456"/>
    <n v="0"/>
    <x v="3"/>
    <d v="2026-07-03T00:00:00"/>
    <s v="PASTA"/>
    <n v="-4"/>
  </r>
  <r>
    <s v="Delta A"/>
    <x v="0"/>
    <s v="Tawakkol Mustafa Enab"/>
    <s v="D24_G01108"/>
    <x v="7"/>
    <s v="W/s Consumer &amp; Industrial"/>
    <d v="2026-06-23T10:29:50"/>
    <s v="D24_O_00127284"/>
    <n v="1500000"/>
    <n v="92456"/>
    <n v="0"/>
    <x v="3"/>
    <d v="2026-07-04T00:00:00"/>
    <s v="PASTA"/>
    <n v="-5"/>
  </r>
  <r>
    <s v="Delta A"/>
    <x v="0"/>
    <s v="Tawakkol Mustafa Enab"/>
    <s v="D24_G01108"/>
    <x v="7"/>
    <s v="W/s Consumer &amp; Industrial"/>
    <d v="2026-06-28T10:17:34"/>
    <s v="D24_O_00127584"/>
    <n v="1500000"/>
    <n v="79382.58"/>
    <n v="0"/>
    <x v="3"/>
    <d v="2026-07-09T00:00:00"/>
    <s v="PASTA"/>
    <n v="-10"/>
  </r>
  <r>
    <s v="Delta A"/>
    <x v="0"/>
    <s v="Tawakkol Mustafa Enab"/>
    <s v="D24_G01116"/>
    <x v="8"/>
    <s v="W/s Consumer &amp; Industrial"/>
    <d v="2026-06-10T11:51:23"/>
    <s v="D24_O_00126538"/>
    <n v="200000"/>
    <n v="98496"/>
    <n v="98496"/>
    <x v="1"/>
    <d v="2026-06-21T00:00:00"/>
    <s v="PASTA"/>
    <n v="8"/>
  </r>
  <r>
    <s v="Delta A"/>
    <x v="0"/>
    <s v="Tawakkol Mustafa Enab"/>
    <s v="D24_G01633"/>
    <x v="9"/>
    <s v="W/s Consumer &amp; Industrial"/>
    <d v="2026-06-21T10:11:08"/>
    <s v="D24_O_00127111"/>
    <n v="200000"/>
    <n v="67932"/>
    <n v="0"/>
    <x v="3"/>
    <d v="2026-07-02T00:00:00"/>
    <s v="PASTA"/>
    <n v="-3"/>
  </r>
  <r>
    <s v="Delta A"/>
    <x v="0"/>
    <s v="Tawakkol Mustafa Enab"/>
    <s v="D24_G01633"/>
    <x v="9"/>
    <s v="W/s Consumer &amp; Industrial"/>
    <d v="2026-06-24T11:06:59"/>
    <s v="D24_O_00127362"/>
    <n v="200000"/>
    <n v="24000"/>
    <n v="0"/>
    <x v="3"/>
    <d v="2026-07-05T00:00:00"/>
    <s v="SFIE"/>
    <n v="-6"/>
  </r>
  <r>
    <s v="Delta A"/>
    <x v="0"/>
    <s v="Tawakkol Mustafa Enab"/>
    <s v="D24_G01655"/>
    <x v="10"/>
    <s v="W/s Consumer &amp; Industrial"/>
    <d v="2026-06-23T10:22:38"/>
    <s v="D24_O_00127282"/>
    <n v="300000"/>
    <n v="132214.57999999999"/>
    <n v="0"/>
    <x v="3"/>
    <d v="2026-07-04T00:00:00"/>
    <s v="PASTA"/>
    <n v="-5"/>
  </r>
  <r>
    <s v="Delta A"/>
    <x v="0"/>
    <s v="Tawakkol Mustafa Enab"/>
    <s v="D24_G01655"/>
    <x v="10"/>
    <s v="W/s Consumer &amp; Industrial"/>
    <d v="2026-06-23T10:28:31"/>
    <s v="D24_O_00127283"/>
    <n v="300000"/>
    <n v="60000"/>
    <n v="0"/>
    <x v="3"/>
    <d v="2026-07-04T00:00:00"/>
    <s v="SFIE"/>
    <n v="-5"/>
  </r>
  <r>
    <s v="Delta A"/>
    <x v="0"/>
    <s v="Tawakkol Mustafa Enab"/>
    <s v="D24_G01660"/>
    <x v="11"/>
    <s v="W/s Consumer &amp; Industrial"/>
    <d v="2026-06-06T10:42:31"/>
    <s v="D24_O_00126205"/>
    <n v="200000"/>
    <n v="52832"/>
    <n v="52832"/>
    <x v="2"/>
    <d v="2026-06-17T00:00:00"/>
    <s v="PASTA"/>
    <n v="12"/>
  </r>
  <r>
    <s v="Delta A"/>
    <x v="0"/>
    <s v="Tawakkol Mustafa Enab"/>
    <s v="D24_G01674"/>
    <x v="12"/>
    <s v="W/s Consumer &amp; Industrial"/>
    <d v="2026-06-21T12:40:57"/>
    <s v="D24_O_00127121"/>
    <n v="200000"/>
    <n v="26550.57"/>
    <n v="0"/>
    <x v="3"/>
    <d v="2026-07-02T00:00:00"/>
    <s v="PASTA"/>
    <n v="-3"/>
  </r>
  <r>
    <s v="Delta A"/>
    <x v="0"/>
    <s v="مندوب جملة احتياطي عافية"/>
    <s v="D24_R01092"/>
    <x v="13"/>
    <s v="W/s Consumer &amp; Industrial"/>
    <d v="2026-06-07T10:25:02"/>
    <s v="D24_O_00126283"/>
    <n v="300000"/>
    <n v="169917.99"/>
    <n v="169917.99"/>
    <x v="2"/>
    <d v="2026-06-18T00:00:00"/>
    <s v="AFIA"/>
    <n v="11"/>
  </r>
  <r>
    <s v="Delta A"/>
    <x v="0"/>
    <s v="مندوب جملة احتياطي عافية"/>
    <s v="D24_R01095"/>
    <x v="14"/>
    <s v="W/s Consumer &amp; Industrial"/>
    <d v="2026-06-11T10:27:04"/>
    <s v="D24_O_00126599"/>
    <n v="250000"/>
    <n v="137006.82"/>
    <n v="137006.82"/>
    <x v="1"/>
    <d v="2026-06-22T00:00:00"/>
    <s v="AFIA"/>
    <n v="7"/>
  </r>
  <r>
    <s v="Delta A"/>
    <x v="0"/>
    <s v="مندوب جملة احتياطي عافية"/>
    <s v="D24_R01106"/>
    <x v="15"/>
    <s v="W/s Consumer &amp; Industrial"/>
    <d v="2026-06-07T12:44:44"/>
    <s v="D24_O_00126286"/>
    <n v="500000"/>
    <n v="159048.14000000001"/>
    <n v="159048.14000000001"/>
    <x v="2"/>
    <d v="2026-06-18T00:00:00"/>
    <s v="AFIA"/>
    <n v="11"/>
  </r>
  <r>
    <s v="Delta A"/>
    <x v="0"/>
    <s v="مندوب جملة احتياطي عافية"/>
    <s v="D24_R01107"/>
    <x v="16"/>
    <s v="W/s Consumer &amp; Industrial"/>
    <d v="2026-05-18T17:04:55"/>
    <s v="D24_O_00125287"/>
    <n v="5000000"/>
    <n v="2172584"/>
    <n v="2172584"/>
    <x v="4"/>
    <d v="2026-05-29T00:00:00"/>
    <s v="AFIA"/>
    <n v="31"/>
  </r>
  <r>
    <s v="Delta A"/>
    <x v="0"/>
    <s v="مندوب جملة احتياطي عافية"/>
    <s v="D24_R01107"/>
    <x v="16"/>
    <s v="W/s Consumer &amp; Industrial"/>
    <d v="2026-05-21T13:41:32"/>
    <s v="D24_O_00125473"/>
    <n v="5000000"/>
    <n v="824000"/>
    <n v="824000"/>
    <x v="5"/>
    <d v="2026-06-01T00:00:00"/>
    <s v="AFIA"/>
    <n v="28"/>
  </r>
  <r>
    <s v="Delta A"/>
    <x v="0"/>
    <s v="مندوب جملة احتياطي عافية"/>
    <s v="D24_R01107"/>
    <x v="16"/>
    <s v="W/s Consumer &amp; Industrial"/>
    <d v="2026-06-04T13:11:23"/>
    <s v="D24_O_00126096"/>
    <n v="5000000"/>
    <n v="1065600"/>
    <n v="1065600"/>
    <x v="2"/>
    <d v="2026-06-15T00:00:00"/>
    <s v="AFIA"/>
    <n v="14"/>
  </r>
  <r>
    <s v="Delta A"/>
    <x v="0"/>
    <s v="مندوب جملة احتياطي عافية"/>
    <s v="D24_R01107"/>
    <x v="16"/>
    <s v="W/s Consumer &amp; Industrial"/>
    <d v="2026-06-14T12:34:31"/>
    <s v="D24_O_00126695"/>
    <n v="5000000"/>
    <n v="828800"/>
    <n v="828800"/>
    <x v="1"/>
    <d v="2026-06-25T00:00:00"/>
    <s v="AFIA"/>
    <n v="4"/>
  </r>
  <r>
    <s v="Delta A"/>
    <x v="0"/>
    <s v="مندوب جملة احتياطي عافية"/>
    <s v="D24_R01633"/>
    <x v="9"/>
    <s v="W/s Consumer &amp; Industrial"/>
    <d v="2026-06-08T13:58:16"/>
    <s v="D24_O_00126383"/>
    <n v="250000"/>
    <n v="149999.45000000001"/>
    <n v="149999.45000000001"/>
    <x v="1"/>
    <d v="2026-06-19T00:00:00"/>
    <s v="AFIA"/>
    <n v="10"/>
  </r>
  <r>
    <s v="Delta A"/>
    <x v="0"/>
    <s v="مندوب جملة احتياطي عافية"/>
    <s v="D24_R01633"/>
    <x v="9"/>
    <s v="W/s Consumer &amp; Industrial"/>
    <d v="2026-06-24T11:28:18"/>
    <s v="D24_O_00127365"/>
    <n v="250000"/>
    <n v="90657.35"/>
    <n v="0"/>
    <x v="3"/>
    <d v="2026-07-05T00:00:00"/>
    <s v="AFIA"/>
    <n v="-6"/>
  </r>
  <r>
    <s v="Delta A"/>
    <x v="0"/>
    <s v="مندوب جملة احتياطي عافية"/>
    <s v="D24_R01655"/>
    <x v="10"/>
    <s v="W/s Consumer &amp; Industrial"/>
    <d v="2026-06-17T12:21:10"/>
    <s v="D24_O_00126903"/>
    <n v="500000"/>
    <n v="248014.28"/>
    <n v="248014.28"/>
    <x v="1"/>
    <d v="2026-06-28T00:00:00"/>
    <s v="AFIA"/>
    <n v="1"/>
  </r>
  <r>
    <s v="Delta A"/>
    <x v="0"/>
    <s v="مندوب جملة احتياطي عافية"/>
    <s v="D24_R01655"/>
    <x v="10"/>
    <s v="W/s Consumer &amp; Industrial"/>
    <d v="2026-06-28T14:07:23"/>
    <s v="D24_O_00127610"/>
    <n v="500000"/>
    <n v="250926.98"/>
    <n v="0"/>
    <x v="3"/>
    <d v="2026-07-09T00:00:00"/>
    <s v="AFIA"/>
    <n v="-10"/>
  </r>
  <r>
    <s v="Delta A"/>
    <x v="0"/>
    <s v="مندوب جملة احتياطي عافية"/>
    <s v="D24_R01660"/>
    <x v="11"/>
    <s v="W/s Consumer &amp; Industrial"/>
    <d v="2026-06-06T10:44:19"/>
    <s v="D24_O_00126204"/>
    <n v="250000"/>
    <n v="64972.97"/>
    <n v="64972.97"/>
    <x v="2"/>
    <d v="2026-06-17T00:00:00"/>
    <s v="AFIA"/>
    <n v="12"/>
  </r>
  <r>
    <s v="Delta A"/>
    <x v="0"/>
    <s v="مندوب جملة احتياطي عافية"/>
    <s v="D24_R01663"/>
    <x v="17"/>
    <s v="W/s Consumer &amp; Industrial"/>
    <d v="2026-06-27T15:07:22"/>
    <s v="D24_O_00127548"/>
    <n v="250000"/>
    <n v="54281.52"/>
    <n v="0"/>
    <x v="3"/>
    <d v="2026-07-08T00:00:00"/>
    <s v="AFIA"/>
    <n v="-9"/>
  </r>
  <r>
    <s v="Delta A"/>
    <x v="0"/>
    <s v="مندوب جملة احتياطي عافية"/>
    <s v="D24_R01668"/>
    <x v="18"/>
    <s v="W/s Consumer &amp; Industrial"/>
    <d v="2026-06-04T17:20:50"/>
    <s v="D24_O_00126197"/>
    <n v="200000"/>
    <n v="30275.56"/>
    <n v="30275.56"/>
    <x v="2"/>
    <d v="2026-06-15T00:00:00"/>
    <s v="AFIA"/>
    <n v="14"/>
  </r>
  <r>
    <s v="Delta A"/>
    <x v="0"/>
    <s v="مندوب جملة احتياطي عافية"/>
    <s v="D24_R01668"/>
    <x v="18"/>
    <s v="W/s Consumer &amp; Industrial"/>
    <d v="2026-06-18T12:16:22"/>
    <s v="D24_O_00126982"/>
    <n v="200000"/>
    <n v="122435.49"/>
    <n v="0"/>
    <x v="3"/>
    <d v="2026-06-29T00:00:00"/>
    <s v="AFIA"/>
    <n v="0"/>
  </r>
  <r>
    <s v="Delta A"/>
    <x v="0"/>
    <s v="مندوب جملة احتياطي عافية"/>
    <s v="D24_R01668"/>
    <x v="18"/>
    <s v="W/s Consumer &amp; Industrial"/>
    <d v="2026-06-22T11:10:53"/>
    <s v="D24_O_00127201"/>
    <n v="200000"/>
    <n v="46400"/>
    <n v="0"/>
    <x v="3"/>
    <d v="2026-07-03T00:00:00"/>
    <s v="AFIA"/>
    <n v="-4"/>
  </r>
  <r>
    <s v="Delta A"/>
    <x v="0"/>
    <s v="مندوب جملة احتياطي عافية"/>
    <s v="D24_R01674"/>
    <x v="12"/>
    <s v="W/s Consumer &amp; Industrial"/>
    <d v="2026-06-08T00:00:00"/>
    <s v="D24_O_00126282"/>
    <n v="250000"/>
    <n v="63170.69"/>
    <n v="63170.69"/>
    <x v="1"/>
    <d v="2026-06-19T00:00:00"/>
    <s v="AFIA"/>
    <n v="10"/>
  </r>
  <r>
    <s v="Delta A"/>
    <x v="0"/>
    <s v="مندوب جملة احتياطي عافية"/>
    <s v="D24_R01674"/>
    <x v="12"/>
    <s v="W/s Consumer &amp; Industrial"/>
    <d v="2026-06-21T12:40:05"/>
    <s v="D24_O_00127120"/>
    <n v="250000"/>
    <n v="25770"/>
    <n v="0"/>
    <x v="3"/>
    <d v="2026-07-02T00:00:00"/>
    <s v="AFIA"/>
    <n v="-3"/>
  </r>
  <r>
    <s v="Delta A"/>
    <x v="0"/>
    <s v="مندوب جملة احتياطي عافية"/>
    <s v="D24_R01748"/>
    <x v="19"/>
    <s v="W/s Consumer &amp; Industrial"/>
    <d v="2026-06-06T09:46:59"/>
    <s v="D24_O_00126203"/>
    <n v="250000"/>
    <n v="151630.31"/>
    <n v="151630.31"/>
    <x v="2"/>
    <d v="2026-06-17T00:00:00"/>
    <s v="AFIA"/>
    <n v="12"/>
  </r>
  <r>
    <s v="Delta A"/>
    <x v="0"/>
    <s v="مندوب جملة احتياطي عافية"/>
    <s v="D24_R01748"/>
    <x v="19"/>
    <s v="W/s Consumer &amp; Industrial"/>
    <d v="2026-06-25T12:16:52"/>
    <s v="D24_O_00127422"/>
    <n v="250000"/>
    <n v="83078.289999999994"/>
    <n v="0"/>
    <x v="3"/>
    <d v="2026-07-06T00:00:00"/>
    <s v="AFIA"/>
    <n v="-7"/>
  </r>
  <r>
    <s v="Delta A"/>
    <x v="0"/>
    <s v="#MULTIVALUE"/>
    <s v="D24_R01547"/>
    <x v="20"/>
    <s v="W/s Consumer &amp; Industrial"/>
    <d v="2026-03-07T16:48:42"/>
    <s v="D24_O_00120615"/>
    <n v="3500000"/>
    <n v="1097867.52"/>
    <n v="1097867.52"/>
    <x v="0"/>
    <d v="2026-03-18T00:00:00"/>
    <s v="AFIA"/>
    <n v="103"/>
  </r>
  <r>
    <s v="Delta A"/>
    <x v="0"/>
    <s v="#MULTIVALUE"/>
    <s v="D24_R01547"/>
    <x v="20"/>
    <s v="W/s Consumer &amp; Industrial"/>
    <d v="2026-06-13T09:56:03"/>
    <s v="D24_O_00126645"/>
    <n v="3500000"/>
    <n v="328720"/>
    <n v="328720"/>
    <x v="1"/>
    <d v="2026-06-24T00:00:00"/>
    <s v="AFIA"/>
    <n v="5"/>
  </r>
  <r>
    <s v="Delta A"/>
    <x v="0"/>
    <s v="#MULTIVALUE"/>
    <s v="D24_R01547"/>
    <x v="20"/>
    <s v="W/s Consumer &amp; Industrial"/>
    <d v="2026-06-18T12:36:37"/>
    <s v="D24_O_00126983"/>
    <n v="3500000"/>
    <n v="779520"/>
    <n v="0"/>
    <x v="3"/>
    <d v="2026-06-29T00:00:00"/>
    <s v="AFIA"/>
    <n v="0"/>
  </r>
  <r>
    <s v="Delta A"/>
    <x v="1"/>
    <s v="Ahmed Abdl Hadi Abdl Galil"/>
    <s v="D21_R01107"/>
    <x v="21"/>
    <s v="W/s Consumer &amp; Industrial"/>
    <d v="2026-06-27T10:13:16"/>
    <s v="D21_O_00269895"/>
    <n v="150000"/>
    <n v="40000"/>
    <n v="0"/>
    <x v="3"/>
    <d v="2026-07-08T00:00:00"/>
    <s v="AFIA"/>
    <n v="-9"/>
  </r>
  <r>
    <s v="Delta A"/>
    <x v="1"/>
    <s v="Ahmed Abdl Hadi Abdl Galil"/>
    <s v="D21_R01157"/>
    <x v="22"/>
    <s v="W/s Consumer &amp; Industrial"/>
    <d v="2026-05-18T09:38:25"/>
    <s v="D21_O_00263609"/>
    <n v="500000"/>
    <n v="174790.94"/>
    <n v="174790.94"/>
    <x v="4"/>
    <d v="2026-05-29T00:00:00"/>
    <s v="AFIA"/>
    <n v="31"/>
  </r>
  <r>
    <s v="Delta A"/>
    <x v="1"/>
    <s v="Ahmed Abdl Hadi Abdl Galil"/>
    <s v="D21_R01195"/>
    <x v="23"/>
    <s v="W/s Consumer &amp; Industrial"/>
    <d v="2026-06-17T00:00:00"/>
    <s v="D21_O_00268536"/>
    <n v="1500000"/>
    <n v="71902.100000000006"/>
    <n v="71902.100000000006"/>
    <x v="1"/>
    <d v="2026-06-28T00:00:00"/>
    <s v="AFIA"/>
    <n v="1"/>
  </r>
  <r>
    <s v="Delta A"/>
    <x v="1"/>
    <s v="Ahmed Abdl Hadi Abdl Galil"/>
    <s v="D21_R01195"/>
    <x v="23"/>
    <s v="W/s Consumer &amp; Industrial"/>
    <d v="2026-06-21T09:34:12"/>
    <s v="D21_O_00269103"/>
    <n v="1500000"/>
    <n v="91431.07"/>
    <n v="0"/>
    <x v="3"/>
    <d v="2026-07-02T00:00:00"/>
    <s v="AFIA"/>
    <n v="-3"/>
  </r>
  <r>
    <s v="Delta A"/>
    <x v="1"/>
    <s v="Ahmed Abdl Hadi Abdl Galil"/>
    <s v="D21_R01195"/>
    <x v="23"/>
    <s v="W/s Consumer &amp; Industrial"/>
    <d v="2026-06-21T09:37:40"/>
    <s v="D21_O_00269104"/>
    <n v="1500000"/>
    <n v="94168.94"/>
    <n v="0"/>
    <x v="3"/>
    <d v="2026-07-02T00:00:00"/>
    <s v="AFIA"/>
    <n v="-3"/>
  </r>
  <r>
    <s v="Delta A"/>
    <x v="1"/>
    <s v="Ahmed Abdl Hadi Abdl Galil"/>
    <s v="D21_R01195"/>
    <x v="23"/>
    <s v="W/s Consumer &amp; Industrial"/>
    <d v="2026-06-28T09:48:11"/>
    <s v="D21_O_00270087"/>
    <n v="1500000"/>
    <n v="147205.06"/>
    <n v="0"/>
    <x v="3"/>
    <d v="2026-07-09T00:00:00"/>
    <s v="AFIA"/>
    <n v="-10"/>
  </r>
  <r>
    <s v="Delta A"/>
    <x v="1"/>
    <s v="Ahmed Abdl Hadi Abdl Galil"/>
    <s v="D21_R02240"/>
    <x v="24"/>
    <s v="W/s Consumer &amp; Industrial"/>
    <d v="2026-05-23T00:00:00"/>
    <s v="D21_O_00264359"/>
    <n v="3000000"/>
    <n v="39835"/>
    <n v="39835"/>
    <x v="5"/>
    <d v="2026-06-03T00:00:00"/>
    <s v="AFIA"/>
    <n v="26"/>
  </r>
  <r>
    <s v="Delta A"/>
    <x v="1"/>
    <s v="Ahmed Abdl Hadi Abdl Galil"/>
    <s v="D21_R02347"/>
    <x v="25"/>
    <s v="W/s Consumer &amp; Industrial"/>
    <d v="2026-02-26T19:06:41"/>
    <s v="D21_O_00250572"/>
    <n v="12000000"/>
    <n v="109149.19"/>
    <n v="109149.19"/>
    <x v="0"/>
    <d v="2026-03-14T00:00:00"/>
    <s v="AFIA"/>
    <n v="107"/>
  </r>
  <r>
    <s v="Delta A"/>
    <x v="1"/>
    <s v="Ahmed Abdl Hadi Abdl Galil"/>
    <s v="D21_R02347"/>
    <x v="25"/>
    <s v="W/s Consumer &amp; Industrial"/>
    <d v="2026-02-28T17:28:15"/>
    <s v="D21_O_00250744"/>
    <n v="12000000"/>
    <n v="1239804.1399999999"/>
    <n v="1239804.1399999999"/>
    <x v="0"/>
    <d v="2026-03-16T00:00:00"/>
    <s v="AFIA"/>
    <n v="105"/>
  </r>
  <r>
    <s v="Delta A"/>
    <x v="1"/>
    <s v="Ahmed Abdl Hadi Abdl Galil"/>
    <s v="D21_R02347"/>
    <x v="25"/>
    <s v="W/s Consumer &amp; Industrial"/>
    <d v="2026-03-07T08:13:07"/>
    <s v="D21_O_00251954"/>
    <n v="12000000"/>
    <n v="9048827.1699999999"/>
    <n v="9048827.1699999999"/>
    <x v="0"/>
    <d v="2026-03-23T00:00:00"/>
    <s v="AFIA"/>
    <n v="98"/>
  </r>
  <r>
    <s v="Delta A"/>
    <x v="1"/>
    <s v="Ahmed Abdl Hadi Abdl Galil"/>
    <s v="D21_R02347"/>
    <x v="25"/>
    <s v="W/s Consumer &amp; Industrial"/>
    <d v="2026-06-09T18:01:39"/>
    <s v="D21_O_00267314"/>
    <n v="12000000"/>
    <n v="366422.07"/>
    <n v="366422.07"/>
    <x v="1"/>
    <d v="2026-06-20T00:00:00"/>
    <s v="AFIA"/>
    <n v="9"/>
  </r>
  <r>
    <s v="Delta A"/>
    <x v="1"/>
    <s v="Ahmed Abdl Hadi Abdl Galil"/>
    <s v="D21_R02347"/>
    <x v="25"/>
    <s v="W/s Consumer &amp; Industrial"/>
    <d v="2026-06-11T14:24:14"/>
    <s v="D21_O_00267624"/>
    <n v="12000000"/>
    <n v="453649.62"/>
    <n v="453649.62"/>
    <x v="1"/>
    <d v="2026-06-22T00:00:00"/>
    <s v="AFIA"/>
    <n v="7"/>
  </r>
  <r>
    <s v="Delta A"/>
    <x v="1"/>
    <s v="Ahmed Abdl Hadi Abdl Galil"/>
    <s v="D21_R02347"/>
    <x v="25"/>
    <s v="W/s Consumer &amp; Industrial"/>
    <d v="2026-06-17T14:42:30"/>
    <s v="D21_O_00268606"/>
    <n v="12000000"/>
    <n v="356250.75"/>
    <n v="356250.75"/>
    <x v="1"/>
    <d v="2026-06-28T00:00:00"/>
    <s v="AFIA"/>
    <n v="1"/>
  </r>
  <r>
    <s v="Delta A"/>
    <x v="1"/>
    <s v="Ahmed Abdl Hadi Abdl Galil"/>
    <s v="D21_R02347"/>
    <x v="25"/>
    <s v="W/s Consumer &amp; Industrial"/>
    <d v="2026-06-18T12:41:27"/>
    <s v="D21_O_00268754"/>
    <n v="12000000"/>
    <n v="216077.89"/>
    <n v="0"/>
    <x v="3"/>
    <d v="2026-06-29T00:00:00"/>
    <s v="AFIA"/>
    <n v="0"/>
  </r>
  <r>
    <s v="Delta A"/>
    <x v="1"/>
    <s v="Ahmed Al Taneeb Aboda"/>
    <s v="D21_M01115"/>
    <x v="26"/>
    <s v="W/s Consumer &amp; Industrial"/>
    <d v="2026-06-09T09:41:58"/>
    <s v="D21_O_00267118"/>
    <n v="150000"/>
    <n v="27148"/>
    <n v="27148"/>
    <x v="1"/>
    <d v="2026-06-20T00:00:00"/>
    <s v="PASTA"/>
    <n v="9"/>
  </r>
  <r>
    <s v="Delta A"/>
    <x v="1"/>
    <s v="Ahmed Al Taneeb Aboda"/>
    <s v="D21_M01123"/>
    <x v="27"/>
    <s v="W/s Consumer &amp; Industrial"/>
    <d v="2026-06-13T09:23:03"/>
    <s v="D21_O_00267800"/>
    <n v="150000"/>
    <n v="14114"/>
    <n v="14114"/>
    <x v="1"/>
    <d v="2026-06-24T00:00:00"/>
    <s v="PASTA"/>
    <n v="5"/>
  </r>
  <r>
    <s v="Delta A"/>
    <x v="1"/>
    <s v="Ahmed Al Taneeb Aboda"/>
    <s v="D21_M01133"/>
    <x v="28"/>
    <s v="W/s Consumer &amp; Industrial"/>
    <d v="2026-06-21T09:14:13"/>
    <s v="D21_O_00269102"/>
    <n v="200000"/>
    <n v="7705"/>
    <n v="0"/>
    <x v="3"/>
    <d v="2026-07-02T00:00:00"/>
    <s v="PASTA"/>
    <n v="-3"/>
  </r>
  <r>
    <s v="Delta A"/>
    <x v="1"/>
    <s v="Ahmed Al Taneeb Aboda"/>
    <s v="D21_M02347"/>
    <x v="25"/>
    <s v="W/s Consumer &amp; Industrial"/>
    <d v="2026-02-28T22:11:30"/>
    <s v="D21_O_00250773"/>
    <n v="2500000"/>
    <n v="2173119.46"/>
    <n v="2173119.46"/>
    <x v="0"/>
    <d v="2026-03-16T00:00:00"/>
    <s v="PASTA"/>
    <n v="105"/>
  </r>
  <r>
    <s v="Delta A"/>
    <x v="1"/>
    <s v="Ahmed Al Taneeb Aboda"/>
    <s v="D21_M02347"/>
    <x v="25"/>
    <s v="W/s Consumer &amp; Industrial"/>
    <d v="2026-06-11T20:26:57"/>
    <s v="D21_O_00267793"/>
    <n v="2500000"/>
    <n v="158496"/>
    <n v="158496"/>
    <x v="1"/>
    <d v="2026-06-22T00:00:00"/>
    <s v="PASTA"/>
    <n v="7"/>
  </r>
  <r>
    <s v="Delta A"/>
    <x v="1"/>
    <s v="Ahmed Mosad Al shahaat"/>
    <s v="D21_P01503"/>
    <x v="22"/>
    <s v="W/s Consumer &amp; Industrial"/>
    <d v="2026-06-02T13:09:53"/>
    <s v="D21_O_00265651"/>
    <n v="225000"/>
    <n v="116540"/>
    <n v="116540"/>
    <x v="2"/>
    <d v="2026-06-13T00:00:00"/>
    <s v="PASTA"/>
    <n v="16"/>
  </r>
  <r>
    <s v="Delta A"/>
    <x v="1"/>
    <s v="Ahmed Mosad Al shahaat"/>
    <s v="D21_P01503"/>
    <x v="22"/>
    <s v="W/s Consumer &amp; Industrial"/>
    <d v="2026-06-18T00:00:00"/>
    <s v="D21_O_00268540"/>
    <n v="225000"/>
    <n v="104040"/>
    <n v="0"/>
    <x v="3"/>
    <d v="2026-06-29T00:00:00"/>
    <s v="PASTA"/>
    <n v="0"/>
  </r>
  <r>
    <s v="Delta A"/>
    <x v="1"/>
    <s v="Ahmed Mosad Al shahaat"/>
    <s v="D21_P01505"/>
    <x v="29"/>
    <s v="W/s Consumer &amp; Industrial"/>
    <d v="2026-06-20T10:55:33"/>
    <s v="D21_O_00268898"/>
    <n v="150000"/>
    <n v="32981"/>
    <n v="0"/>
    <x v="3"/>
    <d v="2026-07-01T00:00:00"/>
    <s v="PASTA"/>
    <n v="-2"/>
  </r>
  <r>
    <s v="Delta A"/>
    <x v="1"/>
    <s v="Ahmed Mosad Al shahaat"/>
    <s v="D21_P01505"/>
    <x v="29"/>
    <s v="W/s Consumer &amp; Industrial"/>
    <d v="2026-06-24T10:24:36"/>
    <s v="D21_O_00269601"/>
    <n v="150000"/>
    <n v="61740"/>
    <n v="0"/>
    <x v="3"/>
    <d v="2026-07-05T00:00:00"/>
    <s v="PASTA"/>
    <n v="-6"/>
  </r>
  <r>
    <s v="Delta A"/>
    <x v="1"/>
    <s v="Ahmed Mosad Al shahaat"/>
    <s v="D21_P01511"/>
    <x v="30"/>
    <s v="W/s Consumer &amp; Industrial"/>
    <d v="2026-06-23T00:00:00"/>
    <s v="D21_O_00269423"/>
    <n v="150000"/>
    <n v="105000"/>
    <n v="0"/>
    <x v="3"/>
    <d v="2026-07-04T00:00:00"/>
    <s v="PASTA"/>
    <n v="-5"/>
  </r>
  <r>
    <s v="Delta A"/>
    <x v="1"/>
    <s v="Ahmed Mosad Al shahaat"/>
    <s v="D21_P01564"/>
    <x v="31"/>
    <s v="W/s Consumer &amp; Industrial"/>
    <d v="2026-06-08T12:04:49"/>
    <s v="D21_O_00266939"/>
    <n v="1500000"/>
    <n v="210000"/>
    <n v="210000"/>
    <x v="1"/>
    <d v="2026-06-19T00:00:00"/>
    <s v="PASTA"/>
    <n v="10"/>
  </r>
  <r>
    <s v="Delta A"/>
    <x v="1"/>
    <s v="Ahmed Mosad Al shahaat"/>
    <s v="D21_P01654"/>
    <x v="25"/>
    <s v="W/s Consumer &amp; Industrial"/>
    <d v="2026-06-06T12:01:00"/>
    <s v="D21_O_00266427"/>
    <n v="500000"/>
    <n v="364620"/>
    <n v="364620"/>
    <x v="2"/>
    <d v="2026-06-17T00:00:00"/>
    <s v="PASTA"/>
    <n v="12"/>
  </r>
  <r>
    <s v="Delta A"/>
    <x v="1"/>
    <s v="Ashraf El Sayed Mahmoud"/>
    <s v="D21_M01154"/>
    <x v="32"/>
    <s v="W/s Consumer &amp; Industrial"/>
    <d v="2026-06-03T09:54:58"/>
    <s v="D21_O_00265886"/>
    <n v="175000"/>
    <n v="68329"/>
    <n v="68329"/>
    <x v="2"/>
    <d v="2026-06-14T00:00:00"/>
    <s v="PASTA"/>
    <n v="15"/>
  </r>
  <r>
    <s v="Delta A"/>
    <x v="1"/>
    <s v="Ashraf El Sayed Mahmoud"/>
    <s v="D21_M01159"/>
    <x v="29"/>
    <s v="W/s Consumer &amp; Industrial"/>
    <d v="2026-06-20T10:43:08"/>
    <s v="D21_O_00268897"/>
    <n v="80000"/>
    <n v="26416"/>
    <n v="0"/>
    <x v="3"/>
    <d v="2026-07-01T00:00:00"/>
    <s v="PASTA"/>
    <n v="-2"/>
  </r>
  <r>
    <s v="Delta A"/>
    <x v="1"/>
    <s v="Ashraf El Sayed Mahmoud"/>
    <s v="D21_M01190"/>
    <x v="33"/>
    <s v="W/s Consumer &amp; Industrial"/>
    <d v="2026-06-22T00:00:00"/>
    <s v="D21_O_00268364"/>
    <n v="55000"/>
    <n v="25000"/>
    <n v="0"/>
    <x v="3"/>
    <d v="2026-07-03T00:00:00"/>
    <s v="PASTA"/>
    <n v="-4"/>
  </r>
  <r>
    <s v="Delta A"/>
    <x v="1"/>
    <s v="Ashraf El Sayed Mahmoud"/>
    <s v="D21_M01195"/>
    <x v="23"/>
    <s v="W/s Consumer &amp; Industrial"/>
    <d v="2026-06-28T09:23:31"/>
    <s v="D21_O_00270084"/>
    <n v="2000000"/>
    <n v="221032"/>
    <n v="0"/>
    <x v="3"/>
    <d v="2026-07-09T00:00:00"/>
    <s v="PASTA"/>
    <n v="-10"/>
  </r>
  <r>
    <s v="Delta A"/>
    <x v="1"/>
    <s v="Ashraf El Sayed Mahmoud"/>
    <s v="D21_M01195"/>
    <x v="23"/>
    <s v="W/s Consumer &amp; Industrial"/>
    <d v="2026-06-28T09:30:58"/>
    <s v="D21_O_00270086"/>
    <n v="2000000"/>
    <n v="195820"/>
    <n v="0"/>
    <x v="3"/>
    <d v="2026-07-09T00:00:00"/>
    <s v="PASTA"/>
    <n v="-10"/>
  </r>
  <r>
    <s v="Delta A"/>
    <x v="1"/>
    <s v="Ashraf El Sayed Mahmoud"/>
    <s v="D21_M03061"/>
    <x v="34"/>
    <s v="W/s Consumer &amp; Industrial"/>
    <d v="2026-06-06T10:06:03"/>
    <s v="D21_O_00266414"/>
    <n v="80000"/>
    <n v="30000"/>
    <n v="30000"/>
    <x v="2"/>
    <d v="2026-06-17T00:00:00"/>
    <s v="PASTA"/>
    <n v="12"/>
  </r>
  <r>
    <s v="Delta A"/>
    <x v="1"/>
    <s v="Mahmoud Ragab Ramadan"/>
    <s v="D21_R01559"/>
    <x v="35"/>
    <s v="K-Retail"/>
    <d v="2026-05-12T12:30:27"/>
    <s v="D21_O_00262683"/>
    <n v="4000000"/>
    <n v="1261072.42"/>
    <n v="1261072.42"/>
    <x v="4"/>
    <d v="2026-05-28T00:00:00"/>
    <s v="AFIA"/>
    <n v="32"/>
  </r>
  <r>
    <s v="Delta A"/>
    <x v="1"/>
    <s v="Mahmoud Ragab Ramadan"/>
    <s v="D21_R01559"/>
    <x v="35"/>
    <s v="K-Retail"/>
    <d v="2026-06-08T20:41:11"/>
    <s v="D21_O_00267114"/>
    <n v="4000000"/>
    <n v="143349.24"/>
    <n v="143349.24"/>
    <x v="1"/>
    <d v="2026-06-24T00:00:00"/>
    <s v="AFIA"/>
    <n v="5"/>
  </r>
  <r>
    <s v="Delta A"/>
    <x v="1"/>
    <s v="Mahmoud Ragab Ramadan"/>
    <s v="D21_R01559"/>
    <x v="35"/>
    <s v="K-Retail"/>
    <d v="2026-06-08T21:05:10"/>
    <s v="D21_O_00267116"/>
    <n v="4000000"/>
    <n v="1211975.8"/>
    <n v="1211975.8"/>
    <x v="1"/>
    <d v="2026-06-24T00:00:00"/>
    <s v="AFIA"/>
    <n v="5"/>
  </r>
  <r>
    <s v="Delta A"/>
    <x v="1"/>
    <s v="Mahmoud Ragab Ramadan"/>
    <s v="D21_R01559"/>
    <x v="35"/>
    <s v="K-Retail"/>
    <d v="2026-06-20T20:23:44"/>
    <s v="D21_O_00269100"/>
    <n v="4000000"/>
    <n v="502703.25"/>
    <n v="0"/>
    <x v="3"/>
    <d v="2026-07-06T00:00:00"/>
    <s v="AFIA"/>
    <n v="-7"/>
  </r>
  <r>
    <s v="Delta A"/>
    <x v="1"/>
    <s v="Mahmoud Ragab Ramadan"/>
    <s v="D21_R01559"/>
    <x v="35"/>
    <s v="K-Retail"/>
    <d v="2026-06-23T14:12:58"/>
    <s v="D21_O_00269566"/>
    <n v="4000000"/>
    <n v="483813.75"/>
    <n v="0"/>
    <x v="3"/>
    <d v="2026-07-09T00:00:00"/>
    <s v="AFIA"/>
    <n v="-10"/>
  </r>
  <r>
    <s v="Delta A"/>
    <x v="1"/>
    <s v="Mahmoud Ragab Ramadan"/>
    <s v="D21_R03072"/>
    <x v="36"/>
    <s v="K-Account"/>
    <d v="2026-06-24T10:40:52"/>
    <s v="D21_O_00269602"/>
    <n v="3000000"/>
    <n v="20113.25"/>
    <n v="0"/>
    <x v="3"/>
    <d v="2026-07-25T00:00:00"/>
    <s v="AFIA"/>
    <n v="-26"/>
  </r>
  <r>
    <s v="Delta A"/>
    <x v="1"/>
    <s v="Mohamed Kamel Ali - Ganna Mix"/>
    <s v="D21_01640"/>
    <x v="35"/>
    <s v="K-Retail"/>
    <d v="2026-05-12T13:50:55"/>
    <s v="D21_O_00262680"/>
    <n v="100000"/>
    <n v="63920.5"/>
    <n v="63920.5"/>
    <x v="4"/>
    <d v="2026-05-28T00:00:00"/>
    <s v="AFIA"/>
    <n v="32"/>
  </r>
  <r>
    <s v="Delta A"/>
    <x v="1"/>
    <s v="Mohamed Kamel Ali - Ganna Mix"/>
    <s v="D21_01678"/>
    <x v="37"/>
    <s v="W/s Consumer &amp; Industrial"/>
    <d v="2026-06-28T15:14:17"/>
    <s v="D21_O_00270228"/>
    <n v="600000"/>
    <n v="251321"/>
    <n v="0"/>
    <x v="3"/>
    <d v="2026-07-09T00:00:00"/>
    <s v="AFIA"/>
    <n v="-10"/>
  </r>
  <r>
    <s v="Delta A"/>
    <x v="1"/>
    <s v="Mohamed Mossad Fathey"/>
    <s v="D21_M01559"/>
    <x v="35"/>
    <s v="K-Retail"/>
    <d v="2026-06-08T17:24:08"/>
    <s v="D21_O_00267112"/>
    <n v="1750000"/>
    <n v="456966.68"/>
    <n v="456966.68"/>
    <x v="1"/>
    <d v="2026-06-24T00:00:00"/>
    <s v="PASTA"/>
    <n v="5"/>
  </r>
  <r>
    <s v="Delta A"/>
    <x v="1"/>
    <s v="Mohamed Mossad Fathey"/>
    <s v="D21_M01559"/>
    <x v="35"/>
    <s v="K-Retail"/>
    <d v="2026-06-20T17:59:58"/>
    <s v="D21_O_00269094"/>
    <n v="1750000"/>
    <n v="238319.02"/>
    <n v="0"/>
    <x v="3"/>
    <d v="2026-07-06T00:00:00"/>
    <s v="PASTA"/>
    <n v="-7"/>
  </r>
  <r>
    <s v="Delta A"/>
    <x v="1"/>
    <s v="Mohamed Mossad Fathey"/>
    <s v="D21_M01559"/>
    <x v="35"/>
    <s v="K-Retail"/>
    <d v="2026-06-23T12:17:00"/>
    <s v="D21_O_00269489"/>
    <n v="1750000"/>
    <n v="252449.42"/>
    <n v="0"/>
    <x v="3"/>
    <d v="2026-07-09T00:00:00"/>
    <s v="PASTA"/>
    <n v="-10"/>
  </r>
  <r>
    <s v="Delta A"/>
    <x v="1"/>
    <s v="Mohamed Mounir Mohamed - Koshary"/>
    <s v="D21_P01524"/>
    <x v="38"/>
    <s v="W/s Consumer &amp; Industrial"/>
    <d v="2026-06-10T00:00:00"/>
    <s v="D21_O_00267572"/>
    <n v="75000"/>
    <n v="68625"/>
    <n v="68625"/>
    <x v="1"/>
    <d v="2026-06-21T00:00:00"/>
    <s v="PASTA"/>
    <n v="8"/>
  </r>
  <r>
    <s v="Delta A"/>
    <x v="1"/>
    <s v="Mohamed Mounir Mohamed - Koshary"/>
    <s v="D21_P01641"/>
    <x v="39"/>
    <s v="W/s Consumer &amp; Industrial"/>
    <d v="2026-06-23T00:00:00"/>
    <s v="D21_O_00269037"/>
    <n v="700000"/>
    <n v="669000"/>
    <n v="0"/>
    <x v="3"/>
    <d v="2026-07-04T00:00:00"/>
    <s v="PASTA"/>
    <n v="-5"/>
  </r>
  <r>
    <s v="Delta A"/>
    <x v="1"/>
    <s v="Samir Ashraf Mahmoud"/>
    <s v="D21_G01195"/>
    <x v="23"/>
    <s v="W/s Consumer &amp; Industrial"/>
    <d v="2026-06-17T00:00:00"/>
    <s v="D21_O_00268527"/>
    <n v="1500000"/>
    <n v="58677.75"/>
    <n v="58677.75"/>
    <x v="1"/>
    <d v="2026-06-28T00:00:00"/>
    <s v="AFIA"/>
    <n v="1"/>
  </r>
  <r>
    <s v="Delta A"/>
    <x v="1"/>
    <s v="Samir Ashraf Mahmoud"/>
    <s v="D21_G01195"/>
    <x v="23"/>
    <s v="W/s Consumer &amp; Industrial"/>
    <d v="2026-06-21T00:00:00"/>
    <s v="D21_O_00269086"/>
    <n v="1500000"/>
    <n v="54402"/>
    <n v="0"/>
    <x v="3"/>
    <d v="2026-07-02T00:00:00"/>
    <s v="AFIA"/>
    <n v="-3"/>
  </r>
  <r>
    <s v="Delta A"/>
    <x v="1"/>
    <s v="Samir Ashraf Mahmoud"/>
    <s v="D21_G01195"/>
    <x v="23"/>
    <s v="W/s Consumer &amp; Industrial"/>
    <d v="2026-06-21T00:00:00"/>
    <s v="D21_O_00269089"/>
    <n v="1500000"/>
    <n v="72461.94"/>
    <n v="0"/>
    <x v="3"/>
    <d v="2026-07-02T00:00:00"/>
    <s v="AFIA"/>
    <n v="-3"/>
  </r>
  <r>
    <s v="Delta A"/>
    <x v="1"/>
    <s v="Samir Ashraf Mahmoud"/>
    <s v="D21_G01195"/>
    <x v="23"/>
    <s v="W/s Consumer &amp; Industrial"/>
    <d v="2026-06-28T00:00:00"/>
    <s v="D21_O_00258531"/>
    <n v="1500000"/>
    <n v="183976.63"/>
    <n v="0"/>
    <x v="3"/>
    <d v="2026-07-09T00:00:00"/>
    <s v="AFIA"/>
    <n v="-10"/>
  </r>
  <r>
    <s v="Delta A"/>
    <x v="1"/>
    <s v="Samir Ashraf Mahmoud"/>
    <s v="D21_G02347"/>
    <x v="25"/>
    <s v="W/s Consumer &amp; Industrial"/>
    <d v="2026-02-28T16:05:26"/>
    <s v="D21_O_00250727"/>
    <n v="10000000"/>
    <n v="1219556.58"/>
    <n v="1219556.58"/>
    <x v="0"/>
    <d v="2026-03-16T00:00:00"/>
    <s v="AFIA"/>
    <n v="105"/>
  </r>
  <r>
    <s v="Delta A"/>
    <x v="1"/>
    <s v="Samir Ashraf Mahmoud"/>
    <s v="D21_G02347"/>
    <x v="25"/>
    <s v="W/s Consumer &amp; Industrial"/>
    <d v="2026-03-07T23:15:29"/>
    <s v="D21_O_00252359"/>
    <n v="10000000"/>
    <n v="7963401.2400000002"/>
    <n v="7963401.2400000002"/>
    <x v="0"/>
    <d v="2026-03-23T00:00:00"/>
    <s v="AFIA"/>
    <n v="98"/>
  </r>
  <r>
    <s v="Delta A"/>
    <x v="1"/>
    <s v="Samir Ashraf Mahmoud"/>
    <s v="D21_G02347"/>
    <x v="25"/>
    <s v="W/s Consumer &amp; Industrial"/>
    <d v="2026-06-06T11:25:42"/>
    <s v="D21_O_00266424"/>
    <n v="10000000"/>
    <n v="311600"/>
    <n v="311600"/>
    <x v="2"/>
    <d v="2026-06-17T00:00:00"/>
    <s v="AFIA"/>
    <n v="12"/>
  </r>
  <r>
    <s v="Delta A"/>
    <x v="1"/>
    <s v="Samir Ashraf Mahmoud"/>
    <s v="D21_G02347"/>
    <x v="25"/>
    <s v="W/s Consumer &amp; Industrial"/>
    <d v="2026-06-09T12:30:18"/>
    <s v="D21_O_00267163"/>
    <n v="10000000"/>
    <n v="79092.37"/>
    <n v="79092.37"/>
    <x v="1"/>
    <d v="2026-06-20T00:00:00"/>
    <s v="AFIA"/>
    <n v="9"/>
  </r>
  <r>
    <s v="Delta A"/>
    <x v="1"/>
    <s v="Samir Ashraf Mahmoud"/>
    <s v="D21_G02347"/>
    <x v="25"/>
    <s v="W/s Consumer &amp; Industrial"/>
    <d v="2026-06-11T10:42:06"/>
    <s v="D21_O_00267589"/>
    <n v="10000000"/>
    <n v="121643.48"/>
    <n v="121643.48"/>
    <x v="1"/>
    <d v="2026-06-22T00:00:00"/>
    <s v="AFIA"/>
    <n v="7"/>
  </r>
  <r>
    <s v="Delta A"/>
    <x v="1"/>
    <s v="Samir Ashraf Mahmoud"/>
    <s v="D21_G02347"/>
    <x v="25"/>
    <s v="W/s Consumer &amp; Industrial"/>
    <d v="2026-06-17T12:17:31"/>
    <s v="D21_O_00268560"/>
    <n v="10000000"/>
    <n v="115996.25"/>
    <n v="115996.25"/>
    <x v="1"/>
    <d v="2026-06-28T00:00:00"/>
    <s v="AFIA"/>
    <n v="1"/>
  </r>
  <r>
    <s v="Delta A"/>
    <x v="1"/>
    <s v="Samir Ashraf Mahmoud"/>
    <s v="D21_G02347"/>
    <x v="25"/>
    <s v="W/s Consumer &amp; Industrial"/>
    <d v="2026-06-18T12:56:01"/>
    <s v="D21_O_00268756"/>
    <n v="10000000"/>
    <n v="116032"/>
    <n v="0"/>
    <x v="3"/>
    <d v="2026-06-29T00:00:00"/>
    <s v="AFIA"/>
    <n v="0"/>
  </r>
  <r>
    <s v="Delta A"/>
    <x v="2"/>
    <s v="Al Saied Ibrahim Abdel Aal"/>
    <s v="D22_R01835"/>
    <x v="40"/>
    <s v="W/s Consumer &amp; Industrial"/>
    <d v="2026-06-02T09:00:24"/>
    <s v="D22_O_00256229"/>
    <n v="1000000"/>
    <n v="39480"/>
    <n v="39480"/>
    <x v="2"/>
    <d v="2026-06-13T00:00:00"/>
    <s v="AFIA"/>
    <n v="16"/>
  </r>
  <r>
    <s v="Delta A"/>
    <x v="2"/>
    <s v="Al Saied Ibrahim Abdel Aal"/>
    <s v="D22_R01835"/>
    <x v="40"/>
    <s v="W/s Consumer &amp; Industrial"/>
    <d v="2026-06-10T09:00:17"/>
    <s v="D22_O_00257725"/>
    <n v="1000000"/>
    <n v="153920"/>
    <n v="153920"/>
    <x v="1"/>
    <d v="2026-06-21T00:00:00"/>
    <s v="AFIA"/>
    <n v="8"/>
  </r>
  <r>
    <s v="Delta A"/>
    <x v="2"/>
    <s v="Al Saied Ibrahim Abdel Aal"/>
    <s v="D22_R01835"/>
    <x v="40"/>
    <s v="W/s Consumer &amp; Industrial"/>
    <d v="2026-06-11T00:00:00"/>
    <s v="D22_O_00239537"/>
    <n v="1000000"/>
    <n v="23200"/>
    <n v="23200"/>
    <x v="1"/>
    <d v="2026-06-22T00:00:00"/>
    <s v="AFIA"/>
    <n v="7"/>
  </r>
  <r>
    <s v="Delta A"/>
    <x v="2"/>
    <s v="Al Saied Ibrahim Abdel Aal"/>
    <s v="D22_R01835"/>
    <x v="40"/>
    <s v="W/s Consumer &amp; Industrial"/>
    <d v="2026-06-15T00:00:00"/>
    <s v="D22_O_00236683"/>
    <n v="1000000"/>
    <n v="46400"/>
    <n v="46400"/>
    <x v="1"/>
    <d v="2026-06-26T00:00:00"/>
    <s v="AFIA"/>
    <n v="3"/>
  </r>
  <r>
    <s v="Delta A"/>
    <x v="2"/>
    <s v="Al Saied Ibrahim Abdel Aal"/>
    <s v="D22_R01835"/>
    <x v="40"/>
    <s v="W/s Consumer &amp; Industrial"/>
    <d v="2026-06-21T00:00:00"/>
    <s v="D22_O_00233474"/>
    <n v="1000000"/>
    <n v="82880"/>
    <n v="0"/>
    <x v="3"/>
    <d v="2026-07-02T00:00:00"/>
    <s v="AFIA"/>
    <n v="-3"/>
  </r>
  <r>
    <s v="Delta A"/>
    <x v="2"/>
    <s v="Al Saied Ibrahim Abdel Aal"/>
    <s v="D22_R01835"/>
    <x v="40"/>
    <s v="W/s Consumer &amp; Industrial"/>
    <d v="2026-06-22T16:45:07"/>
    <s v="D22_O_00259626"/>
    <n v="1000000"/>
    <n v="549120"/>
    <n v="0"/>
    <x v="3"/>
    <d v="2026-07-03T00:00:00"/>
    <s v="AFIA"/>
    <n v="-4"/>
  </r>
  <r>
    <s v="Delta A"/>
    <x v="2"/>
    <s v="Al Saied Ibrahim Abdel Aal"/>
    <s v="D22_R01843"/>
    <x v="41"/>
    <s v="W/s Consumer &amp; Industrial"/>
    <d v="2026-06-07T11:05:41"/>
    <s v="D22_O_00257164"/>
    <n v="50000"/>
    <n v="24000"/>
    <n v="24000"/>
    <x v="2"/>
    <d v="2026-06-18T00:00:00"/>
    <s v="AFIA"/>
    <n v="11"/>
  </r>
  <r>
    <s v="Delta A"/>
    <x v="2"/>
    <s v="Al Saied Ibrahim Abdel Aal"/>
    <s v="D22_R01852"/>
    <x v="42"/>
    <s v="W/s Consumer &amp; Industrial"/>
    <d v="2026-06-04T00:00:00"/>
    <s v="D22_O_00254132"/>
    <n v="400000"/>
    <n v="17436.82"/>
    <n v="17436.82"/>
    <x v="2"/>
    <d v="2026-06-15T00:00:00"/>
    <s v="AFIA"/>
    <n v="14"/>
  </r>
  <r>
    <s v="Delta A"/>
    <x v="2"/>
    <s v="Al Saied Ibrahim Abdel Aal"/>
    <s v="D22_R01852"/>
    <x v="42"/>
    <s v="W/s Consumer &amp; Industrial"/>
    <d v="2026-06-08T00:00:00"/>
    <s v="D22_O_00256941"/>
    <n v="400000"/>
    <n v="69113.27"/>
    <n v="69113.27"/>
    <x v="1"/>
    <d v="2026-06-19T00:00:00"/>
    <s v="AFIA"/>
    <n v="10"/>
  </r>
  <r>
    <s v="Delta A"/>
    <x v="2"/>
    <s v="Al Saied Ibrahim Abdel Aal"/>
    <s v="D22_R01852"/>
    <x v="42"/>
    <s v="W/s Consumer &amp; Industrial"/>
    <d v="2026-06-18T00:00:00"/>
    <s v="D22_O_00258100"/>
    <n v="400000"/>
    <n v="190166.05"/>
    <n v="0"/>
    <x v="3"/>
    <d v="2026-06-29T00:00:00"/>
    <s v="AFIA"/>
    <n v="0"/>
  </r>
  <r>
    <s v="Delta A"/>
    <x v="2"/>
    <s v="Al Saied Ibrahim Abdel Aal"/>
    <s v="D22_R01855"/>
    <x v="43"/>
    <s v="W/s Consumer &amp; Industrial"/>
    <d v="2026-06-10T00:00:00"/>
    <s v="D22_O_00257590"/>
    <n v="240000"/>
    <n v="24000.9"/>
    <n v="24000.9"/>
    <x v="1"/>
    <d v="2026-06-21T00:00:00"/>
    <s v="AFIA"/>
    <n v="8"/>
  </r>
  <r>
    <s v="Delta A"/>
    <x v="2"/>
    <s v="Al Saied Ibrahim Abdel Aal"/>
    <s v="D22_R01855"/>
    <x v="43"/>
    <s v="W/s Consumer &amp; Industrial"/>
    <d v="2026-06-27T08:57:59"/>
    <s v="D22_O_00260210"/>
    <n v="240000"/>
    <n v="59200"/>
    <n v="0"/>
    <x v="3"/>
    <d v="2026-07-08T00:00:00"/>
    <s v="AFIA"/>
    <n v="-9"/>
  </r>
  <r>
    <s v="Delta A"/>
    <x v="2"/>
    <s v="Al Saied Ibrahim Abdel Aal"/>
    <s v="D22_R01858"/>
    <x v="44"/>
    <s v="W/s Consumer &amp; Industrial"/>
    <d v="2026-06-27T09:06:00"/>
    <s v="D22_O_00260211"/>
    <n v="150000"/>
    <n v="148000"/>
    <n v="0"/>
    <x v="3"/>
    <d v="2026-07-08T00:00:00"/>
    <s v="AFIA"/>
    <n v="-9"/>
  </r>
  <r>
    <s v="Delta A"/>
    <x v="2"/>
    <s v="Al Saied Ibrahim Abdel Aal"/>
    <s v="D22_R01860"/>
    <x v="45"/>
    <s v="W/s Consumer &amp; Industrial"/>
    <d v="2026-06-03T00:00:00"/>
    <s v="D22_O_00243786"/>
    <n v="100000"/>
    <n v="37075.78"/>
    <n v="37075.78"/>
    <x v="2"/>
    <d v="2026-06-14T00:00:00"/>
    <s v="AFIA"/>
    <n v="15"/>
  </r>
  <r>
    <s v="Delta A"/>
    <x v="2"/>
    <s v="Al Saied Ibrahim Abdel Aal"/>
    <s v="D22_R01860"/>
    <x v="45"/>
    <s v="W/s Consumer &amp; Industrial"/>
    <d v="2026-06-27T00:00:00"/>
    <s v="D22_O_00259135"/>
    <n v="100000"/>
    <n v="5332.28"/>
    <n v="0"/>
    <x v="3"/>
    <d v="2026-07-08T00:00:00"/>
    <s v="AFIA"/>
    <n v="-9"/>
  </r>
  <r>
    <s v="Delta A"/>
    <x v="2"/>
    <s v="Al Saied Ibrahim Abdel Aal"/>
    <s v="D22_R01863"/>
    <x v="46"/>
    <s v="W/s Consumer &amp; Industrial"/>
    <d v="2026-05-14T00:00:00"/>
    <s v="D22_O_00236673"/>
    <n v="12000000"/>
    <n v="616800"/>
    <n v="616800"/>
    <x v="4"/>
    <d v="2026-05-25T00:00:00"/>
    <s v="AFIA"/>
    <n v="35"/>
  </r>
  <r>
    <s v="Delta A"/>
    <x v="2"/>
    <s v="Al Saied Ibrahim Abdel Aal"/>
    <s v="D22_R01863"/>
    <x v="46"/>
    <s v="W/s Consumer &amp; Industrial"/>
    <d v="2026-05-14T00:00:00"/>
    <s v="D22_O_00236674"/>
    <n v="12000000"/>
    <n v="1529152.5"/>
    <n v="1529152.5"/>
    <x v="4"/>
    <d v="2026-05-25T00:00:00"/>
    <s v="AFIA"/>
    <n v="35"/>
  </r>
  <r>
    <s v="Delta A"/>
    <x v="2"/>
    <s v="Al Saied Ibrahim Abdel Aal"/>
    <s v="D22_R01863"/>
    <x v="46"/>
    <s v="W/s Consumer &amp; Industrial"/>
    <d v="2026-05-17T00:00:00"/>
    <s v="D22_O_00232973"/>
    <n v="12000000"/>
    <n v="247459.97"/>
    <n v="247459.97"/>
    <x v="4"/>
    <d v="2026-05-28T00:00:00"/>
    <s v="AFIA"/>
    <n v="32"/>
  </r>
  <r>
    <s v="Delta A"/>
    <x v="2"/>
    <s v="Al Saied Ibrahim Abdel Aal"/>
    <s v="D22_R01863"/>
    <x v="46"/>
    <s v="W/s Consumer &amp; Industrial"/>
    <d v="2026-05-19T10:32:28"/>
    <s v="D22_O_00254585"/>
    <n v="12000000"/>
    <n v="430099.20000000001"/>
    <n v="430099.20000000001"/>
    <x v="5"/>
    <d v="2026-05-30T00:00:00"/>
    <s v="AFIA"/>
    <n v="30"/>
  </r>
  <r>
    <s v="Delta A"/>
    <x v="2"/>
    <s v="Al Saied Ibrahim Abdel Aal"/>
    <s v="D22_R01863"/>
    <x v="46"/>
    <s v="W/s Consumer &amp; Industrial"/>
    <d v="2026-05-21T00:00:00"/>
    <s v="D22_O_00232051"/>
    <n v="12000000"/>
    <n v="659200"/>
    <n v="659200"/>
    <x v="5"/>
    <d v="2026-06-01T00:00:00"/>
    <s v="AFIA"/>
    <n v="28"/>
  </r>
  <r>
    <s v="Delta A"/>
    <x v="2"/>
    <s v="Al Saied Ibrahim Abdel Aal"/>
    <s v="D22_R01863"/>
    <x v="46"/>
    <s v="W/s Consumer &amp; Industrial"/>
    <d v="2026-05-25T00:00:00"/>
    <s v="D22_O_00255200"/>
    <n v="12000000"/>
    <n v="1537600"/>
    <n v="1537600"/>
    <x v="5"/>
    <d v="2026-06-05T00:00:00"/>
    <s v="AFIA"/>
    <n v="24"/>
  </r>
  <r>
    <s v="Delta A"/>
    <x v="2"/>
    <s v="Al Saied Ibrahim Abdel Aal"/>
    <s v="D22_R01863"/>
    <x v="46"/>
    <s v="W/s Consumer &amp; Industrial"/>
    <d v="2026-06-06T00:00:00"/>
    <s v="D22_O_00256233"/>
    <n v="12000000"/>
    <n v="108640"/>
    <n v="108640"/>
    <x v="2"/>
    <d v="2026-06-17T00:00:00"/>
    <s v="AFIA"/>
    <n v="12"/>
  </r>
  <r>
    <s v="Delta A"/>
    <x v="2"/>
    <s v="Al Saied Ibrahim Abdel Aal"/>
    <s v="D22_R01863"/>
    <x v="46"/>
    <s v="W/s Consumer &amp; Industrial"/>
    <d v="2026-06-16T10:37:10"/>
    <s v="D22_O_00258600"/>
    <n v="12000000"/>
    <n v="592000"/>
    <n v="592000"/>
    <x v="1"/>
    <d v="2026-06-27T00:00:00"/>
    <s v="AFIA"/>
    <n v="2"/>
  </r>
  <r>
    <s v="Delta A"/>
    <x v="2"/>
    <s v="Al Saied Ibrahim Abdel Aal"/>
    <s v="D22_R01863"/>
    <x v="46"/>
    <s v="W/s Consumer &amp; Industrial"/>
    <d v="2026-06-20T09:22:48"/>
    <s v="D22_O_00259097"/>
    <n v="12000000"/>
    <n v="821888"/>
    <n v="0"/>
    <x v="3"/>
    <d v="2026-07-01T00:00:00"/>
    <s v="AFIA"/>
    <n v="-2"/>
  </r>
  <r>
    <s v="Delta A"/>
    <x v="2"/>
    <s v="Al Saied Ibrahim Abdel Aal"/>
    <s v="D22_R01869"/>
    <x v="47"/>
    <s v="W/s Consumer &amp; Industrial"/>
    <d v="2026-06-03T00:00:00"/>
    <s v="D22_O_00252315"/>
    <n v="50000"/>
    <n v="46779.65"/>
    <n v="46779.65"/>
    <x v="2"/>
    <d v="2026-06-14T00:00:00"/>
    <s v="AFIA"/>
    <n v="15"/>
  </r>
  <r>
    <s v="Delta A"/>
    <x v="2"/>
    <s v="Al Saied Ibrahim Abdel Aal"/>
    <s v="D22_R01872"/>
    <x v="48"/>
    <s v="W/s Consumer &amp; Industrial"/>
    <d v="2026-06-15T00:00:00"/>
    <s v="D22_O_00258096"/>
    <n v="300000"/>
    <n v="35350.39"/>
    <n v="35350.39"/>
    <x v="1"/>
    <d v="2026-06-26T00:00:00"/>
    <s v="AFIA"/>
    <n v="3"/>
  </r>
  <r>
    <s v="Delta A"/>
    <x v="2"/>
    <s v="Al Saied Ibrahim Abdel Aal"/>
    <s v="D22_R01872"/>
    <x v="48"/>
    <s v="W/s Consumer &amp; Industrial"/>
    <d v="2026-06-21T00:00:00"/>
    <s v="D22_O_00259111"/>
    <n v="300000"/>
    <n v="31730.34"/>
    <n v="0"/>
    <x v="3"/>
    <d v="2026-07-02T00:00:00"/>
    <s v="AFIA"/>
    <n v="-3"/>
  </r>
  <r>
    <s v="Delta A"/>
    <x v="2"/>
    <s v="Al Saied Ibrahim Abdel Aal"/>
    <s v="D22_R01874"/>
    <x v="49"/>
    <s v="W/s Consumer &amp; Industrial"/>
    <d v="2026-06-25T00:00:00"/>
    <s v="D22_O_00259291"/>
    <n v="250000"/>
    <n v="5442.28"/>
    <n v="0"/>
    <x v="3"/>
    <d v="2026-07-06T00:00:00"/>
    <s v="AFIA"/>
    <n v="-7"/>
  </r>
  <r>
    <s v="Delta A"/>
    <x v="2"/>
    <s v="Al Saied Ibrahim Abdel Aal"/>
    <s v="D22_R01875"/>
    <x v="50"/>
    <s v="W/s Consumer &amp; Industrial"/>
    <d v="2026-06-22T10:01:48"/>
    <s v="D22_O_00259471"/>
    <n v="200000"/>
    <n v="51678.82"/>
    <n v="0"/>
    <x v="3"/>
    <d v="2026-07-03T00:00:00"/>
    <s v="AFIA"/>
    <n v="-4"/>
  </r>
  <r>
    <s v="Delta A"/>
    <x v="2"/>
    <s v="Al Saied Ibrahim Abdel Aal"/>
    <s v="D22_R01893"/>
    <x v="51"/>
    <s v="W/s Consumer &amp; Industrial"/>
    <d v="2026-06-18T00:00:00"/>
    <s v="D22_O_00258074"/>
    <n v="100000"/>
    <n v="71762.06"/>
    <n v="0"/>
    <x v="3"/>
    <d v="2026-06-29T00:00:00"/>
    <s v="AFIA"/>
    <n v="0"/>
  </r>
  <r>
    <s v="Delta A"/>
    <x v="2"/>
    <s v="Al Saied Ibrahim Abdel Aal"/>
    <s v="D22_R01972"/>
    <x v="52"/>
    <s v="W/s Consumer &amp; Industrial"/>
    <d v="2026-05-05T00:00:00"/>
    <s v="D22_O_00252164"/>
    <n v="300000"/>
    <n v="204936.45"/>
    <n v="204936.45"/>
    <x v="4"/>
    <d v="2026-05-16T00:00:00"/>
    <s v="AFIA"/>
    <n v="44"/>
  </r>
  <r>
    <s v="Delta A"/>
    <x v="2"/>
    <s v="Al Saied Ibrahim Abdel Aal"/>
    <s v="D22_R01972"/>
    <x v="52"/>
    <s v="W/s Consumer &amp; Industrial"/>
    <d v="2026-05-31T00:00:00"/>
    <s v="D22_O_00237039"/>
    <n v="300000"/>
    <n v="40608.94"/>
    <n v="40608.94"/>
    <x v="2"/>
    <d v="2026-06-11T00:00:00"/>
    <s v="AFIA"/>
    <n v="18"/>
  </r>
  <r>
    <s v="Delta A"/>
    <x v="2"/>
    <s v="Al Saied Ibrahim Abdel Aal"/>
    <s v="D22_R02215"/>
    <x v="53"/>
    <s v="W/s Consumer &amp; Industrial"/>
    <d v="2026-06-16T00:00:00"/>
    <s v="D22_O_00258108"/>
    <n v="150000"/>
    <n v="6925.73"/>
    <n v="6925.73"/>
    <x v="1"/>
    <d v="2026-06-27T00:00:00"/>
    <s v="AFIA"/>
    <n v="2"/>
  </r>
  <r>
    <s v="Delta A"/>
    <x v="2"/>
    <s v="Gamal Hassan Al souhagy"/>
    <s v="D22_G01898"/>
    <x v="54"/>
    <s v="W/s Consumer &amp; Industrial"/>
    <d v="2026-06-06T00:00:00"/>
    <s v="D22_O_00252746"/>
    <n v="75000"/>
    <n v="1042"/>
    <n v="1042"/>
    <x v="2"/>
    <d v="2026-06-17T00:00:00"/>
    <s v="PASTA"/>
    <n v="12"/>
  </r>
  <r>
    <s v="Delta A"/>
    <x v="2"/>
    <s v="Gamal Hassan Al souhagy"/>
    <s v="D22_G01899"/>
    <x v="55"/>
    <s v="W/s Consumer &amp; Industrial"/>
    <d v="2026-06-11T00:00:00"/>
    <s v="D22_O_00257895"/>
    <n v="30000"/>
    <n v="23134.6"/>
    <n v="23134.6"/>
    <x v="1"/>
    <d v="2026-06-22T00:00:00"/>
    <s v="PASTA"/>
    <n v="7"/>
  </r>
  <r>
    <s v="Delta A"/>
    <x v="2"/>
    <s v="Gamal Hassan Al souhagy"/>
    <s v="D22_G01907"/>
    <x v="56"/>
    <s v="W/s Consumer &amp; Industrial"/>
    <d v="2026-06-22T00:00:00"/>
    <s v="D22_O_00258786"/>
    <n v="100000"/>
    <n v="45664"/>
    <n v="0"/>
    <x v="3"/>
    <d v="2026-07-03T00:00:00"/>
    <s v="PASTA"/>
    <n v="-4"/>
  </r>
  <r>
    <s v="Delta A"/>
    <x v="2"/>
    <s v="Gamal Hassan Al souhagy"/>
    <s v="D22_G01909"/>
    <x v="57"/>
    <s v="W/s Consumer &amp; Industrial"/>
    <d v="2026-06-15T00:00:00"/>
    <s v="D22_O_00258216"/>
    <n v="30000"/>
    <n v="29999.99"/>
    <n v="29999.99"/>
    <x v="1"/>
    <d v="2026-06-26T00:00:00"/>
    <s v="PASTA"/>
    <n v="3"/>
  </r>
  <r>
    <s v="Delta A"/>
    <x v="2"/>
    <s v="Gamal Hassan Al souhagy"/>
    <s v="D22_G01910"/>
    <x v="58"/>
    <s v="W/s Consumer &amp; Industrial"/>
    <d v="2026-06-24T00:00:00"/>
    <s v="D22_O_00259812"/>
    <n v="150000"/>
    <n v="135814"/>
    <n v="0"/>
    <x v="3"/>
    <d v="2026-07-05T00:00:00"/>
    <s v="PASTA"/>
    <n v="-6"/>
  </r>
  <r>
    <s v="Delta A"/>
    <x v="2"/>
    <s v="Gamal Hassan Al souhagy"/>
    <s v="D22_G01913"/>
    <x v="59"/>
    <s v="W/s Consumer &amp; Industrial"/>
    <d v="2026-06-15T00:00:00"/>
    <s v="D22_O_00258048"/>
    <n v="50000"/>
    <n v="5001"/>
    <n v="5001"/>
    <x v="1"/>
    <d v="2026-06-26T00:00:00"/>
    <s v="PASTA"/>
    <n v="3"/>
  </r>
  <r>
    <s v="Delta A"/>
    <x v="2"/>
    <s v="Gamal Hassan Al souhagy"/>
    <s v="D22_G01916"/>
    <x v="60"/>
    <s v="W/s Consumer &amp; Industrial"/>
    <d v="2026-05-13T00:00:00"/>
    <s v="D22_O_00253368"/>
    <n v="50000"/>
    <n v="21694.49"/>
    <n v="21694.49"/>
    <x v="4"/>
    <d v="2026-05-24T00:00:00"/>
    <s v="PASTA"/>
    <n v="36"/>
  </r>
  <r>
    <s v="Delta A"/>
    <x v="2"/>
    <s v="Gamal Hassan Al souhagy"/>
    <s v="D22_G01923"/>
    <x v="61"/>
    <s v="W/s Consumer &amp; Industrial"/>
    <d v="2026-06-16T00:00:00"/>
    <s v="D22_O_00258236"/>
    <n v="50000"/>
    <n v="49872.99"/>
    <n v="49872.99"/>
    <x v="1"/>
    <d v="2026-06-27T00:00:00"/>
    <s v="PASTA"/>
    <n v="2"/>
  </r>
  <r>
    <s v="Delta A"/>
    <x v="2"/>
    <s v="Gamal Hassan Al souhagy"/>
    <s v="D22_G01924"/>
    <x v="62"/>
    <s v="W/s Consumer &amp; Industrial"/>
    <d v="2026-06-21T00:00:00"/>
    <s v="D22_O_00235559"/>
    <n v="125000"/>
    <n v="124999.99"/>
    <n v="0"/>
    <x v="3"/>
    <d v="2026-07-02T00:00:00"/>
    <s v="PASTA"/>
    <n v="-3"/>
  </r>
  <r>
    <s v="Delta A"/>
    <x v="2"/>
    <s v="Gamal Hassan Al souhagy"/>
    <s v="D22_G01926"/>
    <x v="63"/>
    <s v="W/s Consumer &amp; Industrial"/>
    <d v="2026-06-28T00:00:00"/>
    <s v="D22_O_00259849"/>
    <n v="75000"/>
    <n v="52832"/>
    <n v="0"/>
    <x v="3"/>
    <d v="2026-07-09T00:00:00"/>
    <s v="PASTA"/>
    <n v="-10"/>
  </r>
  <r>
    <s v="Delta A"/>
    <x v="2"/>
    <s v="Gamal Hassan Al souhagy"/>
    <s v="D22_G01934"/>
    <x v="64"/>
    <s v="W/s Consumer &amp; Industrial"/>
    <d v="2026-06-13T00:00:00"/>
    <s v="D22_O_00257019"/>
    <n v="25000"/>
    <n v="15499.99"/>
    <n v="15499.99"/>
    <x v="1"/>
    <d v="2026-06-24T00:00:00"/>
    <s v="PASTA"/>
    <n v="5"/>
  </r>
  <r>
    <s v="Delta A"/>
    <x v="2"/>
    <s v="Gamal Hassan Al souhagy"/>
    <s v="D22_G01969"/>
    <x v="65"/>
    <s v="W/s Consumer &amp; Industrial"/>
    <d v="2026-06-16T00:00:00"/>
    <s v="D22_O_00256225"/>
    <n v="25000"/>
    <n v="24999.99"/>
    <n v="24999.99"/>
    <x v="1"/>
    <d v="2026-06-27T00:00:00"/>
    <s v="PASTA"/>
    <n v="2"/>
  </r>
  <r>
    <s v="Delta A"/>
    <x v="2"/>
    <s v="Gamal Hassan Al souhagy"/>
    <s v="D22_G01974"/>
    <x v="66"/>
    <s v="W/s Consumer &amp; Industrial"/>
    <d v="2026-06-21T00:00:00"/>
    <s v="D22_O_00239528"/>
    <n v="25000"/>
    <n v="24999.99"/>
    <n v="0"/>
    <x v="3"/>
    <d v="2026-07-02T00:00:00"/>
    <s v="PASTA"/>
    <n v="-3"/>
  </r>
  <r>
    <s v="Delta A"/>
    <x v="2"/>
    <s v="Gamal Hassan Al souhagy"/>
    <s v="D22_G02216"/>
    <x v="67"/>
    <s v="W/s Consumer &amp; Industrial"/>
    <d v="2026-06-21T00:00:00"/>
    <s v="D22_O_00258266"/>
    <n v="25000"/>
    <n v="24999.99"/>
    <n v="0"/>
    <x v="3"/>
    <d v="2026-07-02T00:00:00"/>
    <s v="PASTA"/>
    <n v="-3"/>
  </r>
  <r>
    <s v="Delta A"/>
    <x v="2"/>
    <s v="Islam Ashraf Al tabaey"/>
    <s v="D22_G01863"/>
    <x v="46"/>
    <s v="W/s Consumer &amp; Industrial"/>
    <d v="2026-06-13T00:00:00"/>
    <s v="D22_O_00256619"/>
    <n v="4000000"/>
    <n v="599374.91"/>
    <n v="599374.91"/>
    <x v="1"/>
    <d v="2026-06-24T00:00:00"/>
    <s v="PASTA"/>
    <n v="5"/>
  </r>
  <r>
    <s v="Delta A"/>
    <x v="2"/>
    <s v="Islam Ashraf Al tabaey"/>
    <s v="D22_G01863"/>
    <x v="46"/>
    <s v="W/s Consumer &amp; Industrial"/>
    <d v="2026-06-28T12:18:03"/>
    <s v="D22_O_00260387"/>
    <n v="4000000"/>
    <n v="924560"/>
    <n v="0"/>
    <x v="3"/>
    <d v="2026-07-09T00:00:00"/>
    <s v="PASTA"/>
    <n v="-10"/>
  </r>
  <r>
    <s v="Delta A"/>
    <x v="2"/>
    <s v="Islam Ashraf Al tabaey"/>
    <s v="D22_G01874"/>
    <x v="49"/>
    <s v="W/s Consumer &amp; Industrial"/>
    <d v="2026-06-23T00:00:00"/>
    <s v="D22_O_00257726"/>
    <n v="1500000"/>
    <n v="1499870.78"/>
    <n v="0"/>
    <x v="3"/>
    <d v="2026-07-04T00:00:00"/>
    <s v="PASTA"/>
    <n v="-5"/>
  </r>
  <r>
    <s v="Delta A"/>
    <x v="2"/>
    <s v="Islam Ashraf Al tabaey"/>
    <s v="D22_G01875"/>
    <x v="50"/>
    <s v="W/s Consumer &amp; Industrial"/>
    <d v="2026-05-16T10:01:46"/>
    <s v="D22_O_00254071"/>
    <n v="150000"/>
    <n v="132080"/>
    <n v="132080"/>
    <x v="4"/>
    <d v="2026-05-27T00:00:00"/>
    <s v="PASTA"/>
    <n v="33"/>
  </r>
  <r>
    <s v="Delta A"/>
    <x v="2"/>
    <s v="Islam Ashraf Al tabaey"/>
    <s v="D22_G01972"/>
    <x v="52"/>
    <s v="W/s Consumer &amp; Industrial"/>
    <d v="2026-06-07T09:41:31"/>
    <s v="D22_O_00257156"/>
    <n v="100000"/>
    <n v="99994.99"/>
    <n v="99994.99"/>
    <x v="2"/>
    <d v="2026-06-18T00:00:00"/>
    <s v="PASTA"/>
    <n v="11"/>
  </r>
  <r>
    <s v="Delta A"/>
    <x v="2"/>
    <s v="Moaz Mohamed Al desouky"/>
    <s v="D22_R01896"/>
    <x v="68"/>
    <s v="W/s Consumer &amp; Industrial"/>
    <d v="2026-06-03T00:00:00"/>
    <s v="D22_O_00255383"/>
    <n v="25000"/>
    <n v="24961.64"/>
    <n v="24961.64"/>
    <x v="2"/>
    <d v="2026-06-14T00:00:00"/>
    <s v="AFIA"/>
    <n v="15"/>
  </r>
  <r>
    <s v="Delta A"/>
    <x v="2"/>
    <s v="Moaz Mohamed Al desouky"/>
    <s v="D22_R01898"/>
    <x v="54"/>
    <s v="W/s Consumer &amp; Industrial"/>
    <d v="2026-06-20T00:00:00"/>
    <s v="D22_O_00253946"/>
    <n v="100000"/>
    <n v="56032.71"/>
    <n v="0"/>
    <x v="3"/>
    <d v="2026-07-01T00:00:00"/>
    <s v="AFIA"/>
    <n v="-2"/>
  </r>
  <r>
    <s v="Delta A"/>
    <x v="2"/>
    <s v="Moaz Mohamed Al desouky"/>
    <s v="D22_R01901"/>
    <x v="69"/>
    <s v="W/s Consumer &amp; Industrial"/>
    <d v="2026-06-24T00:00:00"/>
    <s v="D22_O_00256606"/>
    <n v="150000"/>
    <n v="65124.67"/>
    <n v="0"/>
    <x v="3"/>
    <d v="2026-07-05T00:00:00"/>
    <s v="AFIA"/>
    <n v="-6"/>
  </r>
  <r>
    <s v="Delta A"/>
    <x v="2"/>
    <s v="Moaz Mohamed Al desouky"/>
    <s v="D22_R01907"/>
    <x v="56"/>
    <s v="W/s Consumer &amp; Industrial"/>
    <d v="2026-06-11T00:00:00"/>
    <s v="D22_O_00257123"/>
    <n v="100000"/>
    <n v="51188.82"/>
    <n v="51188.82"/>
    <x v="1"/>
    <d v="2026-06-22T00:00:00"/>
    <s v="AFIA"/>
    <n v="7"/>
  </r>
  <r>
    <s v="Delta A"/>
    <x v="2"/>
    <s v="Moaz Mohamed Al desouky"/>
    <s v="D22_R01910"/>
    <x v="58"/>
    <s v="W/s Consumer &amp; Industrial"/>
    <d v="2026-06-25T00:00:00"/>
    <s v="D22_O_00259813"/>
    <n v="100000"/>
    <n v="98616.18"/>
    <n v="0"/>
    <x v="3"/>
    <d v="2026-07-06T00:00:00"/>
    <s v="AFIA"/>
    <n v="-7"/>
  </r>
  <r>
    <s v="Delta A"/>
    <x v="2"/>
    <s v="Moaz Mohamed Al desouky"/>
    <s v="D22_R01913"/>
    <x v="59"/>
    <s v="W/s Consumer &amp; Industrial"/>
    <d v="2026-06-25T00:00:00"/>
    <s v="D22_O_00259783"/>
    <n v="50000"/>
    <n v="16401.62"/>
    <n v="0"/>
    <x v="3"/>
    <d v="2026-07-06T00:00:00"/>
    <s v="AFIA"/>
    <n v="-7"/>
  </r>
  <r>
    <s v="Delta A"/>
    <x v="2"/>
    <s v="Moaz Mohamed Al desouky"/>
    <s v="D22_R01916"/>
    <x v="60"/>
    <s v="W/s Consumer &amp; Industrial"/>
    <d v="2026-06-16T00:00:00"/>
    <s v="D22_O_00256655"/>
    <n v="75000"/>
    <n v="74999.72"/>
    <n v="74999.72"/>
    <x v="1"/>
    <d v="2026-06-27T00:00:00"/>
    <s v="AFIA"/>
    <n v="2"/>
  </r>
  <r>
    <s v="Delta A"/>
    <x v="2"/>
    <s v="Moaz Mohamed Al desouky"/>
    <s v="D22_R01917"/>
    <x v="70"/>
    <s v="W/s Consumer &amp; Industrial"/>
    <d v="2026-06-06T00:00:00"/>
    <s v="D22_O_00256636"/>
    <n v="150000"/>
    <n v="120650.89"/>
    <n v="120650.89"/>
    <x v="2"/>
    <d v="2026-06-17T00:00:00"/>
    <s v="AFIA"/>
    <n v="12"/>
  </r>
  <r>
    <s v="Delta A"/>
    <x v="2"/>
    <s v="Moaz Mohamed Al desouky"/>
    <s v="D22_R01923"/>
    <x v="61"/>
    <s v="W/s Consumer &amp; Industrial"/>
    <d v="2026-06-02T00:00:00"/>
    <s v="D22_O_00256025"/>
    <n v="100000"/>
    <n v="11199.89"/>
    <n v="11199.89"/>
    <x v="2"/>
    <d v="2026-06-13T00:00:00"/>
    <s v="AFIA"/>
    <n v="16"/>
  </r>
  <r>
    <s v="Delta A"/>
    <x v="2"/>
    <s v="Moaz Mohamed Al desouky"/>
    <s v="D22_R01923"/>
    <x v="61"/>
    <s v="W/s Consumer &amp; Industrial"/>
    <d v="2026-06-16T00:00:00"/>
    <s v="D22_O_00258447"/>
    <n v="100000"/>
    <n v="59713.85"/>
    <n v="59713.85"/>
    <x v="1"/>
    <d v="2026-06-27T00:00:00"/>
    <s v="AFIA"/>
    <n v="2"/>
  </r>
  <r>
    <s v="Delta A"/>
    <x v="2"/>
    <s v="Moaz Mohamed Al desouky"/>
    <s v="D22_R01924"/>
    <x v="62"/>
    <s v="W/s Consumer &amp; Industrial"/>
    <d v="2026-06-02T00:00:00"/>
    <s v="D22_O_00253904"/>
    <n v="100000"/>
    <n v="99998.61"/>
    <n v="99998.61"/>
    <x v="2"/>
    <d v="2026-06-13T00:00:00"/>
    <s v="AFIA"/>
    <n v="16"/>
  </r>
  <r>
    <s v="Delta A"/>
    <x v="2"/>
    <s v="Moaz Mohamed Al desouky"/>
    <s v="D22_R01925"/>
    <x v="71"/>
    <s v="W/s Consumer &amp; Industrial"/>
    <d v="2026-06-04T00:00:00"/>
    <s v="D22_O_00256575"/>
    <n v="600000"/>
    <n v="345602.01"/>
    <n v="345602.01"/>
    <x v="2"/>
    <d v="2026-06-15T00:00:00"/>
    <s v="AFIA"/>
    <n v="14"/>
  </r>
  <r>
    <s v="Delta A"/>
    <x v="2"/>
    <s v="Moaz Mohamed Al desouky"/>
    <s v="D22_R01925"/>
    <x v="71"/>
    <s v="W/s Consumer &amp; Industrial"/>
    <d v="2026-06-08T00:00:00"/>
    <s v="D22_O_00256767"/>
    <n v="600000"/>
    <n v="254396.98"/>
    <n v="254396.98"/>
    <x v="1"/>
    <d v="2026-06-19T00:00:00"/>
    <s v="AFIA"/>
    <n v="10"/>
  </r>
  <r>
    <s v="Delta A"/>
    <x v="2"/>
    <s v="Moaz Mohamed Al desouky"/>
    <s v="D22_R01928"/>
    <x v="72"/>
    <s v="W/s Consumer &amp; Industrial"/>
    <d v="2026-06-06T00:00:00"/>
    <s v="D22_O_00256066"/>
    <n v="75000"/>
    <n v="25020.1"/>
    <n v="25020.1"/>
    <x v="2"/>
    <d v="2026-06-17T00:00:00"/>
    <s v="AFIA"/>
    <n v="12"/>
  </r>
  <r>
    <s v="Delta A"/>
    <x v="2"/>
    <s v="Moaz Mohamed Al desouky"/>
    <s v="D22_R01929"/>
    <x v="73"/>
    <s v="W/s Consumer &amp; Industrial"/>
    <d v="2026-06-20T00:00:00"/>
    <s v="D22_O_00257587"/>
    <n v="150000"/>
    <n v="37777.120000000003"/>
    <n v="0"/>
    <x v="3"/>
    <d v="2026-07-01T00:00:00"/>
    <s v="AFIA"/>
    <n v="-2"/>
  </r>
  <r>
    <s v="Delta A"/>
    <x v="2"/>
    <s v="Moaz Mohamed Al desouky"/>
    <s v="D22_R01931"/>
    <x v="74"/>
    <s v="W/s Consumer &amp; Industrial"/>
    <d v="2026-06-18T00:00:00"/>
    <s v="D22_O_00257718"/>
    <n v="75000"/>
    <n v="74680.25"/>
    <n v="0"/>
    <x v="3"/>
    <d v="2026-06-29T00:00:00"/>
    <s v="AFIA"/>
    <n v="0"/>
  </r>
  <r>
    <s v="Delta A"/>
    <x v="2"/>
    <s v="Moaz Mohamed Al desouky"/>
    <s v="D22_R02216"/>
    <x v="67"/>
    <s v="W/s Consumer &amp; Industrial"/>
    <d v="2026-06-21T00:00:00"/>
    <s v="D22_O_00258171"/>
    <n v="75000"/>
    <n v="20599.84"/>
    <n v="0"/>
    <x v="3"/>
    <d v="2026-07-02T00:00:00"/>
    <s v="AFIA"/>
    <n v="-3"/>
  </r>
  <r>
    <s v="Delta A"/>
    <x v="2"/>
    <s v="Mohamed Elsayed Badawy"/>
    <s v="D22_P00063"/>
    <x v="73"/>
    <s v="W/s Consumer &amp; Industrial"/>
    <d v="2026-06-04T10:44:16"/>
    <s v="D22_O_00256669"/>
    <n v="100000"/>
    <n v="26070"/>
    <n v="26070"/>
    <x v="2"/>
    <d v="2026-06-15T00:00:00"/>
    <s v="PASTA"/>
    <n v="14"/>
  </r>
  <r>
    <s v="Delta A"/>
    <x v="2"/>
    <s v="Mohamed Elsayed Badawy"/>
    <s v="D22_P00078"/>
    <x v="56"/>
    <s v="W/s Consumer &amp; Industrial"/>
    <d v="2026-06-22T10:29:41"/>
    <s v="D22_O_00259472"/>
    <n v="250000"/>
    <n v="76120"/>
    <n v="0"/>
    <x v="3"/>
    <d v="2026-07-03T00:00:00"/>
    <s v="PASTA"/>
    <n v="-4"/>
  </r>
  <r>
    <s v="Delta A"/>
    <x v="2"/>
    <s v="Mohamed Elsayed Badawy"/>
    <s v="D22_P00078"/>
    <x v="56"/>
    <s v="W/s Consumer &amp; Industrial"/>
    <d v="2026-06-25T11:02:29"/>
    <s v="D22_O_00260050"/>
    <n v="250000"/>
    <n v="112980"/>
    <n v="0"/>
    <x v="3"/>
    <d v="2026-07-06T00:00:00"/>
    <s v="PASTA"/>
    <n v="-7"/>
  </r>
  <r>
    <s v="Delta A"/>
    <x v="2"/>
    <s v="Mohamed Elsayed Badawy"/>
    <s v="D22_P00078"/>
    <x v="56"/>
    <s v="W/s Consumer &amp; Industrial"/>
    <d v="2026-06-27T10:55:19"/>
    <s v="D22_O_00260215"/>
    <n v="250000"/>
    <n v="60900"/>
    <n v="0"/>
    <x v="3"/>
    <d v="2026-07-08T00:00:00"/>
    <s v="PASTA"/>
    <n v="-9"/>
  </r>
  <r>
    <s v="Delta A"/>
    <x v="2"/>
    <s v="Mohamed Elsayed Badawy"/>
    <s v="D22_P01802"/>
    <x v="49"/>
    <s v="W/s Consumer &amp; Industrial"/>
    <d v="2026-06-25T10:41:41"/>
    <s v="D22_O_00260048"/>
    <n v="1000000"/>
    <n v="71209"/>
    <n v="0"/>
    <x v="3"/>
    <d v="2026-07-06T00:00:00"/>
    <s v="PASTA"/>
    <n v="-7"/>
  </r>
  <r>
    <s v="Delta A"/>
    <x v="2"/>
    <s v="Mohamed Elsayed Badawy"/>
    <s v="D22_P01802"/>
    <x v="49"/>
    <s v="W/s Consumer &amp; Industrial"/>
    <d v="2026-06-27T10:12:00"/>
    <s v="D22_O_00260212"/>
    <n v="1000000"/>
    <n v="104040"/>
    <n v="0"/>
    <x v="3"/>
    <d v="2026-07-08T00:00:00"/>
    <s v="PASTA"/>
    <n v="-9"/>
  </r>
  <r>
    <s v="Delta A"/>
    <x v="2"/>
    <s v="Mohamed Elsayed Badawy"/>
    <s v="D22_P01802"/>
    <x v="49"/>
    <s v="W/s Consumer &amp; Industrial"/>
    <d v="2026-06-28T10:46:40"/>
    <s v="D22_O_00260380"/>
    <n v="1000000"/>
    <n v="104040"/>
    <n v="0"/>
    <x v="3"/>
    <d v="2026-07-09T00:00:00"/>
    <s v="PASTA"/>
    <n v="-10"/>
  </r>
  <r>
    <s v="Delta A"/>
    <x v="2"/>
    <s v="Mohamed Elsayed Badawy"/>
    <s v="D22_P01808"/>
    <x v="75"/>
    <s v="W/s Consumer &amp; Industrial"/>
    <d v="2026-06-25T10:53:38"/>
    <s v="D22_O_00260049"/>
    <n v="200000"/>
    <n v="37050"/>
    <n v="0"/>
    <x v="3"/>
    <d v="2026-07-06T00:00:00"/>
    <s v="PASTA"/>
    <n v="-7"/>
  </r>
  <r>
    <s v="Delta A"/>
    <x v="2"/>
    <s v="Mohamed Elsayed Badawy"/>
    <s v="D22_P01814"/>
    <x v="76"/>
    <s v="W/s Consumer &amp; Industrial"/>
    <d v="2026-06-09T11:23:27"/>
    <s v="D22_O_00257549"/>
    <n v="50000"/>
    <n v="20684.98"/>
    <n v="20684.98"/>
    <x v="1"/>
    <d v="2026-06-20T00:00:00"/>
    <s v="PASTA"/>
    <n v="9"/>
  </r>
  <r>
    <s v="Delta A"/>
    <x v="2"/>
    <s v="Mohamed Elsayed Badawy"/>
    <s v="D22_P01814"/>
    <x v="76"/>
    <s v="W/s Consumer &amp; Industrial"/>
    <d v="2026-06-23T11:10:31"/>
    <s v="D22_O_00259670"/>
    <n v="50000"/>
    <n v="29312"/>
    <n v="0"/>
    <x v="3"/>
    <d v="2026-07-04T00:00:00"/>
    <s v="PASTA"/>
    <n v="-5"/>
  </r>
  <r>
    <s v="Delta A"/>
    <x v="2"/>
    <s v="Mohamed Elsayed Badawy"/>
    <s v="D22_P01815"/>
    <x v="77"/>
    <s v="W/s Consumer &amp; Industrial"/>
    <d v="2026-06-20T10:39:15"/>
    <s v="D22_O_00259099"/>
    <n v="100000"/>
    <n v="22900"/>
    <n v="0"/>
    <x v="3"/>
    <d v="2026-07-01T00:00:00"/>
    <s v="PASTA"/>
    <n v="-2"/>
  </r>
  <r>
    <s v="Delta A"/>
    <x v="2"/>
    <s v="Mohamed Elsayed Badawy"/>
    <s v="D22_P01816"/>
    <x v="78"/>
    <s v="W/s Consumer &amp; Industrial"/>
    <d v="2026-06-24T10:17:31"/>
    <s v="D22_O_00259877"/>
    <n v="250000"/>
    <n v="249999.98"/>
    <n v="0"/>
    <x v="3"/>
    <d v="2026-07-05T00:00:00"/>
    <s v="PASTA"/>
    <n v="-6"/>
  </r>
  <r>
    <s v="Delta A"/>
    <x v="2"/>
    <s v="Mohamed Elsayed Badawy"/>
    <s v="D22_P01828"/>
    <x v="52"/>
    <s v="W/s Consumer &amp; Industrial"/>
    <d v="2026-06-13T10:54:36"/>
    <s v="D22_O_00258052"/>
    <n v="300000"/>
    <n v="208080"/>
    <n v="208080"/>
    <x v="1"/>
    <d v="2026-06-24T00:00:00"/>
    <s v="PASTA"/>
    <n v="5"/>
  </r>
  <r>
    <s v="Delta A"/>
    <x v="2"/>
    <s v="Mohamed Elsayed Badawy"/>
    <s v="D22_P01828"/>
    <x v="52"/>
    <s v="W/s Consumer &amp; Industrial"/>
    <d v="2026-06-16T10:54:09"/>
    <s v="D22_O_00258602"/>
    <n v="300000"/>
    <n v="91350"/>
    <n v="91350"/>
    <x v="1"/>
    <d v="2026-06-27T00:00:00"/>
    <s v="PASTA"/>
    <n v="2"/>
  </r>
  <r>
    <s v="Delta A"/>
    <x v="2"/>
    <s v="Mohamed Zakaria Ibrahim"/>
    <s v="D22_G01806"/>
    <x v="79"/>
    <s v="K-Retail"/>
    <d v="2026-05-17T14:08:16"/>
    <s v="D22_O_00254331"/>
    <n v="1000000"/>
    <n v="15401.56"/>
    <n v="15401.56"/>
    <x v="5"/>
    <d v="2026-06-02T00:00:00"/>
    <s v="PASTA"/>
    <n v="27"/>
  </r>
  <r>
    <s v="Delta A"/>
    <x v="2"/>
    <s v="Mohamed Zakaria Ibrahim"/>
    <s v="D22_G01806"/>
    <x v="79"/>
    <s v="K-Retail"/>
    <d v="2026-06-13T16:14:10"/>
    <s v="D22_O_00258254"/>
    <n v="1000000"/>
    <n v="150049.51"/>
    <n v="0"/>
    <x v="3"/>
    <d v="2026-06-29T00:00:00"/>
    <s v="PASTA"/>
    <n v="0"/>
  </r>
  <r>
    <s v="Delta A"/>
    <x v="2"/>
    <s v="Mohamed Zakaria Ibrahim"/>
    <s v="D22_G01806"/>
    <x v="79"/>
    <s v="K-Retail"/>
    <d v="2026-06-20T18:04:18"/>
    <s v="D22_O_00259284"/>
    <n v="1000000"/>
    <n v="85228.49"/>
    <n v="0"/>
    <x v="3"/>
    <d v="2026-07-06T00:00:00"/>
    <s v="PASTA"/>
    <n v="-7"/>
  </r>
  <r>
    <s v="Delta A"/>
    <x v="2"/>
    <s v="Mohamed Zakaria Ibrahim"/>
    <s v="D22_G01806"/>
    <x v="79"/>
    <s v="K-Retail"/>
    <d v="2026-06-24T16:14:42"/>
    <s v="D22_O_00260024"/>
    <n v="1000000"/>
    <n v="168329.69"/>
    <n v="0"/>
    <x v="3"/>
    <d v="2026-07-10T00:00:00"/>
    <s v="PASTA"/>
    <n v="-11"/>
  </r>
  <r>
    <s v="Delta A"/>
    <x v="2"/>
    <s v="Mohamed Zakaria Ibrahim"/>
    <s v="D22_G01812"/>
    <x v="80"/>
    <s v="K-Retail"/>
    <d v="2026-05-03T15:03:34"/>
    <s v="D22_O_00251949"/>
    <n v="1000000"/>
    <n v="124304.56"/>
    <n v="124304.56"/>
    <x v="4"/>
    <d v="2026-05-19T00:00:00"/>
    <s v="PASTA"/>
    <n v="41"/>
  </r>
  <r>
    <s v="Delta A"/>
    <x v="2"/>
    <s v="Mohamed Zakaria Ibrahim"/>
    <s v="D22_G01812"/>
    <x v="80"/>
    <s v="K-Retail"/>
    <d v="2026-05-11T17:00:51"/>
    <s v="D22_O_00253556"/>
    <n v="1000000"/>
    <n v="206247.36"/>
    <n v="206247.36"/>
    <x v="4"/>
    <d v="2026-05-27T00:00:00"/>
    <s v="PASTA"/>
    <n v="33"/>
  </r>
  <r>
    <s v="Delta A"/>
    <x v="2"/>
    <s v="Mohamed Zakaria Ibrahim"/>
    <s v="D22_G01812"/>
    <x v="80"/>
    <s v="K-Retail"/>
    <d v="2026-05-25T11:41:56"/>
    <s v="D22_O_00255813"/>
    <n v="1000000"/>
    <n v="243924.79"/>
    <n v="243924.79"/>
    <x v="2"/>
    <d v="2026-06-10T00:00:00"/>
    <s v="PASTA"/>
    <n v="19"/>
  </r>
  <r>
    <s v="Delta A"/>
    <x v="2"/>
    <s v="Mohamed Zakaria Ibrahim"/>
    <s v="D22_G01812"/>
    <x v="80"/>
    <s v="K-Retail"/>
    <d v="2026-06-16T10:48:18"/>
    <s v="D22_O_00258605"/>
    <n v="1000000"/>
    <n v="96894.94"/>
    <n v="0"/>
    <x v="3"/>
    <d v="2026-07-02T00:00:00"/>
    <s v="PASTA"/>
    <n v="-3"/>
  </r>
  <r>
    <s v="Delta A"/>
    <x v="2"/>
    <s v="Mohamed Zakaria Ibrahim"/>
    <s v="D22_G01812"/>
    <x v="80"/>
    <s v="K-Retail"/>
    <d v="2026-06-23T17:20:17"/>
    <s v="D22_O_00259846"/>
    <n v="1000000"/>
    <n v="229361.17"/>
    <n v="0"/>
    <x v="3"/>
    <d v="2026-07-09T00:00:00"/>
    <s v="PASTA"/>
    <n v="-10"/>
  </r>
  <r>
    <s v="Delta A"/>
    <x v="2"/>
    <s v="Mohamed Zakaria Ibrahim"/>
    <s v="D22_G02156"/>
    <x v="81"/>
    <s v="K-Retail"/>
    <d v="2026-05-05T14:22:51"/>
    <s v="D22_O_00252493"/>
    <n v="75000"/>
    <n v="18914.310000000001"/>
    <n v="18914.310000000001"/>
    <x v="4"/>
    <d v="2026-05-21T00:00:00"/>
    <s v="PASTA"/>
    <n v="39"/>
  </r>
  <r>
    <s v="Delta A"/>
    <x v="2"/>
    <s v="Mohamed Zakaria Ibrahim"/>
    <s v="D22_G02156"/>
    <x v="81"/>
    <s v="K-Retail"/>
    <d v="2026-06-25T16:17:48"/>
    <s v="D22_O_00260167"/>
    <n v="75000"/>
    <n v="52951.89"/>
    <n v="0"/>
    <x v="3"/>
    <d v="2026-07-11T00:00:00"/>
    <s v="PASTA"/>
    <n v="-12"/>
  </r>
  <r>
    <s v="Delta A"/>
    <x v="2"/>
    <s v="Mohamed Zakaria Ibrahim"/>
    <s v="D22_R01806"/>
    <x v="79"/>
    <s v="K-Retail"/>
    <d v="2026-06-21T17:07:10"/>
    <s v="D22_O_00259446"/>
    <n v="1000000"/>
    <n v="180789.08"/>
    <n v="0"/>
    <x v="3"/>
    <d v="2026-07-07T00:00:00"/>
    <s v="AFIA"/>
    <n v="-8"/>
  </r>
  <r>
    <s v="Delta A"/>
    <x v="2"/>
    <s v="Mohamed Zakaria Ibrahim"/>
    <s v="D22_R01812"/>
    <x v="80"/>
    <s v="K-Retail"/>
    <d v="2026-05-24T12:09:37"/>
    <s v="D22_O_00255512"/>
    <n v="3000000"/>
    <n v="35784.43"/>
    <n v="35784.43"/>
    <x v="2"/>
    <d v="2026-06-09T00:00:00"/>
    <s v="AFIA"/>
    <n v="20"/>
  </r>
  <r>
    <s v="Delta A"/>
    <x v="2"/>
    <s v="Mohamed Zakaria Ibrahim"/>
    <s v="D22_R01812"/>
    <x v="80"/>
    <s v="K-Retail"/>
    <d v="2026-06-09T10:02:55"/>
    <s v="D22_O_00257547"/>
    <n v="3000000"/>
    <n v="98716.87"/>
    <n v="98716.87"/>
    <x v="1"/>
    <d v="2026-06-25T00:00:00"/>
    <s v="AFIA"/>
    <n v="4"/>
  </r>
  <r>
    <s v="Delta A"/>
    <x v="2"/>
    <s v="Mohamed Zakaria Ibrahim"/>
    <s v="D22_R01812"/>
    <x v="80"/>
    <s v="K-Retail"/>
    <d v="2026-06-23T20:21:34"/>
    <s v="D22_O_00259874"/>
    <n v="3000000"/>
    <n v="949019.04"/>
    <n v="0"/>
    <x v="3"/>
    <d v="2026-07-09T00:00:00"/>
    <s v="AFIA"/>
    <n v="-10"/>
  </r>
  <r>
    <s v="Delta A"/>
    <x v="2"/>
    <s v="Mohamed Zakaria Ibrahim"/>
    <s v="D22_R02156"/>
    <x v="81"/>
    <s v="K-Retail"/>
    <d v="2026-06-25T16:33:39"/>
    <s v="D22_O_00260176"/>
    <n v="100000"/>
    <n v="99802.91"/>
    <n v="0"/>
    <x v="3"/>
    <d v="2026-07-11T00:00:00"/>
    <s v="AFIA"/>
    <n v="-12"/>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r>
    <n v="0"/>
    <x v="3"/>
    <n v="0"/>
    <n v="0"/>
    <x v="82"/>
    <n v="0"/>
    <d v="1899-12-30T00:00:00"/>
    <n v="0"/>
    <n v="0"/>
    <n v="0"/>
    <n v="0"/>
    <x v="6"/>
    <d v="1899-12-30T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F35998-52FB-4705-AC6F-85E75126C2EB}" name="PivotTable3" cacheId="5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C24" firstHeaderRow="1" firstDataRow="1" firstDataCol="2"/>
  <pivotFields count="15">
    <pivotField compact="0" outline="0" showAll="0">
      <extLst>
        <ext xmlns:x14="http://schemas.microsoft.com/office/spreadsheetml/2009/9/main" uri="{2946ED86-A175-432a-8AC1-64E0C546D7DE}">
          <x14:pivotField fillDownLabels="1"/>
        </ext>
      </extLst>
    </pivotField>
    <pivotField axis="axisRow" compact="0" outline="0" multipleItemSelectionAllowed="1" showAll="0">
      <items count="5">
        <item h="1" x="3"/>
        <item x="1"/>
        <item x="0"/>
        <item x="2"/>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9" outline="0" showAll="0">
      <extLst>
        <ext xmlns:x14="http://schemas.microsoft.com/office/spreadsheetml/2009/9/main" uri="{2946ED86-A175-432a-8AC1-64E0C546D7DE}">
          <x14:pivotField fillDownLabels="1"/>
        </ext>
      </extLst>
    </pivotField>
    <pivotField dataField="1" compact="0" numFmtId="49" outline="0" showAll="0">
      <extLst>
        <ext xmlns:x14="http://schemas.microsoft.com/office/spreadsheetml/2009/9/main" uri="{2946ED86-A175-432a-8AC1-64E0C546D7DE}">
          <x14:pivotField fillDownLabels="1"/>
        </ext>
      </extLst>
    </pivotField>
    <pivotField compact="0" numFmtId="49" outline="0" showAll="0">
      <extLst>
        <ext xmlns:x14="http://schemas.microsoft.com/office/spreadsheetml/2009/9/main" uri="{2946ED86-A175-432a-8AC1-64E0C546D7DE}">
          <x14:pivotField fillDownLabels="1"/>
        </ext>
      </extLst>
    </pivotField>
    <pivotField axis="axisRow" compact="0" outline="0" showAll="0">
      <items count="8">
        <item x="6"/>
        <item x="0"/>
        <item x="4"/>
        <item x="5"/>
        <item x="2"/>
        <item x="1"/>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49" outline="0" showAll="0">
      <extLst>
        <ext xmlns:x14="http://schemas.microsoft.com/office/spreadsheetml/2009/9/main" uri="{2946ED86-A175-432a-8AC1-64E0C546D7DE}">
          <x14:pivotField fillDownLabels="1"/>
        </ext>
      </extLst>
    </pivotField>
  </pivotFields>
  <rowFields count="2">
    <field x="1"/>
    <field x="11"/>
  </rowFields>
  <rowItems count="21">
    <i>
      <x v="1"/>
      <x v="1"/>
    </i>
    <i r="1">
      <x v="2"/>
    </i>
    <i r="1">
      <x v="3"/>
    </i>
    <i r="1">
      <x v="4"/>
    </i>
    <i r="1">
      <x v="5"/>
    </i>
    <i r="1">
      <x v="6"/>
    </i>
    <i t="default">
      <x v="1"/>
    </i>
    <i>
      <x v="2"/>
      <x v="1"/>
    </i>
    <i r="1">
      <x v="2"/>
    </i>
    <i r="1">
      <x v="3"/>
    </i>
    <i r="1">
      <x v="4"/>
    </i>
    <i r="1">
      <x v="5"/>
    </i>
    <i r="1">
      <x v="6"/>
    </i>
    <i t="default">
      <x v="2"/>
    </i>
    <i>
      <x v="3"/>
      <x v="2"/>
    </i>
    <i r="1">
      <x v="3"/>
    </i>
    <i r="1">
      <x v="4"/>
    </i>
    <i r="1">
      <x v="5"/>
    </i>
    <i r="1">
      <x v="6"/>
    </i>
    <i t="default">
      <x v="3"/>
    </i>
    <i t="grand">
      <x/>
    </i>
  </rowItems>
  <colItems count="1">
    <i/>
  </colItems>
  <dataFields count="1">
    <dataField name="Sum of Value" fld="9" baseField="11" baseItem="1" numFmtId="4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A2C9B-4F3C-4D68-A9EC-684EF3389601}" name="PivotTable4"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4:H9" firstHeaderRow="1" firstDataRow="1" firstDataCol="1" rowPageCount="2" colPageCount="1"/>
  <pivotFields count="15">
    <pivotField showAll="0"/>
    <pivotField axis="axisPage" multipleItemSelectionAllowed="1" showAll="0">
      <items count="5">
        <item h="1" x="3"/>
        <item x="1"/>
        <item h="1" x="0"/>
        <item h="1" x="2"/>
        <item t="default"/>
      </items>
    </pivotField>
    <pivotField showAll="0"/>
    <pivotField showAll="0"/>
    <pivotField axis="axisPage" multipleItemSelectionAllowed="1" showAll="0">
      <items count="84">
        <item h="1" x="82"/>
        <item h="1" x="54"/>
        <item h="1" x="20"/>
        <item h="1" x="56"/>
        <item h="1" x="79"/>
        <item h="1" x="16"/>
        <item h="1" x="24"/>
        <item h="1" x="42"/>
        <item h="1" x="58"/>
        <item h="1" x="28"/>
        <item h="1" x="81"/>
        <item h="1" x="45"/>
        <item h="1" x="59"/>
        <item h="1" x="70"/>
        <item h="1" x="46"/>
        <item h="1" x="32"/>
        <item h="1" x="7"/>
        <item h="1" x="23"/>
        <item h="1" x="2"/>
        <item h="1" x="49"/>
        <item h="1" x="61"/>
        <item h="1" x="80"/>
        <item h="1" x="63"/>
        <item h="1" x="22"/>
        <item h="1" x="26"/>
        <item x="25"/>
        <item h="1" x="52"/>
        <item h="1" x="35"/>
        <item h="1" x="10"/>
        <item h="1" x="37"/>
        <item h="1" x="18"/>
        <item h="1" x="11"/>
        <item h="1" x="73"/>
        <item h="1" x="9"/>
        <item h="1" x="12"/>
        <item h="1" x="31"/>
        <item h="1" x="0"/>
        <item h="1" x="40"/>
        <item h="1" x="62"/>
        <item h="1" x="48"/>
        <item h="1" x="5"/>
        <item h="1" x="30"/>
        <item h="1" x="43"/>
        <item h="1" x="50"/>
        <item h="1" x="29"/>
        <item h="1" x="34"/>
        <item h="1" x="71"/>
        <item h="1" x="51"/>
        <item h="1" x="60"/>
        <item h="1" x="19"/>
        <item h="1" x="41"/>
        <item h="1" x="76"/>
        <item h="1" x="65"/>
        <item h="1" x="53"/>
        <item h="1" x="68"/>
        <item h="1" x="74"/>
        <item h="1" x="1"/>
        <item h="1" x="44"/>
        <item h="1" x="72"/>
        <item h="1" x="13"/>
        <item h="1" x="36"/>
        <item h="1" x="47"/>
        <item h="1" x="15"/>
        <item h="1" x="78"/>
        <item h="1" x="6"/>
        <item h="1" x="38"/>
        <item h="1" x="77"/>
        <item h="1" x="4"/>
        <item h="1" x="8"/>
        <item h="1" x="14"/>
        <item h="1" x="17"/>
        <item h="1" x="55"/>
        <item h="1" x="27"/>
        <item h="1" x="64"/>
        <item h="1" x="57"/>
        <item h="1" x="3"/>
        <item h="1" x="66"/>
        <item h="1" x="67"/>
        <item h="1" x="33"/>
        <item h="1" x="39"/>
        <item h="1" x="69"/>
        <item h="1" x="21"/>
        <item h="1" x="75"/>
        <item t="default"/>
      </items>
    </pivotField>
    <pivotField showAll="0"/>
    <pivotField showAll="0"/>
    <pivotField showAll="0"/>
    <pivotField numFmtId="49" showAll="0"/>
    <pivotField dataField="1" numFmtId="49" showAll="0"/>
    <pivotField numFmtId="49" showAll="0"/>
    <pivotField axis="axisRow" showAll="0">
      <items count="8">
        <item x="6"/>
        <item x="0"/>
        <item x="4"/>
        <item x="5"/>
        <item x="2"/>
        <item x="1"/>
        <item x="3"/>
        <item t="default"/>
      </items>
    </pivotField>
    <pivotField showAll="0"/>
    <pivotField showAll="0"/>
    <pivotField numFmtId="49" showAll="0"/>
  </pivotFields>
  <rowFields count="1">
    <field x="11"/>
  </rowFields>
  <rowItems count="5">
    <i>
      <x v="1"/>
    </i>
    <i>
      <x v="4"/>
    </i>
    <i>
      <x v="5"/>
    </i>
    <i>
      <x v="6"/>
    </i>
    <i t="grand">
      <x/>
    </i>
  </rowItems>
  <colItems count="1">
    <i/>
  </colItems>
  <pageFields count="2">
    <pageField fld="1" hier="-1"/>
    <pageField fld="4" hier="-1"/>
  </pageFields>
  <dataFields count="1">
    <dataField name="Sum of Value" fld="9" baseField="11" baseItem="1" numFmtId="4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EF00233-E01A-49C8-B77A-9E0B4108AF1F}" name="PivotTable1"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4:L10" firstHeaderRow="1" firstDataRow="1" firstDataCol="1" rowPageCount="2" colPageCount="1"/>
  <pivotFields count="15">
    <pivotField showAll="0"/>
    <pivotField axis="axisPage" multipleItemSelectionAllowed="1" showAll="0">
      <items count="5">
        <item h="1" x="3"/>
        <item x="1"/>
        <item x="0"/>
        <item x="2"/>
        <item t="default"/>
      </items>
    </pivotField>
    <pivotField showAll="0"/>
    <pivotField showAll="0"/>
    <pivotField axis="axisPage" multipleItemSelectionAllowed="1" showAll="0">
      <items count="84">
        <item h="1" x="82"/>
        <item h="1" x="54"/>
        <item h="1" x="20"/>
        <item h="1" x="56"/>
        <item h="1" x="79"/>
        <item h="1" x="16"/>
        <item h="1" x="24"/>
        <item h="1" x="42"/>
        <item h="1" x="58"/>
        <item h="1" x="28"/>
        <item h="1" x="81"/>
        <item h="1" x="45"/>
        <item h="1" x="59"/>
        <item h="1" x="70"/>
        <item x="46"/>
        <item h="1" x="32"/>
        <item h="1" x="7"/>
        <item h="1" x="23"/>
        <item h="1" x="2"/>
        <item h="1" x="49"/>
        <item h="1" x="61"/>
        <item h="1" x="80"/>
        <item h="1" x="63"/>
        <item h="1" x="22"/>
        <item h="1" x="26"/>
        <item h="1" x="25"/>
        <item h="1" x="52"/>
        <item h="1" x="35"/>
        <item h="1" x="10"/>
        <item h="1" x="37"/>
        <item h="1" x="18"/>
        <item h="1" x="11"/>
        <item h="1" x="73"/>
        <item h="1" x="9"/>
        <item h="1" x="12"/>
        <item h="1" x="31"/>
        <item h="1" x="0"/>
        <item h="1" x="40"/>
        <item h="1" x="62"/>
        <item h="1" x="48"/>
        <item h="1" x="5"/>
        <item h="1" x="30"/>
        <item h="1" x="43"/>
        <item h="1" x="50"/>
        <item h="1" x="29"/>
        <item h="1" x="34"/>
        <item h="1" x="71"/>
        <item h="1" x="51"/>
        <item h="1" x="60"/>
        <item h="1" x="19"/>
        <item h="1" x="41"/>
        <item h="1" x="76"/>
        <item h="1" x="65"/>
        <item h="1" x="53"/>
        <item h="1" x="68"/>
        <item h="1" x="74"/>
        <item h="1" x="1"/>
        <item h="1" x="44"/>
        <item h="1" x="72"/>
        <item h="1" x="13"/>
        <item h="1" x="36"/>
        <item h="1" x="47"/>
        <item h="1" x="15"/>
        <item h="1" x="78"/>
        <item h="1" x="6"/>
        <item h="1" x="38"/>
        <item h="1" x="77"/>
        <item h="1" x="4"/>
        <item h="1" x="8"/>
        <item h="1" x="14"/>
        <item h="1" x="17"/>
        <item h="1" x="55"/>
        <item h="1" x="27"/>
        <item h="1" x="64"/>
        <item h="1" x="57"/>
        <item h="1" x="3"/>
        <item h="1" x="66"/>
        <item h="1" x="67"/>
        <item h="1" x="33"/>
        <item h="1" x="39"/>
        <item h="1" x="69"/>
        <item h="1" x="21"/>
        <item h="1" x="75"/>
        <item t="default"/>
      </items>
    </pivotField>
    <pivotField showAll="0"/>
    <pivotField showAll="0"/>
    <pivotField showAll="0"/>
    <pivotField numFmtId="49" showAll="0"/>
    <pivotField dataField="1" numFmtId="49" showAll="0"/>
    <pivotField numFmtId="49" showAll="0"/>
    <pivotField axis="axisRow" showAll="0">
      <items count="8">
        <item x="6"/>
        <item x="2"/>
        <item x="5"/>
        <item x="4"/>
        <item x="1"/>
        <item x="0"/>
        <item x="3"/>
        <item t="default"/>
      </items>
    </pivotField>
    <pivotField showAll="0"/>
    <pivotField showAll="0"/>
    <pivotField numFmtId="49" showAll="0"/>
  </pivotFields>
  <rowFields count="1">
    <field x="11"/>
  </rowFields>
  <rowItems count="6">
    <i>
      <x v="1"/>
    </i>
    <i>
      <x v="2"/>
    </i>
    <i>
      <x v="3"/>
    </i>
    <i>
      <x v="4"/>
    </i>
    <i>
      <x v="6"/>
    </i>
    <i t="grand">
      <x/>
    </i>
  </rowItems>
  <colItems count="1">
    <i/>
  </colItems>
  <pageFields count="2">
    <pageField fld="1" hier="-1"/>
    <pageField fld="4" hier="-1"/>
  </pageFields>
  <dataFields count="1">
    <dataField name="Sum of Value" fld="9" baseField="11" baseItem="1" numFmtId="4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2.emf"/></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B8C79-52C3-49B2-BE20-3A0D2BFC37B9}">
  <sheetPr codeName="Sheet7"/>
  <dimension ref="A1:J41"/>
  <sheetViews>
    <sheetView topLeftCell="A13" workbookViewId="0">
      <selection activeCell="B30" sqref="B30"/>
    </sheetView>
  </sheetViews>
  <sheetFormatPr defaultRowHeight="15" x14ac:dyDescent="0.25"/>
  <cols>
    <col min="2" max="3" width="33.7109375" customWidth="1"/>
    <col min="9" max="9" width="23.7109375" bestFit="1" customWidth="1"/>
  </cols>
  <sheetData>
    <row r="1" spans="1:10" ht="15.75" thickBot="1" x14ac:dyDescent="0.3">
      <c r="A1" s="73" t="s">
        <v>186</v>
      </c>
      <c r="B1" s="74" t="s">
        <v>188</v>
      </c>
      <c r="C1" s="74" t="s">
        <v>193</v>
      </c>
      <c r="I1" s="75" t="s">
        <v>187</v>
      </c>
      <c r="J1" t="s">
        <v>190</v>
      </c>
    </row>
    <row r="2" spans="1:10" x14ac:dyDescent="0.25">
      <c r="A2" s="72">
        <v>46174</v>
      </c>
      <c r="B2" s="75" t="s">
        <v>18</v>
      </c>
      <c r="C2" s="75" t="str">
        <f>_xlfn.XLOOKUP(B2,$I$1:$I$3,$J$1:$J$3,"")</f>
        <v>BLQ</v>
      </c>
      <c r="I2" s="75" t="s">
        <v>18</v>
      </c>
      <c r="J2" t="s">
        <v>191</v>
      </c>
    </row>
    <row r="3" spans="1:10" x14ac:dyDescent="0.25">
      <c r="A3" s="72">
        <f t="shared" ref="A3:A41" si="0">A2+1</f>
        <v>46175</v>
      </c>
      <c r="B3" s="75" t="s">
        <v>88</v>
      </c>
      <c r="C3" s="75" t="str">
        <f t="shared" ref="C3:C41" si="1">_xlfn.XLOOKUP(B3,$I$1:$I$3,$J$1:$J$3,"")</f>
        <v>AGA</v>
      </c>
      <c r="I3" s="75" t="s">
        <v>88</v>
      </c>
      <c r="J3" t="s">
        <v>192</v>
      </c>
    </row>
    <row r="4" spans="1:10" x14ac:dyDescent="0.25">
      <c r="A4" s="72">
        <f t="shared" si="0"/>
        <v>46176</v>
      </c>
      <c r="B4" s="75" t="s">
        <v>18</v>
      </c>
      <c r="C4" s="75" t="str">
        <f t="shared" si="1"/>
        <v>BLQ</v>
      </c>
    </row>
    <row r="5" spans="1:10" x14ac:dyDescent="0.25">
      <c r="A5" s="72">
        <f t="shared" si="0"/>
        <v>46177</v>
      </c>
      <c r="B5" s="75" t="s">
        <v>88</v>
      </c>
      <c r="C5" s="75" t="str">
        <f t="shared" si="1"/>
        <v>AGA</v>
      </c>
    </row>
    <row r="6" spans="1:10" x14ac:dyDescent="0.25">
      <c r="A6" s="72">
        <f t="shared" si="0"/>
        <v>46178</v>
      </c>
      <c r="B6" s="75"/>
      <c r="C6" s="75" t="str">
        <f t="shared" si="1"/>
        <v/>
      </c>
    </row>
    <row r="7" spans="1:10" x14ac:dyDescent="0.25">
      <c r="A7" s="72">
        <f t="shared" si="0"/>
        <v>46179</v>
      </c>
      <c r="B7" s="75"/>
      <c r="C7" s="75" t="str">
        <f t="shared" si="1"/>
        <v/>
      </c>
    </row>
    <row r="8" spans="1:10" x14ac:dyDescent="0.25">
      <c r="A8" s="72">
        <f t="shared" si="0"/>
        <v>46180</v>
      </c>
      <c r="B8" s="75" t="s">
        <v>18</v>
      </c>
      <c r="C8" s="75" t="str">
        <f t="shared" si="1"/>
        <v>BLQ</v>
      </c>
    </row>
    <row r="9" spans="1:10" x14ac:dyDescent="0.25">
      <c r="A9" s="72">
        <f t="shared" si="0"/>
        <v>46181</v>
      </c>
      <c r="B9" s="75" t="s">
        <v>187</v>
      </c>
      <c r="C9" s="75" t="str">
        <f t="shared" si="1"/>
        <v>DAM</v>
      </c>
    </row>
    <row r="10" spans="1:10" x14ac:dyDescent="0.25">
      <c r="A10" s="72">
        <f t="shared" si="0"/>
        <v>46182</v>
      </c>
      <c r="B10" s="75" t="s">
        <v>187</v>
      </c>
      <c r="C10" s="75" t="str">
        <f t="shared" si="1"/>
        <v>DAM</v>
      </c>
    </row>
    <row r="11" spans="1:10" x14ac:dyDescent="0.25">
      <c r="A11" s="72">
        <f t="shared" si="0"/>
        <v>46183</v>
      </c>
      <c r="B11" s="75" t="s">
        <v>18</v>
      </c>
      <c r="C11" s="75" t="str">
        <f t="shared" si="1"/>
        <v>BLQ</v>
      </c>
    </row>
    <row r="12" spans="1:10" x14ac:dyDescent="0.25">
      <c r="A12" s="72">
        <f t="shared" si="0"/>
        <v>46184</v>
      </c>
      <c r="B12" s="75" t="s">
        <v>88</v>
      </c>
      <c r="C12" s="75" t="str">
        <f t="shared" si="1"/>
        <v>AGA</v>
      </c>
    </row>
    <row r="13" spans="1:10" x14ac:dyDescent="0.25">
      <c r="A13" s="72">
        <f t="shared" si="0"/>
        <v>46185</v>
      </c>
      <c r="B13" s="75"/>
      <c r="C13" s="75" t="str">
        <f t="shared" si="1"/>
        <v/>
      </c>
    </row>
    <row r="14" spans="1:10" x14ac:dyDescent="0.25">
      <c r="A14" s="72">
        <f t="shared" si="0"/>
        <v>46186</v>
      </c>
      <c r="B14" s="75"/>
      <c r="C14" s="75" t="str">
        <f t="shared" si="1"/>
        <v/>
      </c>
    </row>
    <row r="15" spans="1:10" x14ac:dyDescent="0.25">
      <c r="A15" s="72">
        <f t="shared" si="0"/>
        <v>46187</v>
      </c>
      <c r="B15" s="75" t="s">
        <v>18</v>
      </c>
      <c r="C15" s="75" t="str">
        <f t="shared" si="1"/>
        <v>BLQ</v>
      </c>
    </row>
    <row r="16" spans="1:10" x14ac:dyDescent="0.25">
      <c r="A16" s="72">
        <f t="shared" si="0"/>
        <v>46188</v>
      </c>
      <c r="B16" s="75" t="s">
        <v>18</v>
      </c>
      <c r="C16" s="75" t="str">
        <f t="shared" si="1"/>
        <v>BLQ</v>
      </c>
    </row>
    <row r="17" spans="1:3" x14ac:dyDescent="0.25">
      <c r="A17" s="72">
        <f t="shared" si="0"/>
        <v>46189</v>
      </c>
      <c r="B17" s="75" t="s">
        <v>88</v>
      </c>
      <c r="C17" s="75" t="str">
        <f>_xlfn.XLOOKUP(B17,$I$1:$I$3,$J$1:$J$3,"")</f>
        <v>AGA</v>
      </c>
    </row>
    <row r="18" spans="1:3" x14ac:dyDescent="0.25">
      <c r="A18" s="72">
        <f t="shared" si="0"/>
        <v>46190</v>
      </c>
      <c r="B18" s="75" t="s">
        <v>88</v>
      </c>
      <c r="C18" s="75" t="str">
        <f>_xlfn.XLOOKUP(B18,$I$1:$I$3,$J$1:$J$3,"")</f>
        <v>AGA</v>
      </c>
    </row>
    <row r="19" spans="1:3" x14ac:dyDescent="0.25">
      <c r="A19" s="72">
        <f t="shared" si="0"/>
        <v>46191</v>
      </c>
      <c r="B19" s="75" t="s">
        <v>88</v>
      </c>
      <c r="C19" s="75" t="str">
        <f t="shared" si="1"/>
        <v>AGA</v>
      </c>
    </row>
    <row r="20" spans="1:3" x14ac:dyDescent="0.25">
      <c r="A20" s="72">
        <f t="shared" si="0"/>
        <v>46192</v>
      </c>
      <c r="B20" s="75"/>
      <c r="C20" s="75" t="str">
        <f t="shared" si="1"/>
        <v/>
      </c>
    </row>
    <row r="21" spans="1:3" x14ac:dyDescent="0.25">
      <c r="A21" s="72">
        <f t="shared" si="0"/>
        <v>46193</v>
      </c>
      <c r="B21" s="75"/>
      <c r="C21" s="75" t="str">
        <f t="shared" si="1"/>
        <v/>
      </c>
    </row>
    <row r="22" spans="1:3" x14ac:dyDescent="0.25">
      <c r="A22" s="72">
        <f t="shared" si="0"/>
        <v>46194</v>
      </c>
      <c r="B22" s="75" t="s">
        <v>187</v>
      </c>
      <c r="C22" s="75" t="str">
        <f t="shared" si="1"/>
        <v>DAM</v>
      </c>
    </row>
    <row r="23" spans="1:3" x14ac:dyDescent="0.25">
      <c r="A23" s="72">
        <f t="shared" si="0"/>
        <v>46195</v>
      </c>
      <c r="B23" s="75" t="s">
        <v>187</v>
      </c>
      <c r="C23" s="75" t="str">
        <f t="shared" si="1"/>
        <v>DAM</v>
      </c>
    </row>
    <row r="24" spans="1:3" x14ac:dyDescent="0.25">
      <c r="A24" s="72">
        <f t="shared" si="0"/>
        <v>46196</v>
      </c>
      <c r="B24" s="75" t="s">
        <v>88</v>
      </c>
      <c r="C24" s="75" t="str">
        <f t="shared" si="1"/>
        <v>AGA</v>
      </c>
    </row>
    <row r="25" spans="1:3" x14ac:dyDescent="0.25">
      <c r="A25" s="72">
        <f t="shared" si="0"/>
        <v>46197</v>
      </c>
      <c r="B25" s="75" t="s">
        <v>18</v>
      </c>
      <c r="C25" s="75" t="str">
        <f t="shared" si="1"/>
        <v>BLQ</v>
      </c>
    </row>
    <row r="26" spans="1:3" x14ac:dyDescent="0.25">
      <c r="A26" s="72">
        <f t="shared" si="0"/>
        <v>46198</v>
      </c>
      <c r="B26" s="75" t="s">
        <v>18</v>
      </c>
      <c r="C26" s="75" t="str">
        <f t="shared" si="1"/>
        <v>BLQ</v>
      </c>
    </row>
    <row r="27" spans="1:3" x14ac:dyDescent="0.25">
      <c r="A27" s="72">
        <f t="shared" si="0"/>
        <v>46199</v>
      </c>
      <c r="B27" s="75"/>
      <c r="C27" s="75" t="str">
        <f t="shared" si="1"/>
        <v/>
      </c>
    </row>
    <row r="28" spans="1:3" x14ac:dyDescent="0.25">
      <c r="A28" s="72">
        <f t="shared" si="0"/>
        <v>46200</v>
      </c>
      <c r="B28" s="75"/>
      <c r="C28" s="75" t="str">
        <f t="shared" si="1"/>
        <v/>
      </c>
    </row>
    <row r="29" spans="1:3" x14ac:dyDescent="0.25">
      <c r="A29" s="72">
        <f t="shared" si="0"/>
        <v>46201</v>
      </c>
      <c r="B29" s="75" t="s">
        <v>88</v>
      </c>
      <c r="C29" s="75" t="str">
        <f t="shared" si="1"/>
        <v>AGA</v>
      </c>
    </row>
    <row r="30" spans="1:3" x14ac:dyDescent="0.25">
      <c r="A30" s="72">
        <f t="shared" si="0"/>
        <v>46202</v>
      </c>
      <c r="B30" s="75" t="s">
        <v>18</v>
      </c>
      <c r="C30" s="75" t="str">
        <f t="shared" si="1"/>
        <v>BLQ</v>
      </c>
    </row>
    <row r="31" spans="1:3" x14ac:dyDescent="0.25">
      <c r="A31" s="72">
        <f t="shared" si="0"/>
        <v>46203</v>
      </c>
      <c r="B31" s="75"/>
      <c r="C31" s="75" t="str">
        <f t="shared" si="1"/>
        <v/>
      </c>
    </row>
    <row r="32" spans="1:3" x14ac:dyDescent="0.25">
      <c r="A32" s="72">
        <f t="shared" si="0"/>
        <v>46204</v>
      </c>
      <c r="B32" s="75"/>
      <c r="C32" s="75" t="str">
        <f t="shared" si="1"/>
        <v/>
      </c>
    </row>
    <row r="33" spans="1:3" x14ac:dyDescent="0.25">
      <c r="A33" s="72">
        <f t="shared" si="0"/>
        <v>46205</v>
      </c>
      <c r="B33" s="75"/>
      <c r="C33" s="75" t="str">
        <f t="shared" si="1"/>
        <v/>
      </c>
    </row>
    <row r="34" spans="1:3" x14ac:dyDescent="0.25">
      <c r="A34" s="72">
        <f t="shared" si="0"/>
        <v>46206</v>
      </c>
      <c r="B34" s="75"/>
      <c r="C34" s="75" t="str">
        <f t="shared" si="1"/>
        <v/>
      </c>
    </row>
    <row r="35" spans="1:3" x14ac:dyDescent="0.25">
      <c r="A35" s="72">
        <f t="shared" si="0"/>
        <v>46207</v>
      </c>
      <c r="B35" s="75"/>
      <c r="C35" s="75" t="str">
        <f t="shared" si="1"/>
        <v/>
      </c>
    </row>
    <row r="36" spans="1:3" x14ac:dyDescent="0.25">
      <c r="A36" s="72">
        <f t="shared" si="0"/>
        <v>46208</v>
      </c>
      <c r="B36" s="75"/>
      <c r="C36" s="75" t="str">
        <f t="shared" si="1"/>
        <v/>
      </c>
    </row>
    <row r="37" spans="1:3" x14ac:dyDescent="0.25">
      <c r="A37" s="72">
        <f t="shared" si="0"/>
        <v>46209</v>
      </c>
      <c r="B37" s="75"/>
      <c r="C37" s="75" t="str">
        <f t="shared" si="1"/>
        <v/>
      </c>
    </row>
    <row r="38" spans="1:3" x14ac:dyDescent="0.25">
      <c r="A38" s="72">
        <f t="shared" si="0"/>
        <v>46210</v>
      </c>
      <c r="B38" s="75"/>
      <c r="C38" s="75" t="str">
        <f t="shared" si="1"/>
        <v/>
      </c>
    </row>
    <row r="39" spans="1:3" x14ac:dyDescent="0.25">
      <c r="A39" s="72">
        <f t="shared" si="0"/>
        <v>46211</v>
      </c>
      <c r="B39" s="75"/>
      <c r="C39" s="75" t="str">
        <f t="shared" si="1"/>
        <v/>
      </c>
    </row>
    <row r="40" spans="1:3" x14ac:dyDescent="0.25">
      <c r="A40" s="72">
        <f t="shared" si="0"/>
        <v>46212</v>
      </c>
      <c r="B40" s="75"/>
      <c r="C40" s="75" t="str">
        <f t="shared" si="1"/>
        <v/>
      </c>
    </row>
    <row r="41" spans="1:3" x14ac:dyDescent="0.25">
      <c r="A41" s="72">
        <f t="shared" si="0"/>
        <v>46213</v>
      </c>
      <c r="B41" s="75"/>
      <c r="C41" s="75" t="str">
        <f t="shared" si="1"/>
        <v/>
      </c>
    </row>
  </sheetData>
  <conditionalFormatting sqref="A33:A41">
    <cfRule type="cellIs" dxfId="172" priority="244" stopIfTrue="1" operator="equal">
      <formula>"Meeting"</formula>
    </cfRule>
    <cfRule type="cellIs" dxfId="171" priority="245" stopIfTrue="1" operator="equal">
      <formula>"HQ Office"</formula>
    </cfRule>
    <cfRule type="expression" dxfId="170" priority="246" stopIfTrue="1">
      <formula>MOD((39759-$A33),7)=0</formula>
    </cfRule>
  </conditionalFormatting>
  <conditionalFormatting sqref="A29:A32 A22:A25">
    <cfRule type="cellIs" dxfId="169" priority="241" stopIfTrue="1" operator="equal">
      <formula>"Meeting"</formula>
    </cfRule>
    <cfRule type="cellIs" dxfId="168" priority="242" stopIfTrue="1" operator="equal">
      <formula>"HQ Office"</formula>
    </cfRule>
    <cfRule type="expression" dxfId="167" priority="243" stopIfTrue="1">
      <formula>MOD((39759-$A22),7)=0</formula>
    </cfRule>
  </conditionalFormatting>
  <conditionalFormatting sqref="A6">
    <cfRule type="cellIs" dxfId="166" priority="238" stopIfTrue="1" operator="equal">
      <formula>"Meeting"</formula>
    </cfRule>
    <cfRule type="cellIs" dxfId="165" priority="239" stopIfTrue="1" operator="equal">
      <formula>"HQ Office"</formula>
    </cfRule>
    <cfRule type="expression" dxfId="164" priority="240" stopIfTrue="1">
      <formula>MOD((39759-$A6),7)=0</formula>
    </cfRule>
  </conditionalFormatting>
  <conditionalFormatting sqref="A2:A5">
    <cfRule type="cellIs" dxfId="163" priority="235" stopIfTrue="1" operator="equal">
      <formula>"Meeting"</formula>
    </cfRule>
    <cfRule type="cellIs" dxfId="162" priority="236" stopIfTrue="1" operator="equal">
      <formula>"HQ Office"</formula>
    </cfRule>
    <cfRule type="expression" dxfId="161" priority="237" stopIfTrue="1">
      <formula>MOD((39759-$A2),7)=0</formula>
    </cfRule>
  </conditionalFormatting>
  <conditionalFormatting sqref="A19:A21">
    <cfRule type="cellIs" dxfId="160" priority="232" stopIfTrue="1" operator="equal">
      <formula>"Meeting"</formula>
    </cfRule>
    <cfRule type="cellIs" dxfId="159" priority="233" stopIfTrue="1" operator="equal">
      <formula>"HQ Office"</formula>
    </cfRule>
    <cfRule type="expression" dxfId="158" priority="234" stopIfTrue="1">
      <formula>MOD((39759-$A19),7)=0</formula>
    </cfRule>
  </conditionalFormatting>
  <conditionalFormatting sqref="A15:A18">
    <cfRule type="cellIs" dxfId="157" priority="229" stopIfTrue="1" operator="equal">
      <formula>"Meeting"</formula>
    </cfRule>
    <cfRule type="cellIs" dxfId="156" priority="230" stopIfTrue="1" operator="equal">
      <formula>"HQ Office"</formula>
    </cfRule>
    <cfRule type="expression" dxfId="155" priority="231" stopIfTrue="1">
      <formula>MOD((39759-$A15),7)=0</formula>
    </cfRule>
  </conditionalFormatting>
  <conditionalFormatting sqref="A12:A14">
    <cfRule type="cellIs" dxfId="154" priority="226" stopIfTrue="1" operator="equal">
      <formula>"Meeting"</formula>
    </cfRule>
    <cfRule type="cellIs" dxfId="153" priority="227" stopIfTrue="1" operator="equal">
      <formula>"HQ Office"</formula>
    </cfRule>
    <cfRule type="expression" dxfId="152" priority="228" stopIfTrue="1">
      <formula>MOD((39759-$A12),7)=0</formula>
    </cfRule>
  </conditionalFormatting>
  <conditionalFormatting sqref="A10:A11">
    <cfRule type="cellIs" dxfId="151" priority="223" stopIfTrue="1" operator="equal">
      <formula>"Meeting"</formula>
    </cfRule>
    <cfRule type="cellIs" dxfId="150" priority="224" stopIfTrue="1" operator="equal">
      <formula>"HQ Office"</formula>
    </cfRule>
    <cfRule type="expression" dxfId="149" priority="225" stopIfTrue="1">
      <formula>MOD((39759-$A10),7)=0</formula>
    </cfRule>
  </conditionalFormatting>
  <conditionalFormatting sqref="A26:A28">
    <cfRule type="cellIs" dxfId="148" priority="220" stopIfTrue="1" operator="equal">
      <formula>"Meeting"</formula>
    </cfRule>
    <cfRule type="cellIs" dxfId="147" priority="221" stopIfTrue="1" operator="equal">
      <formula>"HQ Office"</formula>
    </cfRule>
    <cfRule type="expression" dxfId="146" priority="222" stopIfTrue="1">
      <formula>MOD((39759-$A26),7)=0</formula>
    </cfRule>
  </conditionalFormatting>
  <conditionalFormatting sqref="A7:A9">
    <cfRule type="cellIs" dxfId="145" priority="217" stopIfTrue="1" operator="equal">
      <formula>"Meeting"</formula>
    </cfRule>
    <cfRule type="cellIs" dxfId="144" priority="218" stopIfTrue="1" operator="equal">
      <formula>"HQ Office"</formula>
    </cfRule>
    <cfRule type="expression" dxfId="143" priority="219" stopIfTrue="1">
      <formula>MOD((39759-$A7),7)=0</formula>
    </cfRule>
  </conditionalFormatting>
  <conditionalFormatting sqref="B34:B35 B41">
    <cfRule type="cellIs" dxfId="142" priority="214" stopIfTrue="1" operator="equal">
      <formula>"Meeting"</formula>
    </cfRule>
    <cfRule type="cellIs" dxfId="141" priority="215" stopIfTrue="1" operator="equal">
      <formula>"HQ Office"</formula>
    </cfRule>
    <cfRule type="expression" dxfId="140" priority="216" stopIfTrue="1">
      <formula>MOD((39759-$A34),7)=0</formula>
    </cfRule>
  </conditionalFormatting>
  <conditionalFormatting sqref="B33">
    <cfRule type="cellIs" dxfId="139" priority="211" stopIfTrue="1" operator="equal">
      <formula>"Meeting"</formula>
    </cfRule>
    <cfRule type="cellIs" dxfId="138" priority="212" stopIfTrue="1" operator="equal">
      <formula>"HQ Office"</formula>
    </cfRule>
    <cfRule type="expression" dxfId="137" priority="213" stopIfTrue="1">
      <formula>MOD((39759-$A33),7)=0</formula>
    </cfRule>
  </conditionalFormatting>
  <conditionalFormatting sqref="B36">
    <cfRule type="cellIs" dxfId="136" priority="208" stopIfTrue="1" operator="equal">
      <formula>"Meeting"</formula>
    </cfRule>
    <cfRule type="cellIs" dxfId="135" priority="209" stopIfTrue="1" operator="equal">
      <formula>"HQ Office"</formula>
    </cfRule>
    <cfRule type="expression" dxfId="134" priority="210" stopIfTrue="1">
      <formula>MOD((39759-$A36),7)=0</formula>
    </cfRule>
  </conditionalFormatting>
  <conditionalFormatting sqref="B37">
    <cfRule type="cellIs" dxfId="133" priority="205" stopIfTrue="1" operator="equal">
      <formula>"Meeting"</formula>
    </cfRule>
    <cfRule type="cellIs" dxfId="132" priority="206" stopIfTrue="1" operator="equal">
      <formula>"HQ Office"</formula>
    </cfRule>
    <cfRule type="expression" dxfId="131" priority="207" stopIfTrue="1">
      <formula>MOD((39759-$A37),7)=0</formula>
    </cfRule>
  </conditionalFormatting>
  <conditionalFormatting sqref="B38">
    <cfRule type="cellIs" dxfId="130" priority="202" stopIfTrue="1" operator="equal">
      <formula>"Meeting"</formula>
    </cfRule>
    <cfRule type="cellIs" dxfId="129" priority="203" stopIfTrue="1" operator="equal">
      <formula>"HQ Office"</formula>
    </cfRule>
    <cfRule type="expression" dxfId="128" priority="204" stopIfTrue="1">
      <formula>MOD((39759-$A38),7)=0</formula>
    </cfRule>
  </conditionalFormatting>
  <conditionalFormatting sqref="B39">
    <cfRule type="cellIs" dxfId="127" priority="199" stopIfTrue="1" operator="equal">
      <formula>"Meeting"</formula>
    </cfRule>
    <cfRule type="cellIs" dxfId="126" priority="200" stopIfTrue="1" operator="equal">
      <formula>"HQ Office"</formula>
    </cfRule>
    <cfRule type="expression" dxfId="125" priority="201" stopIfTrue="1">
      <formula>MOD((39759-$A39),7)=0</formula>
    </cfRule>
  </conditionalFormatting>
  <conditionalFormatting sqref="B40">
    <cfRule type="cellIs" dxfId="124" priority="196" stopIfTrue="1" operator="equal">
      <formula>"Meeting"</formula>
    </cfRule>
    <cfRule type="cellIs" dxfId="123" priority="197" stopIfTrue="1" operator="equal">
      <formula>"HQ Office"</formula>
    </cfRule>
    <cfRule type="expression" dxfId="122" priority="198" stopIfTrue="1">
      <formula>MOD((39759-$A40),7)=0</formula>
    </cfRule>
  </conditionalFormatting>
  <conditionalFormatting sqref="B32">
    <cfRule type="cellIs" dxfId="121" priority="193" stopIfTrue="1" operator="equal">
      <formula>"Meeting"</formula>
    </cfRule>
    <cfRule type="cellIs" dxfId="120" priority="194" stopIfTrue="1" operator="equal">
      <formula>"HQ Office"</formula>
    </cfRule>
    <cfRule type="expression" dxfId="119" priority="195" stopIfTrue="1">
      <formula>MOD((39759-$A32),7)=0</formula>
    </cfRule>
  </conditionalFormatting>
  <conditionalFormatting sqref="B31">
    <cfRule type="cellIs" dxfId="118" priority="190" stopIfTrue="1" operator="equal">
      <formula>"Meeting"</formula>
    </cfRule>
    <cfRule type="cellIs" dxfId="117" priority="191" stopIfTrue="1" operator="equal">
      <formula>"HQ Office"</formula>
    </cfRule>
    <cfRule type="expression" dxfId="116" priority="192" stopIfTrue="1">
      <formula>MOD((39759-$A31),7)=0</formula>
    </cfRule>
  </conditionalFormatting>
  <conditionalFormatting sqref="B11:B12 B20:B23">
    <cfRule type="cellIs" dxfId="115" priority="187" stopIfTrue="1" operator="equal">
      <formula>"Meeting"</formula>
    </cfRule>
    <cfRule type="cellIs" dxfId="114" priority="188" stopIfTrue="1" operator="equal">
      <formula>"HQ Office"</formula>
    </cfRule>
    <cfRule type="expression" dxfId="113" priority="189" stopIfTrue="1">
      <formula>MOD((39759-$A11),7)=0</formula>
    </cfRule>
  </conditionalFormatting>
  <conditionalFormatting sqref="B27">
    <cfRule type="cellIs" dxfId="112" priority="181" stopIfTrue="1" operator="equal">
      <formula>"Meeting"</formula>
    </cfRule>
    <cfRule type="cellIs" dxfId="111" priority="182" stopIfTrue="1" operator="equal">
      <formula>"HQ Office"</formula>
    </cfRule>
    <cfRule type="expression" dxfId="110" priority="183" stopIfTrue="1">
      <formula>MOD((39759-$A27),7)=0</formula>
    </cfRule>
  </conditionalFormatting>
  <conditionalFormatting sqref="B27:B28">
    <cfRule type="cellIs" dxfId="109" priority="178" stopIfTrue="1" operator="equal">
      <formula>"Meeting"</formula>
    </cfRule>
    <cfRule type="cellIs" dxfId="108" priority="179" stopIfTrue="1" operator="equal">
      <formula>"HQ Office"</formula>
    </cfRule>
    <cfRule type="expression" dxfId="107" priority="180" stopIfTrue="1">
      <formula>MOD((39759-$A27),7)=0</formula>
    </cfRule>
  </conditionalFormatting>
  <conditionalFormatting sqref="B21:B23">
    <cfRule type="cellIs" dxfId="106" priority="175" stopIfTrue="1" operator="equal">
      <formula>"Meeting"</formula>
    </cfRule>
    <cfRule type="cellIs" dxfId="105" priority="176" stopIfTrue="1" operator="equal">
      <formula>"HQ Office"</formula>
    </cfRule>
    <cfRule type="expression" dxfId="104" priority="177" stopIfTrue="1">
      <formula>MOD((39759-$A21),7)=0</formula>
    </cfRule>
  </conditionalFormatting>
  <conditionalFormatting sqref="B12:B13">
    <cfRule type="cellIs" dxfId="103" priority="172" stopIfTrue="1" operator="equal">
      <formula>"Meeting"</formula>
    </cfRule>
    <cfRule type="cellIs" dxfId="102" priority="173" stopIfTrue="1" operator="equal">
      <formula>"HQ Office"</formula>
    </cfRule>
    <cfRule type="expression" dxfId="101" priority="174" stopIfTrue="1">
      <formula>MOD((39759-$A12),7)=0</formula>
    </cfRule>
  </conditionalFormatting>
  <conditionalFormatting sqref="B28">
    <cfRule type="cellIs" dxfId="100" priority="154" stopIfTrue="1" operator="equal">
      <formula>"Meeting"</formula>
    </cfRule>
    <cfRule type="cellIs" dxfId="99" priority="155" stopIfTrue="1" operator="equal">
      <formula>"HQ Office"</formula>
    </cfRule>
    <cfRule type="expression" dxfId="98" priority="156" stopIfTrue="1">
      <formula>MOD((39759-$A28),7)=0</formula>
    </cfRule>
  </conditionalFormatting>
  <conditionalFormatting sqref="B6:B7">
    <cfRule type="cellIs" dxfId="97" priority="151" stopIfTrue="1" operator="equal">
      <formula>"Meeting"</formula>
    </cfRule>
    <cfRule type="cellIs" dxfId="96" priority="152" stopIfTrue="1" operator="equal">
      <formula>"HQ Office"</formula>
    </cfRule>
    <cfRule type="expression" dxfId="95" priority="153" stopIfTrue="1">
      <formula>MOD((39759-$A6),7)=0</formula>
    </cfRule>
  </conditionalFormatting>
  <conditionalFormatting sqref="B6:B7">
    <cfRule type="cellIs" dxfId="94" priority="148" stopIfTrue="1" operator="equal">
      <formula>"Meeting"</formula>
    </cfRule>
    <cfRule type="cellIs" dxfId="93" priority="149" stopIfTrue="1" operator="equal">
      <formula>"HQ Office"</formula>
    </cfRule>
    <cfRule type="expression" dxfId="92" priority="150" stopIfTrue="1">
      <formula>MOD((39759-$A6),7)=0</formula>
    </cfRule>
  </conditionalFormatting>
  <conditionalFormatting sqref="B7:B11">
    <cfRule type="cellIs" dxfId="91" priority="145" stopIfTrue="1" operator="equal">
      <formula>"Meeting"</formula>
    </cfRule>
    <cfRule type="cellIs" dxfId="90" priority="146" stopIfTrue="1" operator="equal">
      <formula>"HQ Office"</formula>
    </cfRule>
    <cfRule type="expression" dxfId="89" priority="147" stopIfTrue="1">
      <formula>MOD((39759-$A7),7)=0</formula>
    </cfRule>
  </conditionalFormatting>
  <conditionalFormatting sqref="B22:B23">
    <cfRule type="cellIs" dxfId="88" priority="142" stopIfTrue="1" operator="equal">
      <formula>"Meeting"</formula>
    </cfRule>
    <cfRule type="cellIs" dxfId="87" priority="143" stopIfTrue="1" operator="equal">
      <formula>"HQ Office"</formula>
    </cfRule>
    <cfRule type="expression" dxfId="86" priority="144" stopIfTrue="1">
      <formula>MOD((39759-$A22),7)=0</formula>
    </cfRule>
  </conditionalFormatting>
  <conditionalFormatting sqref="B6">
    <cfRule type="cellIs" dxfId="85" priority="139" stopIfTrue="1" operator="equal">
      <formula>"Meeting"</formula>
    </cfRule>
    <cfRule type="cellIs" dxfId="84" priority="140" stopIfTrue="1" operator="equal">
      <formula>"HQ Office"</formula>
    </cfRule>
    <cfRule type="expression" dxfId="83" priority="141" stopIfTrue="1">
      <formula>MOD((39759-$A6),7)=0</formula>
    </cfRule>
  </conditionalFormatting>
  <conditionalFormatting sqref="B4">
    <cfRule type="cellIs" dxfId="82" priority="136" stopIfTrue="1" operator="equal">
      <formula>"Meeting"</formula>
    </cfRule>
    <cfRule type="cellIs" dxfId="81" priority="137" stopIfTrue="1" operator="equal">
      <formula>"HQ Office"</formula>
    </cfRule>
    <cfRule type="expression" dxfId="80" priority="138" stopIfTrue="1">
      <formula>MOD((39759-$A4),7)=0</formula>
    </cfRule>
  </conditionalFormatting>
  <conditionalFormatting sqref="B4">
    <cfRule type="cellIs" dxfId="79" priority="133" stopIfTrue="1" operator="equal">
      <formula>"Meeting"</formula>
    </cfRule>
    <cfRule type="cellIs" dxfId="78" priority="134" stopIfTrue="1" operator="equal">
      <formula>"HQ Office"</formula>
    </cfRule>
    <cfRule type="expression" dxfId="77" priority="135" stopIfTrue="1">
      <formula>MOD((39759-$A4),7)=0</formula>
    </cfRule>
  </conditionalFormatting>
  <conditionalFormatting sqref="B3">
    <cfRule type="cellIs" dxfId="76" priority="130" stopIfTrue="1" operator="equal">
      <formula>"Meeting"</formula>
    </cfRule>
    <cfRule type="cellIs" dxfId="75" priority="131" stopIfTrue="1" operator="equal">
      <formula>"HQ Office"</formula>
    </cfRule>
    <cfRule type="expression" dxfId="74" priority="132" stopIfTrue="1">
      <formula>MOD((39759-$A3),7)=0</formula>
    </cfRule>
  </conditionalFormatting>
  <conditionalFormatting sqref="B3">
    <cfRule type="cellIs" dxfId="73" priority="127" stopIfTrue="1" operator="equal">
      <formula>"Meeting"</formula>
    </cfRule>
    <cfRule type="cellIs" dxfId="72" priority="128" stopIfTrue="1" operator="equal">
      <formula>"HQ Office"</formula>
    </cfRule>
    <cfRule type="expression" dxfId="71" priority="129" stopIfTrue="1">
      <formula>MOD((39759-$A3),7)=0</formula>
    </cfRule>
  </conditionalFormatting>
  <conditionalFormatting sqref="B2:C2 C3:C41">
    <cfRule type="cellIs" dxfId="70" priority="124" stopIfTrue="1" operator="equal">
      <formula>"Meeting"</formula>
    </cfRule>
    <cfRule type="cellIs" dxfId="69" priority="125" stopIfTrue="1" operator="equal">
      <formula>"HQ Office"</formula>
    </cfRule>
    <cfRule type="expression" dxfId="68" priority="126" stopIfTrue="1">
      <formula>MOD((39759-$A2),7)=0</formula>
    </cfRule>
  </conditionalFormatting>
  <conditionalFormatting sqref="B2:C2 C3:C41">
    <cfRule type="cellIs" dxfId="67" priority="121" stopIfTrue="1" operator="equal">
      <formula>"Meeting"</formula>
    </cfRule>
    <cfRule type="cellIs" dxfId="66" priority="122" stopIfTrue="1" operator="equal">
      <formula>"HQ Office"</formula>
    </cfRule>
    <cfRule type="expression" dxfId="65" priority="123" stopIfTrue="1">
      <formula>MOD((39759-$A2),7)=0</formula>
    </cfRule>
  </conditionalFormatting>
  <conditionalFormatting sqref="B5">
    <cfRule type="cellIs" dxfId="64" priority="118" stopIfTrue="1" operator="equal">
      <formula>"Meeting"</formula>
    </cfRule>
    <cfRule type="cellIs" dxfId="63" priority="119" stopIfTrue="1" operator="equal">
      <formula>"HQ Office"</formula>
    </cfRule>
    <cfRule type="expression" dxfId="62" priority="120" stopIfTrue="1">
      <formula>MOD((39759-$A5),7)=0</formula>
    </cfRule>
  </conditionalFormatting>
  <conditionalFormatting sqref="B5">
    <cfRule type="cellIs" dxfId="61" priority="115" stopIfTrue="1" operator="equal">
      <formula>"Meeting"</formula>
    </cfRule>
    <cfRule type="cellIs" dxfId="60" priority="116" stopIfTrue="1" operator="equal">
      <formula>"HQ Office"</formula>
    </cfRule>
    <cfRule type="expression" dxfId="59" priority="117" stopIfTrue="1">
      <formula>MOD((39759-$A5),7)=0</formula>
    </cfRule>
  </conditionalFormatting>
  <conditionalFormatting sqref="B8">
    <cfRule type="cellIs" dxfId="58" priority="112" stopIfTrue="1" operator="equal">
      <formula>"Meeting"</formula>
    </cfRule>
    <cfRule type="cellIs" dxfId="57" priority="113" stopIfTrue="1" operator="equal">
      <formula>"HQ Office"</formula>
    </cfRule>
    <cfRule type="expression" dxfId="56" priority="114" stopIfTrue="1">
      <formula>MOD((39759-$A8),7)=0</formula>
    </cfRule>
  </conditionalFormatting>
  <conditionalFormatting sqref="B14">
    <cfRule type="cellIs" dxfId="55" priority="109" stopIfTrue="1" operator="equal">
      <formula>"Meeting"</formula>
    </cfRule>
    <cfRule type="cellIs" dxfId="54" priority="110" stopIfTrue="1" operator="equal">
      <formula>"HQ Office"</formula>
    </cfRule>
    <cfRule type="expression" dxfId="53" priority="111" stopIfTrue="1">
      <formula>MOD((39759-$A14),7)=0</formula>
    </cfRule>
  </conditionalFormatting>
  <conditionalFormatting sqref="B14">
    <cfRule type="cellIs" dxfId="52" priority="106" stopIfTrue="1" operator="equal">
      <formula>"Meeting"</formula>
    </cfRule>
    <cfRule type="cellIs" dxfId="51" priority="107" stopIfTrue="1" operator="equal">
      <formula>"HQ Office"</formula>
    </cfRule>
    <cfRule type="expression" dxfId="50" priority="108" stopIfTrue="1">
      <formula>MOD((39759-$A14),7)=0</formula>
    </cfRule>
  </conditionalFormatting>
  <conditionalFormatting sqref="I2:I3">
    <cfRule type="cellIs" dxfId="49" priority="103" stopIfTrue="1" operator="equal">
      <formula>"Meeting"</formula>
    </cfRule>
    <cfRule type="cellIs" dxfId="48" priority="104" stopIfTrue="1" operator="equal">
      <formula>"HQ Office"</formula>
    </cfRule>
    <cfRule type="expression" dxfId="47" priority="105" stopIfTrue="1">
      <formula>MOD((39759-$A2),7)=0</formula>
    </cfRule>
  </conditionalFormatting>
  <conditionalFormatting sqref="I3">
    <cfRule type="cellIs" dxfId="46" priority="100" stopIfTrue="1" operator="equal">
      <formula>"Meeting"</formula>
    </cfRule>
    <cfRule type="cellIs" dxfId="45" priority="101" stopIfTrue="1" operator="equal">
      <formula>"HQ Office"</formula>
    </cfRule>
    <cfRule type="expression" dxfId="44" priority="102" stopIfTrue="1">
      <formula>MOD((39759-$A3),7)=0</formula>
    </cfRule>
  </conditionalFormatting>
  <conditionalFormatting sqref="I1:I2">
    <cfRule type="cellIs" dxfId="43" priority="97" stopIfTrue="1" operator="equal">
      <formula>"Meeting"</formula>
    </cfRule>
    <cfRule type="cellIs" dxfId="42" priority="98" stopIfTrue="1" operator="equal">
      <formula>"HQ Office"</formula>
    </cfRule>
    <cfRule type="expression" dxfId="41" priority="99" stopIfTrue="1">
      <formula>MOD((39759-$A1),7)=0</formula>
    </cfRule>
  </conditionalFormatting>
  <conditionalFormatting sqref="B15:B16">
    <cfRule type="cellIs" dxfId="40" priority="46" stopIfTrue="1" operator="equal">
      <formula>"Meeting"</formula>
    </cfRule>
    <cfRule type="cellIs" dxfId="39" priority="47" stopIfTrue="1" operator="equal">
      <formula>"HQ Office"</formula>
    </cfRule>
    <cfRule type="expression" dxfId="38" priority="48" stopIfTrue="1">
      <formula>MOD((39759-$A15),7)=0</formula>
    </cfRule>
  </conditionalFormatting>
  <conditionalFormatting sqref="B15:B16">
    <cfRule type="cellIs" dxfId="37" priority="43" stopIfTrue="1" operator="equal">
      <formula>"Meeting"</formula>
    </cfRule>
    <cfRule type="cellIs" dxfId="36" priority="44" stopIfTrue="1" operator="equal">
      <formula>"HQ Office"</formula>
    </cfRule>
    <cfRule type="expression" dxfId="35" priority="45" stopIfTrue="1">
      <formula>MOD((39759-$A15),7)=0</formula>
    </cfRule>
  </conditionalFormatting>
  <conditionalFormatting sqref="B17:B19">
    <cfRule type="cellIs" dxfId="34" priority="40" stopIfTrue="1" operator="equal">
      <formula>"Meeting"</formula>
    </cfRule>
    <cfRule type="cellIs" dxfId="33" priority="41" stopIfTrue="1" operator="equal">
      <formula>"HQ Office"</formula>
    </cfRule>
    <cfRule type="expression" dxfId="32" priority="42" stopIfTrue="1">
      <formula>MOD((39759-$A17),7)=0</formula>
    </cfRule>
  </conditionalFormatting>
  <conditionalFormatting sqref="B17:B19">
    <cfRule type="cellIs" dxfId="31" priority="37" stopIfTrue="1" operator="equal">
      <formula>"Meeting"</formula>
    </cfRule>
    <cfRule type="cellIs" dxfId="30" priority="38" stopIfTrue="1" operator="equal">
      <formula>"HQ Office"</formula>
    </cfRule>
    <cfRule type="expression" dxfId="29" priority="39" stopIfTrue="1">
      <formula>MOD((39759-$A17),7)=0</formula>
    </cfRule>
  </conditionalFormatting>
  <conditionalFormatting sqref="B24">
    <cfRule type="cellIs" dxfId="28" priority="34" stopIfTrue="1" operator="equal">
      <formula>"Meeting"</formula>
    </cfRule>
    <cfRule type="cellIs" dxfId="27" priority="35" stopIfTrue="1" operator="equal">
      <formula>"HQ Office"</formula>
    </cfRule>
    <cfRule type="expression" dxfId="26" priority="36" stopIfTrue="1">
      <formula>MOD((39759-$A24),7)=0</formula>
    </cfRule>
  </conditionalFormatting>
  <conditionalFormatting sqref="B24">
    <cfRule type="cellIs" dxfId="25" priority="31" stopIfTrue="1" operator="equal">
      <formula>"Meeting"</formula>
    </cfRule>
    <cfRule type="cellIs" dxfId="24" priority="32" stopIfTrue="1" operator="equal">
      <formula>"HQ Office"</formula>
    </cfRule>
    <cfRule type="expression" dxfId="23" priority="33" stopIfTrue="1">
      <formula>MOD((39759-$A24),7)=0</formula>
    </cfRule>
  </conditionalFormatting>
  <conditionalFormatting sqref="B25:B26">
    <cfRule type="cellIs" dxfId="22" priority="22" stopIfTrue="1" operator="equal">
      <formula>"Meeting"</formula>
    </cfRule>
    <cfRule type="cellIs" dxfId="21" priority="23" stopIfTrue="1" operator="equal">
      <formula>"HQ Office"</formula>
    </cfRule>
    <cfRule type="expression" dxfId="20" priority="24" stopIfTrue="1">
      <formula>MOD((39759-$A25),7)=0</formula>
    </cfRule>
  </conditionalFormatting>
  <conditionalFormatting sqref="B25:B26">
    <cfRule type="cellIs" dxfId="19" priority="19" stopIfTrue="1" operator="equal">
      <formula>"Meeting"</formula>
    </cfRule>
    <cfRule type="cellIs" dxfId="18" priority="20" stopIfTrue="1" operator="equal">
      <formula>"HQ Office"</formula>
    </cfRule>
    <cfRule type="expression" dxfId="17" priority="21" stopIfTrue="1">
      <formula>MOD((39759-$A25),7)=0</formula>
    </cfRule>
  </conditionalFormatting>
  <conditionalFormatting sqref="B29">
    <cfRule type="cellIs" dxfId="16" priority="10" stopIfTrue="1" operator="equal">
      <formula>"Meeting"</formula>
    </cfRule>
    <cfRule type="cellIs" dxfId="15" priority="11" stopIfTrue="1" operator="equal">
      <formula>"HQ Office"</formula>
    </cfRule>
    <cfRule type="expression" dxfId="14" priority="12" stopIfTrue="1">
      <formula>MOD((39759-$A29),7)=0</formula>
    </cfRule>
  </conditionalFormatting>
  <conditionalFormatting sqref="B29">
    <cfRule type="cellIs" dxfId="13" priority="7" stopIfTrue="1" operator="equal">
      <formula>"Meeting"</formula>
    </cfRule>
    <cfRule type="cellIs" dxfId="12" priority="8" stopIfTrue="1" operator="equal">
      <formula>"HQ Office"</formula>
    </cfRule>
    <cfRule type="expression" dxfId="11" priority="9" stopIfTrue="1">
      <formula>MOD((39759-$A29),7)=0</formula>
    </cfRule>
  </conditionalFormatting>
  <conditionalFormatting sqref="B30">
    <cfRule type="cellIs" dxfId="10" priority="4" stopIfTrue="1" operator="equal">
      <formula>"Meeting"</formula>
    </cfRule>
    <cfRule type="cellIs" dxfId="9" priority="5" stopIfTrue="1" operator="equal">
      <formula>"HQ Office"</formula>
    </cfRule>
    <cfRule type="expression" dxfId="8" priority="6" stopIfTrue="1">
      <formula>MOD((39759-$A30),7)=0</formula>
    </cfRule>
  </conditionalFormatting>
  <conditionalFormatting sqref="B30">
    <cfRule type="cellIs" dxfId="7" priority="1" stopIfTrue="1" operator="equal">
      <formula>"Meeting"</formula>
    </cfRule>
    <cfRule type="cellIs" dxfId="6" priority="2" stopIfTrue="1" operator="equal">
      <formula>"HQ Office"</formula>
    </cfRule>
    <cfRule type="expression" dxfId="5" priority="3" stopIfTrue="1">
      <formula>MOD((39759-$A30),7)=0</formula>
    </cfRule>
  </conditionalFormatting>
  <dataValidations count="1">
    <dataValidation type="list" allowBlank="1" showInputMessage="1" showErrorMessage="1" sqref="I1:I3 B2:B32" xr:uid="{49B09363-7663-4C39-8D23-A72EA7F1BA4D}">
      <formula1>$J$54:$J$56</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80D3A-BD07-459F-BB5E-702056BC23EC}">
  <sheetPr codeName="Sheet3"/>
  <dimension ref="A1:T283"/>
  <sheetViews>
    <sheetView rightToLeft="1" zoomScale="85" zoomScaleNormal="85" workbookViewId="0">
      <pane xSplit="2" ySplit="1" topLeftCell="C155" activePane="bottomRight" state="frozen"/>
      <selection pane="topRight" activeCell="C1" sqref="C1"/>
      <selection pane="bottomLeft" activeCell="A2" sqref="A2"/>
      <selection pane="bottomRight" activeCell="D139" sqref="D139"/>
    </sheetView>
  </sheetViews>
  <sheetFormatPr defaultRowHeight="15" x14ac:dyDescent="0.25"/>
  <cols>
    <col min="1" max="1" width="5.5703125" customWidth="1"/>
    <col min="2" max="2" width="9.140625" style="9"/>
    <col min="3" max="3" width="11.5703125" style="9" bestFit="1" customWidth="1"/>
    <col min="4" max="4" width="111.5703125" style="13" bestFit="1" customWidth="1"/>
    <col min="5" max="5" width="10.140625" customWidth="1"/>
    <col min="6" max="6" width="31.7109375" style="9" customWidth="1"/>
    <col min="7" max="8" width="9.140625" style="10"/>
  </cols>
  <sheetData>
    <row r="1" spans="1:20" ht="26.25" x14ac:dyDescent="0.25">
      <c r="B1" s="9" t="s">
        <v>2</v>
      </c>
      <c r="D1" s="8" t="s">
        <v>116</v>
      </c>
      <c r="E1" t="s">
        <v>159</v>
      </c>
    </row>
    <row r="2" spans="1:20" ht="16.5" x14ac:dyDescent="0.25">
      <c r="A2">
        <v>1</v>
      </c>
      <c r="B2" s="9">
        <v>1</v>
      </c>
      <c r="D2" s="11" t="s">
        <v>1</v>
      </c>
      <c r="T2" t="str">
        <f>IF('[1]Rwaked DAM'!$H5="","",CONCATENATE('[1]Rwaked DAM'!$H5," - عدد ",'[1]Rwaked DAM'!$G5,"  -  متبقي على الانتهاء  ",'[1]Rwaked DAM'!$D5," شهر "))</f>
        <v xml:space="preserve">مكرونة مكرونتو شنطة هلاليه 10كجم - عدد 433  -  متبقي على الانتهاء  11 شهر </v>
      </c>
    </row>
    <row r="3" spans="1:20" ht="23.25" customHeight="1" x14ac:dyDescent="0.25">
      <c r="A3">
        <v>1</v>
      </c>
      <c r="B3" s="9">
        <v>1</v>
      </c>
      <c r="D3" s="11" t="s">
        <v>3</v>
      </c>
      <c r="T3" t="str">
        <f>IF('[1]Rwaked DAM'!$H6="","",CONCATENATE('[1]Rwaked DAM'!$H6," - عدد ",'[1]Rwaked DAM'!$G6,"  -  متبقي على الانتهاء  ",'[1]Rwaked DAM'!$D6," شهر "))</f>
        <v xml:space="preserve">الملكة شيوي إسباجتي 400 جم - عدد 20  -  متبقي على الانتهاء  13 شهر </v>
      </c>
    </row>
    <row r="4" spans="1:20" x14ac:dyDescent="0.25">
      <c r="A4">
        <v>1</v>
      </c>
      <c r="B4" s="9">
        <f>IF(C4&gt;0,1,0)</f>
        <v>0</v>
      </c>
      <c r="C4" s="15">
        <v>0</v>
      </c>
      <c r="D4" s="13" t="str">
        <f>IF(C4=0,"توجد بعض البضاعة المرشحة جاري فرزها للوقوف على عددها",G4)</f>
        <v>توجد بعض البضاعة المرشحة جاري فرزها للوقوف على عددها</v>
      </c>
      <c r="G4" s="12" t="str">
        <f>"← يوجد بضاعة مرشحة بكمية "&amp;" "&amp;C4&amp;" "&amp;"كرتونة  وتم ارسال ميل بها وسوف يتم ارتجاعهم  مع توالف عافيه بالجرار"</f>
        <v>← يوجد بضاعة مرشحة بكمية  0 كرتونة  وتم ارسال ميل بها وسوف يتم ارتجاعهم  مع توالف عافيه بالجرار</v>
      </c>
      <c r="T4" t="str">
        <f>IF('[1]Rwaked DAM'!$H7="","",CONCATENATE('[1]Rwaked DAM'!$H7," - عدد ",'[1]Rwaked DAM'!$G7,"  -  متبقي على الانتهاء  ",'[1]Rwaked DAM'!$D7," شهر "))</f>
        <v xml:space="preserve">الملكة شيوي شعريه 400 جم - عدد 480  -  متبقي على الانتهاء  13 شهر </v>
      </c>
    </row>
    <row r="5" spans="1:20" x14ac:dyDescent="0.25">
      <c r="A5">
        <v>1</v>
      </c>
      <c r="C5" s="15">
        <v>35.950000000000003</v>
      </c>
      <c r="D5" s="13" t="str">
        <f>IF(C5=0,"يوجد بضاعة هالك يتم ارتجاعها على جرار الوارد",G5)</f>
        <v>← يوجد بضاعة هالك بكمية  35.95 كرتونة بيانها بمحضر الجرد ويتم الانتهاء منها مع اول وارد للتوكيل</v>
      </c>
      <c r="G5" s="12" t="str">
        <f>"← يوجد بضاعة هالك بكمية "&amp;" "&amp;C5&amp;" "&amp;"كرتونة بيانها بمحضر الجرد ويتم الانتهاء منها مع اول وارد للتوكيل"</f>
        <v>← يوجد بضاعة هالك بكمية  35.95 كرتونة بيانها بمحضر الجرد ويتم الانتهاء منها مع اول وارد للتوكيل</v>
      </c>
      <c r="T5" t="str">
        <f>IF('[1]Rwaked DAM'!$H8="","",CONCATENATE('[1]Rwaked DAM'!$H8," - عدد ",'[1]Rwaked DAM'!$G8,"  -  متبقي على الانتهاء  ",'[1]Rwaked DAM'!$D8," شهر "))</f>
        <v xml:space="preserve">الملكة شيوي إسباجتي 400 جم - عدد 2340  -  متبقي على الانتهاء  14 شهر </v>
      </c>
    </row>
    <row r="6" spans="1:20" x14ac:dyDescent="0.25">
      <c r="A6">
        <v>1</v>
      </c>
      <c r="B6" s="9">
        <f t="shared" ref="B6:B17" si="0">IF(C6&gt;0,1,0)</f>
        <v>1</v>
      </c>
      <c r="C6" s="15">
        <f>'[1]Rwaked DAM'!$B$4</f>
        <v>1781.75</v>
      </c>
      <c r="D6" s="13" t="str">
        <f>IF(C6=0,"لا يوجد رواكد بالتوكيل",G6)</f>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c r="G6" s="12" t="str">
        <f>"← يوجد رواكد بالتوكيل بكمية "&amp;" "&amp;C6&amp;" "&amp;"كرتونة وتم ارسال ميل بها لمدير الاقليم للقيام بعمل التحويلات اللازمة للاقاليم الاخرى للانتهاء منها وتم عمل بعض التحويلات البسيطة منها للاقاليم الاخرى"</f>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c r="T6" t="str">
        <f>IF('[1]Rwaked DAM'!$H9="","",CONCATENATE('[1]Rwaked DAM'!$H9," - عدد ",'[1]Rwaked DAM'!$G9,"  -  متبقي على الانتهاء  ",'[1]Rwaked DAM'!$D9," شهر "))</f>
        <v xml:space="preserve">الملكة شيوي شعريه 400 جم - عدد 1200  -  متبقي على الانتهاء  14 شهر </v>
      </c>
    </row>
    <row r="7" spans="1:20" x14ac:dyDescent="0.25">
      <c r="A7">
        <v>1</v>
      </c>
      <c r="B7" s="9">
        <f t="shared" si="0"/>
        <v>1</v>
      </c>
      <c r="C7" s="31">
        <f>C6</f>
        <v>1781.75</v>
      </c>
      <c r="D7" s="13" t="str">
        <f>_xlfn.TEXTJOIN(";",TRUE,T2:T50)</f>
        <v xml:space="preserve">مكرونة مكرونتو شنطة هلاليه 10كجم - عدد 433  -  متبقي على الانتهاء  11 شهر ;الملكة شيوي إسباجتي 400 جم - عدد 20  -  متبقي على الانتهاء  13 شهر ;الملكة شيوي شعريه 400 جم - عدد 480  -  متبقي على الانتهاء  13 شهر ;الملكة شيوي إسباجتي 400 جم - عدد 2340  -  متبقي على الانتهاء  14 شهر ;الملكة شيوي شعريه 400 جم - عدد 1200  -  متبقي على الانتهاء  14 شهر ;الملكة شيوي فرن 400 جم - عدد 7340  -  متبقي على الانتهاء  14 شهر ;الملكة شيوي لسان 400 جم - عدد 1640  -  متبقي على الانتهاء  14 شهر ;الملكة شيوي مرمرية 400 جم - عدد 1480  -  متبقي على الانتهاء  14 شهر ;الملكة شيوي هلاليه 400 جم - عدد 300  -  متبقي على الانتهاء  14 شهر ;الشمس الذهبية أبيض 1.3 كجم *6 برطمان - عدد 522  -  متبقي على الانتهاء  15 شهر ;الشمس الذهبية أبيض 1.45 كجم * 4 باكت - عدد 100  -  متبقي على الانتهاء  15 شهر ;الشمس الذهبية أصفر 1.45 كجم * 4 باكت - عدد 204  -  متبقي على الانتهاء  15 شهر ;روابى 2.5 كجم * 4 - سهلة الفتح - عدد 376  -  متبقي على الانتهاء  16 شهر ;الطاهي أبيض 1.3 كجم *6 برطمان - عدد 102  -  متبقي على الانتهاء  17 شهر ;الطاهي أصفر 1.3 كجم *6 برطمان - عدد 120  -  متبقي على الانتهاء  17 شهر ;روابى 2.5 كجم * 4 - سهلة الفتح - عدد 188  -  متبقي على الانتهاء  17 شهر ;عافية تونة قطع في زيت عباد الشمس 185جم * 48 - عدد 3588  -  متبقي على الانتهاء  19 شهر ;الملكة شيوي خواتم 400 جم - عدد 3860  -  متبقي على الانتهاء  20 شهر </v>
      </c>
      <c r="F7" s="31"/>
      <c r="G7" s="12"/>
      <c r="H7" s="32"/>
      <c r="T7" t="str">
        <f>IF('[1]Rwaked DAM'!$H10="","",CONCATENATE('[1]Rwaked DAM'!$H10," - عدد ",'[1]Rwaked DAM'!$G10,"  -  متبقي على الانتهاء  ",'[1]Rwaked DAM'!$D10," شهر "))</f>
        <v xml:space="preserve">الملكة شيوي فرن 400 جم - عدد 7340  -  متبقي على الانتهاء  14 شهر </v>
      </c>
    </row>
    <row r="8" spans="1:20" x14ac:dyDescent="0.25">
      <c r="A8">
        <v>1</v>
      </c>
      <c r="B8" s="9">
        <f t="shared" si="0"/>
        <v>0</v>
      </c>
      <c r="C8" s="31"/>
      <c r="D8" s="13" t="str">
        <f t="shared" ref="D8:D20" si="1">IF(C8=0,"",G8)</f>
        <v/>
      </c>
      <c r="F8" s="31"/>
      <c r="G8" s="12"/>
      <c r="H8" s="32"/>
      <c r="T8" t="str">
        <f>IF('[1]Rwaked DAM'!$H11="","",CONCATENATE('[1]Rwaked DAM'!$H11," - عدد ",'[1]Rwaked DAM'!$G11,"  -  متبقي على الانتهاء  ",'[1]Rwaked DAM'!$D11," شهر "))</f>
        <v xml:space="preserve">الملكة شيوي لسان 400 جم - عدد 1640  -  متبقي على الانتهاء  14 شهر </v>
      </c>
    </row>
    <row r="9" spans="1:20" x14ac:dyDescent="0.25">
      <c r="A9">
        <v>1</v>
      </c>
      <c r="B9" s="9">
        <f t="shared" si="0"/>
        <v>0</v>
      </c>
      <c r="C9" s="31"/>
      <c r="D9" s="13" t="str">
        <f t="shared" si="1"/>
        <v/>
      </c>
      <c r="F9" s="31"/>
      <c r="G9" s="12"/>
      <c r="H9" s="32"/>
      <c r="T9" t="str">
        <f>IF('[1]Rwaked DAM'!$H12="","",CONCATENATE('[1]Rwaked DAM'!$H12," - عدد ",'[1]Rwaked DAM'!$G12,"  -  متبقي على الانتهاء  ",'[1]Rwaked DAM'!$D12," شهر "))</f>
        <v xml:space="preserve">الملكة شيوي مرمرية 400 جم - عدد 1480  -  متبقي على الانتهاء  14 شهر </v>
      </c>
    </row>
    <row r="10" spans="1:20" x14ac:dyDescent="0.25">
      <c r="A10">
        <v>1</v>
      </c>
      <c r="B10" s="9">
        <f t="shared" si="0"/>
        <v>0</v>
      </c>
      <c r="C10" s="31"/>
      <c r="D10" s="13" t="str">
        <f t="shared" si="1"/>
        <v/>
      </c>
      <c r="F10" s="31"/>
      <c r="G10" s="12"/>
      <c r="H10" s="32"/>
      <c r="T10" t="str">
        <f>IF('[1]Rwaked DAM'!$H13="","",CONCATENATE('[1]Rwaked DAM'!$H13," - عدد ",'[1]Rwaked DAM'!$G13,"  -  متبقي على الانتهاء  ",'[1]Rwaked DAM'!$D13," شهر "))</f>
        <v xml:space="preserve">الملكة شيوي هلاليه 400 جم - عدد 300  -  متبقي على الانتهاء  14 شهر </v>
      </c>
    </row>
    <row r="11" spans="1:20" x14ac:dyDescent="0.25">
      <c r="A11">
        <v>1</v>
      </c>
      <c r="B11" s="9">
        <f t="shared" si="0"/>
        <v>0</v>
      </c>
      <c r="C11" s="31"/>
      <c r="D11" s="13" t="str">
        <f t="shared" si="1"/>
        <v/>
      </c>
      <c r="F11" s="31"/>
      <c r="G11" s="12"/>
      <c r="H11" s="32"/>
      <c r="T11" t="str">
        <f>IF('[1]Rwaked DAM'!$H14="","",CONCATENATE('[1]Rwaked DAM'!$H14," - عدد ",'[1]Rwaked DAM'!$G14,"  -  متبقي على الانتهاء  ",'[1]Rwaked DAM'!$D14," شهر "))</f>
        <v xml:space="preserve">الشمس الذهبية أبيض 1.3 كجم *6 برطمان - عدد 522  -  متبقي على الانتهاء  15 شهر </v>
      </c>
    </row>
    <row r="12" spans="1:20" x14ac:dyDescent="0.25">
      <c r="A12">
        <v>1</v>
      </c>
      <c r="B12" s="9">
        <f t="shared" si="0"/>
        <v>0</v>
      </c>
      <c r="C12" s="15"/>
      <c r="D12" s="13" t="str">
        <f t="shared" si="1"/>
        <v/>
      </c>
      <c r="G12" s="12"/>
      <c r="T12" t="str">
        <f>IF('[1]Rwaked DAM'!$H15="","",CONCATENATE('[1]Rwaked DAM'!$H15," - عدد ",'[1]Rwaked DAM'!$G15,"  -  متبقي على الانتهاء  ",'[1]Rwaked DAM'!$D15," شهر "))</f>
        <v xml:space="preserve">الشمس الذهبية أبيض 1.45 كجم * 4 باكت - عدد 100  -  متبقي على الانتهاء  15 شهر </v>
      </c>
    </row>
    <row r="13" spans="1:20" x14ac:dyDescent="0.25">
      <c r="A13">
        <v>1</v>
      </c>
      <c r="B13" s="9">
        <f t="shared" si="0"/>
        <v>0</v>
      </c>
      <c r="C13" s="15"/>
      <c r="D13" s="13" t="str">
        <f t="shared" si="1"/>
        <v/>
      </c>
      <c r="G13" s="12"/>
      <c r="T13" t="str">
        <f>IF('[1]Rwaked DAM'!$H16="","",CONCATENATE('[1]Rwaked DAM'!$H16," - عدد ",'[1]Rwaked DAM'!$G16,"  -  متبقي على الانتهاء  ",'[1]Rwaked DAM'!$D16," شهر "))</f>
        <v xml:space="preserve">الشمس الذهبية أصفر 1.45 كجم * 4 باكت - عدد 204  -  متبقي على الانتهاء  15 شهر </v>
      </c>
    </row>
    <row r="14" spans="1:20" x14ac:dyDescent="0.25">
      <c r="A14">
        <v>1</v>
      </c>
      <c r="B14" s="9">
        <f t="shared" si="0"/>
        <v>1</v>
      </c>
      <c r="C14" s="15">
        <f>_xlfn.XLOOKUP("Damietta - Khaled Ismaiel -  Al-Fath",[2]Summary!$B$34:$B$40,[2]Summary!$D$34:$D$40)</f>
        <v>1138</v>
      </c>
      <c r="D14" s="13" t="str">
        <f t="shared" si="1"/>
        <v xml:space="preserve">← يوجد أمانات عملاء بكمية  1138 كرتونة بيانها بمحضر الجرد يتم ارسال ميل يومي بها </v>
      </c>
      <c r="G14" t="str">
        <f>"← يوجد أمانات عملاء بكمية "&amp;" "&amp;C14&amp;" "&amp;"كرتونة بيانها بمحضر الجرد يتم ارسال ميل يومي بها "</f>
        <v xml:space="preserve">← يوجد أمانات عملاء بكمية  1138 كرتونة بيانها بمحضر الجرد يتم ارسال ميل يومي بها </v>
      </c>
      <c r="T14" t="str">
        <f>IF('[1]Rwaked DAM'!$H17="","",CONCATENATE('[1]Rwaked DAM'!$H17," - عدد ",'[1]Rwaked DAM'!$G17,"  -  متبقي على الانتهاء  ",'[1]Rwaked DAM'!$D17," شهر "))</f>
        <v xml:space="preserve">روابى 2.5 كجم * 4 - سهلة الفتح - عدد 376  -  متبقي على الانتهاء  16 شهر </v>
      </c>
    </row>
    <row r="15" spans="1:20" x14ac:dyDescent="0.25">
      <c r="A15">
        <v>1</v>
      </c>
      <c r="B15" s="9">
        <f t="shared" si="0"/>
        <v>0</v>
      </c>
      <c r="C15" s="15">
        <v>0</v>
      </c>
      <c r="D15" s="13" t="str">
        <f t="shared" si="1"/>
        <v/>
      </c>
      <c r="G15" t="str">
        <f>"← يوجد مهرجانات عملاء بكمية "&amp;" "&amp;C15&amp;" "&amp;"كرتونة بيانها بمحضر الجرد لم يتم الانتهاء من تسويتها  "</f>
        <v xml:space="preserve">← يوجد مهرجانات عملاء بكمية  0 كرتونة بيانها بمحضر الجرد لم يتم الانتهاء من تسويتها  </v>
      </c>
      <c r="T15" t="str">
        <f>IF('[1]Rwaked DAM'!$H18="","",CONCATENATE('[1]Rwaked DAM'!$H18," - عدد ",'[1]Rwaked DAM'!$G18,"  -  متبقي على الانتهاء  ",'[1]Rwaked DAM'!$D18," شهر "))</f>
        <v xml:space="preserve">الطاهي أبيض 1.3 كجم *6 برطمان - عدد 102  -  متبقي على الانتهاء  17 شهر </v>
      </c>
    </row>
    <row r="16" spans="1:20" x14ac:dyDescent="0.25">
      <c r="A16">
        <v>1</v>
      </c>
      <c r="B16" s="9">
        <f t="shared" si="0"/>
        <v>0</v>
      </c>
      <c r="C16" s="15"/>
      <c r="D16" s="13" t="str">
        <f t="shared" si="1"/>
        <v/>
      </c>
      <c r="G16" t="str">
        <f>"← يوجد مهرجانات عملاء بكمية "&amp;" "&amp;C16&amp;" "&amp;"كرتونة بيانها بمحضر الجرد لم يتم الانتهاء من تسويتها  "</f>
        <v xml:space="preserve">← يوجد مهرجانات عملاء بكمية   كرتونة بيانها بمحضر الجرد لم يتم الانتهاء من تسويتها  </v>
      </c>
      <c r="T16" t="str">
        <f>IF('[1]Rwaked DAM'!$H19="","",CONCATENATE('[1]Rwaked DAM'!$H19," - عدد ",'[1]Rwaked DAM'!$G19,"  -  متبقي على الانتهاء  ",'[1]Rwaked DAM'!$D19," شهر "))</f>
        <v xml:space="preserve">الطاهي أصفر 1.3 كجم *6 برطمان - عدد 120  -  متبقي على الانتهاء  17 شهر </v>
      </c>
    </row>
    <row r="17" spans="1:20" x14ac:dyDescent="0.25">
      <c r="A17">
        <v>1</v>
      </c>
      <c r="B17" s="9">
        <f t="shared" si="0"/>
        <v>0</v>
      </c>
      <c r="C17" s="15"/>
      <c r="D17" s="13" t="str">
        <f t="shared" si="1"/>
        <v/>
      </c>
      <c r="T17" t="str">
        <f>IF('[1]Rwaked DAM'!$H20="","",CONCATENATE('[1]Rwaked DAM'!$H20," - عدد ",'[1]Rwaked DAM'!$G20,"  -  متبقي على الانتهاء  ",'[1]Rwaked DAM'!$D20," شهر "))</f>
        <v xml:space="preserve">روابى 2.5 كجم * 4 - سهلة الفتح - عدد 188  -  متبقي على الانتهاء  17 شهر </v>
      </c>
    </row>
    <row r="18" spans="1:20" x14ac:dyDescent="0.25">
      <c r="A18">
        <v>1</v>
      </c>
      <c r="D18" s="13" t="str">
        <f t="shared" si="1"/>
        <v/>
      </c>
      <c r="T18" t="str">
        <f>IF('[1]Rwaked DAM'!$H21="","",CONCATENATE('[1]Rwaked DAM'!$H21," - عدد ",'[1]Rwaked DAM'!$G21,"  -  متبقي على الانتهاء  ",'[1]Rwaked DAM'!$D21," شهر "))</f>
        <v xml:space="preserve">عافية تونة قطع في زيت عباد الشمس 185جم * 48 - عدد 3588  -  متبقي على الانتهاء  19 شهر </v>
      </c>
    </row>
    <row r="19" spans="1:20" x14ac:dyDescent="0.25">
      <c r="A19">
        <v>1</v>
      </c>
      <c r="D19" s="13" t="str">
        <f t="shared" si="1"/>
        <v/>
      </c>
      <c r="T19" t="str">
        <f>IF('[1]Rwaked DAM'!$H22="","",CONCATENATE('[1]Rwaked DAM'!$H22," - عدد ",'[1]Rwaked DAM'!$G22,"  -  متبقي على الانتهاء  ",'[1]Rwaked DAM'!$D22," شهر "))</f>
        <v xml:space="preserve">الملكة شيوي خواتم 400 جم - عدد 3860  -  متبقي على الانتهاء  20 شهر </v>
      </c>
    </row>
    <row r="20" spans="1:20" x14ac:dyDescent="0.25">
      <c r="A20">
        <v>1</v>
      </c>
      <c r="D20" s="13" t="str">
        <f t="shared" si="1"/>
        <v/>
      </c>
      <c r="T20" t="str">
        <f>IF('[1]Rwaked DAM'!$H23="","",CONCATENATE('[1]Rwaked DAM'!$H23," - عدد ",'[1]Rwaked DAM'!$G23,"  -  متبقي على الانتهاء  ",'[1]Rwaked DAM'!$D23," شهر "))</f>
        <v/>
      </c>
    </row>
    <row r="21" spans="1:20" ht="20.25" x14ac:dyDescent="0.25">
      <c r="A21">
        <v>1</v>
      </c>
      <c r="B21" s="9">
        <v>1</v>
      </c>
      <c r="D21" s="11" t="s">
        <v>5</v>
      </c>
      <c r="T21" t="str">
        <f>IF('[1]Rwaked DAM'!$H24="","",CONCATENATE('[1]Rwaked DAM'!$H24," - عدد ",'[1]Rwaked DAM'!$G24,"  -  متبقي على الانتهاء  ",'[1]Rwaked DAM'!$D24," شهر "))</f>
        <v/>
      </c>
    </row>
    <row r="22" spans="1:20" ht="16.5" x14ac:dyDescent="0.25">
      <c r="A22">
        <v>1</v>
      </c>
      <c r="B22" s="9">
        <v>1</v>
      </c>
      <c r="D22" s="14" t="s">
        <v>6</v>
      </c>
      <c r="T22" t="str">
        <f>IF('[1]Rwaked DAM'!$H25="","",CONCATENATE('[1]Rwaked DAM'!$H25," - عدد ",'[1]Rwaked DAM'!$G25,"  -  متبقي على الانتهاء  ",'[1]Rwaked DAM'!$D25," شهر "))</f>
        <v/>
      </c>
    </row>
    <row r="23" spans="1:20" x14ac:dyDescent="0.25">
      <c r="A23">
        <v>1</v>
      </c>
      <c r="B23" s="9">
        <f t="shared" ref="B23:B31" si="2">IF(C23&gt;0,1,0)</f>
        <v>1</v>
      </c>
      <c r="C23" s="15" t="s">
        <v>117</v>
      </c>
      <c r="D23" s="13" t="str">
        <f t="shared" ref="D23:D33" si="3">IF(C23=0,"",G23)</f>
        <v xml:space="preserve">← توجد فواتير بدون بعد مالي عافيه بمبلغ  7461.5  وملكة مبلغ 19229.5   لم يتم الانتهاء من حله حتى الان ويتم الارسال بالمشكلة بصفة دورية إلى الادارة </v>
      </c>
      <c r="E23" t="s">
        <v>8</v>
      </c>
      <c r="F23" s="9" t="s">
        <v>9</v>
      </c>
      <c r="G23" s="16" t="str">
        <f>E23&amp;" "&amp;C23&amp;" "&amp;F23</f>
        <v xml:space="preserve">← توجد فواتير بدون بعد مالي عافيه بمبلغ  7461.5  وملكة مبلغ 19229.5   لم يتم الانتهاء من حله حتى الان ويتم الارسال بالمشكلة بصفة دورية إلى الادارة </v>
      </c>
      <c r="T23" t="str">
        <f>IF('[1]Rwaked DAM'!$H26="","",CONCATENATE('[1]Rwaked DAM'!$H26," - عدد ",'[1]Rwaked DAM'!$G26,"  -  متبقي على الانتهاء  ",'[1]Rwaked DAM'!$D26," شهر "))</f>
        <v/>
      </c>
    </row>
    <row r="24" spans="1:20" x14ac:dyDescent="0.25">
      <c r="A24">
        <v>1</v>
      </c>
      <c r="B24" s="9">
        <f t="shared" si="2"/>
        <v>1</v>
      </c>
      <c r="C24" s="15" t="s">
        <v>118</v>
      </c>
      <c r="D24" s="13" t="str">
        <f t="shared" si="3"/>
        <v xml:space="preserve">←  يوجد انحراف استلام نقدية ملكة بمبلغ   840 ج ج </v>
      </c>
      <c r="E24" t="s">
        <v>119</v>
      </c>
      <c r="F24" s="9" t="s">
        <v>120</v>
      </c>
      <c r="G24" s="16" t="str">
        <f>E24&amp;" "&amp;TEXT(C24,"0,000,000.00"&amp;" "&amp;F24)</f>
        <v xml:space="preserve">←  يوجد انحراف استلام نقدية ملكة بمبلغ   840 ج ج </v>
      </c>
      <c r="T24" t="str">
        <f>IF('[1]Rwaked DAM'!$H27="","",CONCATENATE('[1]Rwaked DAM'!$H27," - عدد ",'[1]Rwaked DAM'!$G27,"  -  متبقي على الانتهاء  ",'[1]Rwaked DAM'!$D27," شهر "))</f>
        <v/>
      </c>
    </row>
    <row r="25" spans="1:20" x14ac:dyDescent="0.25">
      <c r="A25">
        <v>1</v>
      </c>
      <c r="B25" s="9">
        <f t="shared" si="2"/>
        <v>0</v>
      </c>
      <c r="C25" s="15">
        <v>0</v>
      </c>
      <c r="D25" s="13" t="str">
        <f t="shared" si="3"/>
        <v/>
      </c>
      <c r="E25" t="s">
        <v>12</v>
      </c>
      <c r="F25" s="9" t="s">
        <v>121</v>
      </c>
      <c r="G25" s="16" t="str">
        <f>E25&amp;" "&amp;C25&amp;" "&amp;F25</f>
        <v>← يوجد مبلغ  0 ضريبة الدخل زيادة بالخزنه لم يتم الانتهاء من دفعه من خلال الموزع في انتظار مطالبة المحاسب القانوني للدفع وتم ارسال ميل بذلك</v>
      </c>
      <c r="T25" t="str">
        <f>IF('[1]Rwaked DAM'!$H28="","",CONCATENATE('[1]Rwaked DAM'!$H28," - عدد ",'[1]Rwaked DAM'!$G28,"  -  متبقي على الانتهاء  ",'[1]Rwaked DAM'!$D28," شهر "))</f>
        <v/>
      </c>
    </row>
    <row r="26" spans="1:20" x14ac:dyDescent="0.25">
      <c r="A26">
        <v>1</v>
      </c>
      <c r="B26" s="9">
        <f t="shared" si="2"/>
        <v>1</v>
      </c>
      <c r="C26" s="15">
        <v>67000</v>
      </c>
      <c r="D26" s="13" t="str">
        <f t="shared" si="3"/>
        <v>← يوجد مبلغ  67000  مصاريف سولار وزيت لم يتم ترحيلها حتى الان</v>
      </c>
      <c r="E26" t="s">
        <v>12</v>
      </c>
      <c r="F26" s="9" t="s">
        <v>184</v>
      </c>
      <c r="G26" s="16" t="str">
        <f>E26&amp;" "&amp;C26&amp;" "&amp;F26</f>
        <v>← يوجد مبلغ  67000  مصاريف سولار وزيت لم يتم ترحيلها حتى الان</v>
      </c>
      <c r="T26" t="str">
        <f>IF('[1]Rwaked DAM'!$H29="","",CONCATENATE('[1]Rwaked DAM'!$H29," - عدد ",'[1]Rwaked DAM'!$G29,"  -  متبقي على الانتهاء  ",'[1]Rwaked DAM'!$D29," شهر "))</f>
        <v/>
      </c>
    </row>
    <row r="27" spans="1:20" x14ac:dyDescent="0.25">
      <c r="A27">
        <v>1</v>
      </c>
      <c r="B27" s="9">
        <f t="shared" si="2"/>
        <v>0</v>
      </c>
      <c r="C27" s="15">
        <v>0</v>
      </c>
      <c r="D27" s="13" t="str">
        <f t="shared" si="3"/>
        <v/>
      </c>
      <c r="E27" t="s">
        <v>12</v>
      </c>
      <c r="F27" s="9" t="s">
        <v>155</v>
      </c>
      <c r="G27" s="16" t="str">
        <f>E27&amp;" "&amp;C27&amp;" "&amp;F27</f>
        <v xml:space="preserve">← يوجد مبلغ  0 رواتب </v>
      </c>
      <c r="T27" t="str">
        <f>IF('[1]Rwaked DAM'!$H30="","",CONCATENATE('[1]Rwaked DAM'!$H30," - عدد ",'[1]Rwaked DAM'!$G30,"  -  متبقي على الانتهاء  ",'[1]Rwaked DAM'!$D30," شهر "))</f>
        <v/>
      </c>
    </row>
    <row r="28" spans="1:20" x14ac:dyDescent="0.25">
      <c r="A28">
        <v>1</v>
      </c>
      <c r="B28" s="9">
        <f t="shared" si="2"/>
        <v>0</v>
      </c>
      <c r="C28" s="15"/>
      <c r="D28" s="13" t="str">
        <f t="shared" si="3"/>
        <v/>
      </c>
      <c r="E28" t="s">
        <v>12</v>
      </c>
      <c r="F28" s="9" t="s">
        <v>122</v>
      </c>
      <c r="G28" s="39" t="str">
        <f>E28&amp;" "&amp;C28&amp;" "&amp;F28</f>
        <v>← يوجد مبلغ   عبارة تأمينات اجتماعية عن شهر نوفمبر تم صرفها على البرنامج ولم يتم تسليمها للموزع بعد</v>
      </c>
      <c r="T28" t="str">
        <f>IF('[1]Rwaked DAM'!$H31="","",CONCATENATE('[1]Rwaked DAM'!$H31," - عدد ",'[1]Rwaked DAM'!$G31,"  -  متبقي على الانتهاء  ",'[1]Rwaked DAM'!$D31," شهر "))</f>
        <v/>
      </c>
    </row>
    <row r="29" spans="1:20" x14ac:dyDescent="0.25">
      <c r="A29">
        <v>1</v>
      </c>
      <c r="B29" s="9">
        <f t="shared" si="2"/>
        <v>0</v>
      </c>
      <c r="C29" s="15"/>
      <c r="D29" s="13" t="str">
        <f t="shared" si="3"/>
        <v/>
      </c>
      <c r="E29" t="s">
        <v>12</v>
      </c>
      <c r="G29" s="39" t="str">
        <f>E29&amp;" "&amp;C29&amp;" "&amp;F29</f>
        <v xml:space="preserve">← يوجد مبلغ   </v>
      </c>
      <c r="T29" t="str">
        <f>IF('[1]Rwaked DAM'!$H32="","",CONCATENATE('[1]Rwaked DAM'!$H32," - عدد ",'[1]Rwaked DAM'!$G32,"  -  متبقي على الانتهاء  ",'[1]Rwaked DAM'!$D32," شهر "))</f>
        <v/>
      </c>
    </row>
    <row r="30" spans="1:20" x14ac:dyDescent="0.25">
      <c r="A30">
        <v>1</v>
      </c>
      <c r="B30" s="9">
        <v>1</v>
      </c>
      <c r="C30" s="15"/>
      <c r="D30" s="13" t="str">
        <f t="shared" si="3"/>
        <v/>
      </c>
      <c r="G30" s="16" t="s">
        <v>51</v>
      </c>
      <c r="T30" t="str">
        <f>IF('[1]Rwaked DAM'!$H33="","",CONCATENATE('[1]Rwaked DAM'!$H33," - عدد ",'[1]Rwaked DAM'!$G33,"  -  متبقي على الانتهاء  ",'[1]Rwaked DAM'!$D33," شهر "))</f>
        <v/>
      </c>
    </row>
    <row r="31" spans="1:20" x14ac:dyDescent="0.25">
      <c r="A31">
        <v>1</v>
      </c>
      <c r="B31" s="9">
        <f t="shared" si="2"/>
        <v>0</v>
      </c>
      <c r="D31" s="13" t="str">
        <f t="shared" si="3"/>
        <v/>
      </c>
      <c r="E31" t="s">
        <v>12</v>
      </c>
      <c r="F31" s="9" t="s">
        <v>123</v>
      </c>
      <c r="G31" s="16" t="str">
        <f>E31&amp;" "&amp;C31&amp;" "&amp;F31</f>
        <v>← يوجد مبلغ   فواتير تجزئة بها انحراف تم ايداعها بالخزنه ولم نستطع سدادها لوجود انحراف بها وتم جردها مع الخزنه</v>
      </c>
      <c r="T31" t="str">
        <f>IF('[1]Rwaked DAM'!$H34="","",CONCATENATE('[1]Rwaked DAM'!$H34," - عدد ",'[1]Rwaked DAM'!$G34,"  -  متبقي على الانتهاء  ",'[1]Rwaked DAM'!$D34," شهر "))</f>
        <v/>
      </c>
    </row>
    <row r="32" spans="1:20" x14ac:dyDescent="0.25">
      <c r="A32">
        <v>1</v>
      </c>
      <c r="D32" s="13" t="str">
        <f t="shared" si="3"/>
        <v/>
      </c>
      <c r="G32" s="13" t="s">
        <v>137</v>
      </c>
      <c r="T32" t="str">
        <f>IF('[1]Rwaked DAM'!$H35="","",CONCATENATE('[1]Rwaked DAM'!$H35," - عدد ",'[1]Rwaked DAM'!$G35,"  -  متبقي على الانتهاء  ",'[1]Rwaked DAM'!$D35," شهر "))</f>
        <v/>
      </c>
    </row>
    <row r="33" spans="1:20" x14ac:dyDescent="0.25">
      <c r="A33">
        <v>1</v>
      </c>
      <c r="B33" s="9">
        <v>1</v>
      </c>
      <c r="D33" s="13" t="str">
        <f t="shared" si="3"/>
        <v/>
      </c>
      <c r="G33" s="13"/>
      <c r="T33" t="str">
        <f>IF('[1]Rwaked DAM'!$H36="","",CONCATENATE('[1]Rwaked DAM'!$H36," - عدد ",'[1]Rwaked DAM'!$G36,"  -  متبقي على الانتهاء  ",'[1]Rwaked DAM'!$D36," شهر "))</f>
        <v/>
      </c>
    </row>
    <row r="34" spans="1:20" ht="20.25" x14ac:dyDescent="0.25">
      <c r="A34">
        <v>1</v>
      </c>
      <c r="B34" s="9">
        <v>1</v>
      </c>
      <c r="C34" s="9">
        <v>1</v>
      </c>
      <c r="D34" s="17" t="s">
        <v>17</v>
      </c>
      <c r="E34" s="44" t="s">
        <v>90</v>
      </c>
      <c r="T34" t="str">
        <f>IF('[1]Rwaked DAM'!$H37="","",CONCATENATE('[1]Rwaked DAM'!$H37," - عدد ",'[1]Rwaked DAM'!$G37,"  -  متبقي على الانتهاء  ",'[1]Rwaked DAM'!$D37," شهر "))</f>
        <v/>
      </c>
    </row>
    <row r="35" spans="1:20" ht="16.5" x14ac:dyDescent="0.25">
      <c r="A35">
        <v>1</v>
      </c>
      <c r="B35" s="9">
        <v>1</v>
      </c>
      <c r="C35" s="9">
        <v>1</v>
      </c>
      <c r="D35" s="18" t="s">
        <v>19</v>
      </c>
      <c r="T35" t="str">
        <f>IF('[1]Rwaked DAM'!$H38="","",CONCATENATE('[1]Rwaked DAM'!$H38," - عدد ",'[1]Rwaked DAM'!$G38,"  -  متبقي على الانتهاء  ",'[1]Rwaked DAM'!$D38," شهر "))</f>
        <v/>
      </c>
    </row>
    <row r="36" spans="1:20" x14ac:dyDescent="0.25">
      <c r="A36">
        <v>1</v>
      </c>
      <c r="B36" s="9">
        <v>1</v>
      </c>
      <c r="C36" s="9">
        <v>1</v>
      </c>
      <c r="D36" s="12" t="str">
        <f>IF(F36&gt;0,M36,"")</f>
        <v>إجمالي مديونية التوكيل مبلغ 17,751,236.59 ج</v>
      </c>
      <c r="E36" t="s">
        <v>20</v>
      </c>
      <c r="F36" s="9">
        <f>SUMIF(M.C!B:B,E34,M.C!J:J)</f>
        <v>17751236.59</v>
      </c>
      <c r="G36" s="9">
        <v>0</v>
      </c>
      <c r="H36" s="10">
        <v>0</v>
      </c>
      <c r="M36" s="13" t="str">
        <f>E36&amp;" "&amp;TEXT(F36,"0,000,000.00")&amp;" ج"</f>
        <v>إجمالي مديونية التوكيل مبلغ 17,751,236.59 ج</v>
      </c>
      <c r="T36" t="str">
        <f>IF('[1]Rwaked DAM'!$H39="","",CONCATENATE('[1]Rwaked DAM'!$H39," - عدد ",'[1]Rwaked DAM'!$G39,"  -  متبقي على الانتهاء  ",'[1]Rwaked DAM'!$D39," شهر "))</f>
        <v/>
      </c>
    </row>
    <row r="37" spans="1:20" x14ac:dyDescent="0.25">
      <c r="A37">
        <v>1</v>
      </c>
      <c r="B37" s="9">
        <v>1</v>
      </c>
      <c r="D37" s="12" t="str">
        <f>IFERROR(E37&amp;" "&amp;TEXT(F37,"00%"),"")</f>
        <v/>
      </c>
      <c r="E37" t="s">
        <v>21</v>
      </c>
      <c r="F37" s="20" t="e">
        <f>_xlfn.XLOOKUP(E34,M.C!Q:Q,M.C!AF:AF)</f>
        <v>#N/A</v>
      </c>
      <c r="G37" s="21" t="e">
        <f>_xlfn.XLOOKUP(E34,M.C!Q:Q,M.C!AF:AF)</f>
        <v>#N/A</v>
      </c>
      <c r="M37" s="19" t="e">
        <f>E37&amp;" "&amp;TEXT(F37,"00%")</f>
        <v>#N/A</v>
      </c>
      <c r="T37" t="str">
        <f>IF('[1]Rwaked DAM'!$H40="","",CONCATENATE('[1]Rwaked DAM'!$H40," - عدد ",'[1]Rwaked DAM'!$G40,"  -  متبقي على الانتهاء  ",'[1]Rwaked DAM'!$D40," شهر "))</f>
        <v/>
      </c>
    </row>
    <row r="38" spans="1:20" x14ac:dyDescent="0.25">
      <c r="A38">
        <v>1</v>
      </c>
      <c r="B38" s="9">
        <v>1</v>
      </c>
      <c r="D38" s="12" t="str">
        <f>IFERROR(E38&amp;" "&amp;TEXT(F38,"00%"),"")</f>
        <v/>
      </c>
      <c r="E38" s="12" t="s">
        <v>139</v>
      </c>
      <c r="F38" s="20" t="e">
        <f>_xlfn.XLOOKUP(E34,M.C!Q:Q,M.C!AG:AG)</f>
        <v>#N/A</v>
      </c>
      <c r="G38" s="21" t="e">
        <f>_xlfn.XLOOKUP(E34,M.C!Q:Q,M.C!AG:AG)</f>
        <v>#N/A</v>
      </c>
      <c r="M38" s="19" t="e">
        <f>E38&amp;" "&amp;TEXT(F38,"00%")</f>
        <v>#N/A</v>
      </c>
      <c r="T38" t="str">
        <f>IF('[1]Rwaked DAM'!$H41="","",CONCATENATE('[1]Rwaked DAM'!$H41," - عدد ",'[1]Rwaked DAM'!$G41,"  -  متبقي على الانتهاء  ",'[1]Rwaked DAM'!$D41," شهر "))</f>
        <v/>
      </c>
    </row>
    <row r="39" spans="1:20" x14ac:dyDescent="0.25">
      <c r="A39">
        <v>1</v>
      </c>
      <c r="B39" s="9">
        <f>IF(F39&gt;0,1,0)</f>
        <v>1</v>
      </c>
      <c r="C39" s="9">
        <v>1</v>
      </c>
      <c r="D39" s="12" t="str">
        <f t="shared" ref="D39:D54" si="4">IF(F39&gt;0,M39,"")</f>
        <v>← متاخرات المديونية     مبلغ  9,650,085.92 ج بنسبة 54%</v>
      </c>
      <c r="E39" s="12" t="s">
        <v>140</v>
      </c>
      <c r="F39" s="9">
        <f>F36-SUMIFS(M.C!J:J,M.C!B:B,E34,M.C!L:L,"Not Due")</f>
        <v>9650085.9199999981</v>
      </c>
      <c r="G39" s="9" t="s">
        <v>24</v>
      </c>
      <c r="H39" s="10">
        <f>F39/$F$36</f>
        <v>0.54362893937407653</v>
      </c>
      <c r="M39" s="19" t="str">
        <f t="shared" ref="M39:M54" si="5">E39&amp;" "&amp;TEXT(F39,"0,000,000.00")&amp;" ج" &amp;" "&amp;G39&amp;" "&amp;TEXT(H39,"0%")</f>
        <v>← متاخرات المديونية     مبلغ  9,650,085.92 ج بنسبة 54%</v>
      </c>
      <c r="T39" t="str">
        <f>IF('[1]Rwaked DAM'!$H42="","",CONCATENATE('[1]Rwaked DAM'!$H42," - عدد ",'[1]Rwaked DAM'!$G42,"  -  متبقي على الانتهاء  ",'[1]Rwaked DAM'!$D42," شهر "))</f>
        <v/>
      </c>
    </row>
    <row r="40" spans="1:20" x14ac:dyDescent="0.25">
      <c r="A40">
        <v>1</v>
      </c>
      <c r="B40" s="9">
        <f t="shared" ref="B40:B57" si="6">IF(F40&gt;0,1,0)</f>
        <v>0</v>
      </c>
      <c r="C40" s="9">
        <v>1</v>
      </c>
      <c r="D40" s="12" t="str">
        <f t="shared" si="4"/>
        <v/>
      </c>
      <c r="E40" s="12" t="str">
        <f>"←"&amp;" "&amp;K40 &amp; "     "&amp; "مبلغ "</f>
        <v xml:space="preserve">← &gt; 120 Days     مبلغ </v>
      </c>
      <c r="F40" s="9">
        <f>L40</f>
        <v>0</v>
      </c>
      <c r="G40" s="9" t="s">
        <v>24</v>
      </c>
      <c r="H40" s="10">
        <f t="shared" ref="H40:H46" si="7">F40/$F$36</f>
        <v>0</v>
      </c>
      <c r="J40" t="str">
        <f>$E$34&amp;K40</f>
        <v>Damietta - Khaled Ismaiel Al-Fath&gt; 120 Days</v>
      </c>
      <c r="K40" s="22" t="s">
        <v>173</v>
      </c>
      <c r="L40" s="9">
        <f>_xlfn.XLOOKUP(J40,مديونية!D:D,مديونية!C:C,0)</f>
        <v>0</v>
      </c>
      <c r="M40" s="19" t="str">
        <f t="shared" si="5"/>
        <v>← &gt; 120 Days     مبلغ  0,000,000.00 ج بنسبة 0%</v>
      </c>
      <c r="T40" t="str">
        <f>IF('[1]Rwaked DAM'!$H43="","",CONCATENATE('[1]Rwaked DAM'!$H43," - عدد ",'[1]Rwaked DAM'!$G43,"  -  متبقي على الانتهاء  ",'[1]Rwaked DAM'!$D43," شهر "))</f>
        <v/>
      </c>
    </row>
    <row r="41" spans="1:20" x14ac:dyDescent="0.25">
      <c r="A41">
        <v>1</v>
      </c>
      <c r="B41" s="9">
        <f t="shared" si="6"/>
        <v>0</v>
      </c>
      <c r="C41" s="9">
        <v>1</v>
      </c>
      <c r="D41" s="12" t="str">
        <f t="shared" si="4"/>
        <v/>
      </c>
      <c r="E41" s="12" t="str">
        <f>"←"&amp;" "&amp;K41 &amp;"     "&amp; "مبلغ "</f>
        <v xml:space="preserve">← 61 : 120 Days     مبلغ </v>
      </c>
      <c r="F41" s="9">
        <f t="shared" ref="F41:F45" si="8">L41</f>
        <v>0</v>
      </c>
      <c r="G41" s="9" t="s">
        <v>24</v>
      </c>
      <c r="H41" s="10">
        <f t="shared" si="7"/>
        <v>0</v>
      </c>
      <c r="J41" t="str">
        <f t="shared" ref="J41:J54" si="9">$E$34&amp;K41</f>
        <v>Damietta - Khaled Ismaiel Al-Fath61 : 120 Days</v>
      </c>
      <c r="K41" s="22" t="s">
        <v>172</v>
      </c>
      <c r="L41" s="9">
        <f>_xlfn.XLOOKUP(J41,مديونية!D:D,مديونية!C:C,0)</f>
        <v>0</v>
      </c>
      <c r="M41" s="19" t="str">
        <f t="shared" si="5"/>
        <v>← 61 : 120 Days     مبلغ  0,000,000.00 ج بنسبة 0%</v>
      </c>
      <c r="T41" t="str">
        <f>IF('[1]Rwaked DAM'!$H44="","",CONCATENATE('[1]Rwaked DAM'!$H44," - عدد ",'[1]Rwaked DAM'!$G44,"  -  متبقي على الانتهاء  ",'[1]Rwaked DAM'!$D44," شهر "))</f>
        <v/>
      </c>
    </row>
    <row r="42" spans="1:20" x14ac:dyDescent="0.25">
      <c r="A42">
        <v>1</v>
      </c>
      <c r="B42" s="9">
        <f t="shared" si="6"/>
        <v>1</v>
      </c>
      <c r="C42" s="9">
        <v>1</v>
      </c>
      <c r="D42" s="12" t="str">
        <f t="shared" si="4"/>
        <v>← 31 : 60 Days     مبلغ  3,101,589.64 ج بنسبة 17%</v>
      </c>
      <c r="E42" s="12" t="str">
        <f t="shared" ref="E42:E46" si="10">"←"&amp;" "&amp;K42 &amp;"     "&amp; "مبلغ "</f>
        <v xml:space="preserve">← 31 : 60 Days     مبلغ </v>
      </c>
      <c r="F42" s="9">
        <f t="shared" si="8"/>
        <v>3101589.6400000006</v>
      </c>
      <c r="G42" s="9" t="s">
        <v>24</v>
      </c>
      <c r="H42" s="10">
        <f t="shared" si="7"/>
        <v>0.17472527191414108</v>
      </c>
      <c r="J42" t="str">
        <f t="shared" si="9"/>
        <v>Damietta - Khaled Ismaiel Al-Fath31 : 60 Days</v>
      </c>
      <c r="K42" s="22" t="s">
        <v>170</v>
      </c>
      <c r="L42" s="9">
        <f>_xlfn.XLOOKUP(J42,مديونية!D:D,مديونية!C:C,0)</f>
        <v>3101589.6400000006</v>
      </c>
      <c r="M42" s="19" t="str">
        <f t="shared" si="5"/>
        <v>← 31 : 60 Days     مبلغ  3,101,589.64 ج بنسبة 17%</v>
      </c>
      <c r="T42" t="str">
        <f>IF('[1]Rwaked DAM'!$H45="","",CONCATENATE('[1]Rwaked DAM'!$H45," - عدد ",'[1]Rwaked DAM'!$G45,"  -  متبقي على الانتهاء  ",'[1]Rwaked DAM'!$D45," شهر "))</f>
        <v/>
      </c>
    </row>
    <row r="43" spans="1:20" x14ac:dyDescent="0.25">
      <c r="A43">
        <v>1</v>
      </c>
      <c r="B43" s="9">
        <f t="shared" si="6"/>
        <v>1</v>
      </c>
      <c r="C43" s="9">
        <v>1</v>
      </c>
      <c r="D43" s="12" t="str">
        <f t="shared" si="4"/>
        <v>← 21 : 30 Days     مبلغ  2,642,300.76 ج بنسبة 15%</v>
      </c>
      <c r="E43" s="12" t="str">
        <f t="shared" si="10"/>
        <v xml:space="preserve">← 21 : 30 Days     مبلغ </v>
      </c>
      <c r="F43" s="9">
        <f t="shared" si="8"/>
        <v>2642300.7600000002</v>
      </c>
      <c r="G43" s="9" t="s">
        <v>24</v>
      </c>
      <c r="H43" s="10">
        <f t="shared" si="7"/>
        <v>0.14885164459407391</v>
      </c>
      <c r="J43" t="str">
        <f t="shared" si="9"/>
        <v>Damietta - Khaled Ismaiel Al-Fath21 : 30 Days</v>
      </c>
      <c r="K43" s="22" t="s">
        <v>80</v>
      </c>
      <c r="L43" s="9">
        <f>_xlfn.XLOOKUP(J43,مديونية!D:D,مديونية!C:C,0)</f>
        <v>2642300.7600000002</v>
      </c>
      <c r="M43" s="19" t="str">
        <f t="shared" si="5"/>
        <v>← 21 : 30 Days     مبلغ  2,642,300.76 ج بنسبة 15%</v>
      </c>
      <c r="T43" t="str">
        <f>IF('[1]Rwaked DAM'!$H46="","",CONCATENATE('[1]Rwaked DAM'!$H46," - عدد ",'[1]Rwaked DAM'!$G46,"  -  متبقي على الانتهاء  ",'[1]Rwaked DAM'!$D46," شهر "))</f>
        <v/>
      </c>
    </row>
    <row r="44" spans="1:20" x14ac:dyDescent="0.25">
      <c r="A44">
        <v>1</v>
      </c>
      <c r="B44" s="9">
        <f t="shared" si="6"/>
        <v>1</v>
      </c>
      <c r="C44" s="9">
        <v>1</v>
      </c>
      <c r="D44" s="12" t="str">
        <f t="shared" si="4"/>
        <v>← 11 : 20 Days     مبلغ  1,348,270.54 ج بنسبة 8%</v>
      </c>
      <c r="E44" s="12" t="str">
        <f t="shared" si="10"/>
        <v xml:space="preserve">← 11 : 20 Days     مبلغ </v>
      </c>
      <c r="F44" s="9">
        <f t="shared" si="8"/>
        <v>1348270.5399999998</v>
      </c>
      <c r="G44" s="9" t="s">
        <v>24</v>
      </c>
      <c r="H44" s="10">
        <f t="shared" si="7"/>
        <v>7.5953612198461487E-2</v>
      </c>
      <c r="J44" t="str">
        <f t="shared" si="9"/>
        <v>Damietta - Khaled Ismaiel Al-Fath11 : 20 Days</v>
      </c>
      <c r="K44" s="22" t="s">
        <v>81</v>
      </c>
      <c r="L44" s="9">
        <f>_xlfn.XLOOKUP(J44,مديونية!D:D,مديونية!C:C,0)</f>
        <v>1348270.5399999998</v>
      </c>
      <c r="M44" s="19" t="str">
        <f t="shared" si="5"/>
        <v>← 11 : 20 Days     مبلغ  1,348,270.54 ج بنسبة 8%</v>
      </c>
      <c r="T44" t="str">
        <f>IF('[1]Rwaked DAM'!$H47="","",CONCATENATE('[1]Rwaked DAM'!$H47," - عدد ",'[1]Rwaked DAM'!$G47,"  -  متبقي على الانتهاء  ",'[1]Rwaked DAM'!$D47," شهر "))</f>
        <v/>
      </c>
    </row>
    <row r="45" spans="1:20" x14ac:dyDescent="0.25">
      <c r="A45">
        <v>1</v>
      </c>
      <c r="B45" s="9">
        <f t="shared" si="6"/>
        <v>1</v>
      </c>
      <c r="C45" s="9">
        <v>1</v>
      </c>
      <c r="D45" s="12" t="str">
        <f t="shared" si="4"/>
        <v>← 1 : 10 Days     مبلغ  2,557,924.98 ج بنسبة 14%</v>
      </c>
      <c r="E45" s="12" t="str">
        <f t="shared" si="10"/>
        <v xml:space="preserve">← 1 : 10 Days     مبلغ </v>
      </c>
      <c r="F45" s="9">
        <f t="shared" si="8"/>
        <v>2557924.9800000004</v>
      </c>
      <c r="G45" s="9" t="s">
        <v>24</v>
      </c>
      <c r="H45" s="10">
        <f t="shared" si="7"/>
        <v>0.14409841066740017</v>
      </c>
      <c r="J45" t="str">
        <f t="shared" si="9"/>
        <v>Damietta - Khaled Ismaiel Al-Fath1 : 10 Days</v>
      </c>
      <c r="K45" s="22" t="s">
        <v>171</v>
      </c>
      <c r="L45" s="9">
        <f>_xlfn.XLOOKUP(J45,مديونية!D:D,مديونية!C:C,0)</f>
        <v>2557924.9800000004</v>
      </c>
      <c r="M45" s="19" t="str">
        <f t="shared" si="5"/>
        <v>← 1 : 10 Days     مبلغ  2,557,924.98 ج بنسبة 14%</v>
      </c>
      <c r="T45" t="str">
        <f>IF('[1]Rwaked DAM'!$H48="","",CONCATENATE('[1]Rwaked DAM'!$H48," - عدد ",'[1]Rwaked DAM'!$G48,"  -  متبقي على الانتهاء  ",'[1]Rwaked DAM'!$D48," شهر "))</f>
        <v/>
      </c>
    </row>
    <row r="46" spans="1:20" x14ac:dyDescent="0.25">
      <c r="A46">
        <v>1</v>
      </c>
      <c r="B46" s="9">
        <f t="shared" si="6"/>
        <v>1</v>
      </c>
      <c r="D46" s="12" t="str">
        <f t="shared" si="4"/>
        <v>← Not Due     مبلغ  8,101,150.67 ج بنسبة 46%</v>
      </c>
      <c r="E46" s="12" t="str">
        <f t="shared" si="10"/>
        <v xml:space="preserve">← Not Due     مبلغ </v>
      </c>
      <c r="F46" s="9">
        <f>L46</f>
        <v>8101150.6700000018</v>
      </c>
      <c r="G46" s="9" t="s">
        <v>24</v>
      </c>
      <c r="H46" s="10">
        <f t="shared" si="7"/>
        <v>0.45637106062592353</v>
      </c>
      <c r="J46" t="str">
        <f t="shared" si="9"/>
        <v>Damietta - Khaled Ismaiel Al-FathNot Due</v>
      </c>
      <c r="K46" t="s">
        <v>82</v>
      </c>
      <c r="L46" s="9">
        <f>_xlfn.XLOOKUP(J46,مديونية!D:D,مديونية!C:C,0)</f>
        <v>8101150.6700000018</v>
      </c>
      <c r="M46" s="41" t="str">
        <f t="shared" si="5"/>
        <v>← Not Due     مبلغ  8,101,150.67 ج بنسبة 46%</v>
      </c>
      <c r="T46" t="str">
        <f>IF('[1]Rwaked DAM'!$H49="","",CONCATENATE('[1]Rwaked DAM'!$H49," - عدد ",'[1]Rwaked DAM'!$G49,"  -  متبقي على الانتهاء  ",'[1]Rwaked DAM'!$D49," شهر "))</f>
        <v/>
      </c>
    </row>
    <row r="47" spans="1:20" x14ac:dyDescent="0.25">
      <c r="A47">
        <v>1</v>
      </c>
      <c r="B47" s="9">
        <f t="shared" ref="B47:B53" si="11">IF(F47&gt;0,1,0)</f>
        <v>0</v>
      </c>
      <c r="C47" s="9">
        <v>1</v>
      </c>
      <c r="D47" s="12" t="str">
        <f t="shared" si="4"/>
        <v/>
      </c>
      <c r="E47" s="12" t="str">
        <f>"←"&amp;" "&amp;K47 &amp; "     "&amp; "مبلغ "</f>
        <v xml:space="preserve">←      مبلغ </v>
      </c>
      <c r="F47" s="9">
        <f>L47</f>
        <v>0</v>
      </c>
      <c r="G47" s="9" t="s">
        <v>24</v>
      </c>
      <c r="H47" s="10">
        <f t="shared" ref="H47:H53" si="12">F47/$F$36</f>
        <v>0</v>
      </c>
      <c r="J47" t="str">
        <f>$E$34&amp;K47</f>
        <v>Damietta - Khaled Ismaiel Al-Fath</v>
      </c>
      <c r="K47" s="22"/>
      <c r="L47" s="9">
        <f>_xlfn.XLOOKUP(J47,مديونية!D:D,مديونية!C:C,0)</f>
        <v>0</v>
      </c>
      <c r="M47" s="19" t="str">
        <f t="shared" si="5"/>
        <v>←      مبلغ  0,000,000.00 ج بنسبة 0%</v>
      </c>
      <c r="T47" t="str">
        <f>IF('[1]Rwaked DAM'!$H50="","",CONCATENATE('[1]Rwaked DAM'!$H50," - عدد ",'[1]Rwaked DAM'!$G50,"  -  متبقي على الانتهاء  ",'[1]Rwaked DAM'!$D50," شهر "))</f>
        <v/>
      </c>
    </row>
    <row r="48" spans="1:20" x14ac:dyDescent="0.25">
      <c r="A48">
        <v>1</v>
      </c>
      <c r="B48" s="9">
        <f t="shared" si="11"/>
        <v>0</v>
      </c>
      <c r="C48" s="9">
        <v>1</v>
      </c>
      <c r="D48" s="12" t="str">
        <f t="shared" si="4"/>
        <v/>
      </c>
      <c r="E48" s="12" t="str">
        <f>"←"&amp;" "&amp;K48 &amp;"     "&amp; "مبلغ "</f>
        <v xml:space="preserve">←      مبلغ </v>
      </c>
      <c r="F48" s="9">
        <f t="shared" ref="F48:F52" si="13">L48</f>
        <v>0</v>
      </c>
      <c r="G48" s="9" t="s">
        <v>24</v>
      </c>
      <c r="H48" s="10">
        <f t="shared" si="12"/>
        <v>0</v>
      </c>
      <c r="J48" t="str">
        <f t="shared" ref="J48:J53" si="14">$E$34&amp;K48</f>
        <v>Damietta - Khaled Ismaiel Al-Fath</v>
      </c>
      <c r="K48" s="22"/>
      <c r="L48" s="9">
        <f>_xlfn.XLOOKUP(J48,مديونية!D:D,مديونية!C:C,0)</f>
        <v>0</v>
      </c>
      <c r="M48" s="19" t="str">
        <f t="shared" si="5"/>
        <v>←      مبلغ  0,000,000.00 ج بنسبة 0%</v>
      </c>
      <c r="T48" t="str">
        <f>IF('[1]Rwaked DAM'!$H51="","",CONCATENATE('[1]Rwaked DAM'!$H51," - عدد ",'[1]Rwaked DAM'!$G51,"  -  متبقي على الانتهاء  ",'[1]Rwaked DAM'!$D51," شهر "))</f>
        <v/>
      </c>
    </row>
    <row r="49" spans="1:20" x14ac:dyDescent="0.25">
      <c r="A49">
        <v>1</v>
      </c>
      <c r="B49" s="9">
        <f t="shared" si="11"/>
        <v>0</v>
      </c>
      <c r="C49" s="9">
        <v>1</v>
      </c>
      <c r="D49" s="12" t="str">
        <f t="shared" si="4"/>
        <v/>
      </c>
      <c r="E49" s="12" t="str">
        <f t="shared" ref="E49:E53" si="15">"←"&amp;" "&amp;K49 &amp;"     "&amp; "مبلغ "</f>
        <v xml:space="preserve">←      مبلغ </v>
      </c>
      <c r="F49" s="9">
        <f t="shared" si="13"/>
        <v>0</v>
      </c>
      <c r="G49" s="9" t="s">
        <v>24</v>
      </c>
      <c r="H49" s="10">
        <f t="shared" si="12"/>
        <v>0</v>
      </c>
      <c r="J49" t="str">
        <f t="shared" si="14"/>
        <v>Damietta - Khaled Ismaiel Al-Fath</v>
      </c>
      <c r="K49" s="22"/>
      <c r="L49" s="9">
        <f>_xlfn.XLOOKUP(J49,مديونية!D:D,مديونية!C:C,0)</f>
        <v>0</v>
      </c>
      <c r="M49" s="19" t="str">
        <f t="shared" si="5"/>
        <v>←      مبلغ  0,000,000.00 ج بنسبة 0%</v>
      </c>
      <c r="T49" t="str">
        <f>IF('[1]Rwaked DAM'!$H52="","",CONCATENATE('[1]Rwaked DAM'!$H52," - عدد ",'[1]Rwaked DAM'!$G52,"  -  متبقي على الانتهاء  ",'[1]Rwaked DAM'!$D52," شهر "))</f>
        <v/>
      </c>
    </row>
    <row r="50" spans="1:20" x14ac:dyDescent="0.25">
      <c r="A50">
        <v>1</v>
      </c>
      <c r="B50" s="9">
        <f t="shared" si="11"/>
        <v>0</v>
      </c>
      <c r="C50" s="9">
        <v>1</v>
      </c>
      <c r="D50" s="12" t="str">
        <f t="shared" si="4"/>
        <v/>
      </c>
      <c r="E50" s="12" t="str">
        <f t="shared" si="15"/>
        <v xml:space="preserve">←      مبلغ </v>
      </c>
      <c r="F50" s="9">
        <f t="shared" si="13"/>
        <v>0</v>
      </c>
      <c r="G50" s="9" t="s">
        <v>24</v>
      </c>
      <c r="H50" s="10">
        <f t="shared" si="12"/>
        <v>0</v>
      </c>
      <c r="J50" t="str">
        <f t="shared" si="14"/>
        <v>Damietta - Khaled Ismaiel Al-Fath</v>
      </c>
      <c r="K50" s="22"/>
      <c r="L50" s="9">
        <f>_xlfn.XLOOKUP(J50,مديونية!D:D,مديونية!C:C,0)</f>
        <v>0</v>
      </c>
      <c r="M50" s="19" t="str">
        <f t="shared" si="5"/>
        <v>←      مبلغ  0,000,000.00 ج بنسبة 0%</v>
      </c>
      <c r="T50" t="str">
        <f>IF('[1]Rwaked DAM'!$H53="","",CONCATENATE('[1]Rwaked DAM'!$H53," - عدد ",'[1]Rwaked DAM'!$G53,"  -  متبقي على الانتهاء  ",'[1]Rwaked DAM'!$D53," شهر "))</f>
        <v/>
      </c>
    </row>
    <row r="51" spans="1:20" x14ac:dyDescent="0.25">
      <c r="A51">
        <v>1</v>
      </c>
      <c r="B51" s="9">
        <f t="shared" si="11"/>
        <v>0</v>
      </c>
      <c r="C51" s="9">
        <v>1</v>
      </c>
      <c r="D51" s="12" t="str">
        <f t="shared" si="4"/>
        <v/>
      </c>
      <c r="E51" s="12" t="str">
        <f t="shared" si="15"/>
        <v xml:space="preserve">←      مبلغ </v>
      </c>
      <c r="F51" s="9">
        <f t="shared" si="13"/>
        <v>0</v>
      </c>
      <c r="G51" s="9" t="s">
        <v>24</v>
      </c>
      <c r="H51" s="10">
        <f t="shared" si="12"/>
        <v>0</v>
      </c>
      <c r="J51" t="str">
        <f t="shared" si="14"/>
        <v>Damietta - Khaled Ismaiel Al-Fath</v>
      </c>
      <c r="K51" s="22"/>
      <c r="L51" s="9">
        <f>_xlfn.XLOOKUP(J51,مديونية!D:D,مديونية!C:C,0)</f>
        <v>0</v>
      </c>
      <c r="M51" s="19" t="str">
        <f t="shared" si="5"/>
        <v>←      مبلغ  0,000,000.00 ج بنسبة 0%</v>
      </c>
      <c r="T51" t="str">
        <f>IF('[1]Rwaked DAM'!$H54="","",CONCATENATE('[1]Rwaked DAM'!$H54," - عدد ",'[1]Rwaked DAM'!$G54,"  -  متبقي على الانتهاء  ",'[1]Rwaked DAM'!$D54," شهر "))</f>
        <v/>
      </c>
    </row>
    <row r="52" spans="1:20" x14ac:dyDescent="0.25">
      <c r="A52">
        <v>1</v>
      </c>
      <c r="B52" s="9">
        <f t="shared" si="11"/>
        <v>0</v>
      </c>
      <c r="C52" s="9">
        <v>1</v>
      </c>
      <c r="D52" s="12" t="str">
        <f t="shared" si="4"/>
        <v/>
      </c>
      <c r="E52" s="12" t="str">
        <f t="shared" si="15"/>
        <v xml:space="preserve">←      مبلغ </v>
      </c>
      <c r="F52" s="9">
        <f t="shared" si="13"/>
        <v>0</v>
      </c>
      <c r="G52" s="9" t="s">
        <v>24</v>
      </c>
      <c r="H52" s="10">
        <f t="shared" si="12"/>
        <v>0</v>
      </c>
      <c r="J52" t="str">
        <f t="shared" si="14"/>
        <v>Damietta - Khaled Ismaiel Al-Fath</v>
      </c>
      <c r="K52" s="22"/>
      <c r="L52" s="9">
        <f>_xlfn.XLOOKUP(J52,مديونية!D:D,مديونية!C:C,0)</f>
        <v>0</v>
      </c>
      <c r="M52" s="19" t="str">
        <f t="shared" si="5"/>
        <v>←      مبلغ  0,000,000.00 ج بنسبة 0%</v>
      </c>
      <c r="T52" t="str">
        <f>IF('[1]Rwaked DAM'!$H55="","",CONCATENATE('[1]Rwaked DAM'!$H55," - عدد ",'[1]Rwaked DAM'!$G55,"  -  متبقي على الانتهاء  ",'[1]Rwaked DAM'!$D55," شهر "))</f>
        <v/>
      </c>
    </row>
    <row r="53" spans="1:20" x14ac:dyDescent="0.25">
      <c r="A53">
        <v>1</v>
      </c>
      <c r="B53" s="9">
        <f t="shared" si="11"/>
        <v>0</v>
      </c>
      <c r="D53" s="12" t="str">
        <f t="shared" si="4"/>
        <v/>
      </c>
      <c r="E53" s="12" t="str">
        <f t="shared" si="15"/>
        <v xml:space="preserve">←      مبلغ </v>
      </c>
      <c r="G53" s="9" t="s">
        <v>24</v>
      </c>
      <c r="H53" s="10">
        <f t="shared" si="12"/>
        <v>0</v>
      </c>
      <c r="J53" t="str">
        <f t="shared" si="14"/>
        <v>Damietta - Khaled Ismaiel Al-Fath</v>
      </c>
      <c r="L53" s="9">
        <f>_xlfn.XLOOKUP(J53,مديونية!D:D,مديونية!C:C,0)</f>
        <v>0</v>
      </c>
      <c r="M53" s="41" t="str">
        <f t="shared" si="5"/>
        <v>←      مبلغ  0,000,000.00 ج بنسبة 0%</v>
      </c>
      <c r="T53" t="str">
        <f>IF('[1]Rwaked DAM'!$H56="","",CONCATENATE('[1]Rwaked DAM'!$H56," - عدد ",'[1]Rwaked DAM'!$G56,"  -  متبقي على الانتهاء  ",'[1]Rwaked DAM'!$D56," شهر "))</f>
        <v/>
      </c>
    </row>
    <row r="54" spans="1:20" x14ac:dyDescent="0.25">
      <c r="A54">
        <v>1</v>
      </c>
      <c r="B54" s="9">
        <f t="shared" si="6"/>
        <v>0</v>
      </c>
      <c r="D54" s="12" t="str">
        <f t="shared" si="4"/>
        <v/>
      </c>
      <c r="E54" s="12" t="s">
        <v>141</v>
      </c>
      <c r="F54" s="9">
        <v>0</v>
      </c>
      <c r="G54" s="9">
        <v>0</v>
      </c>
      <c r="H54" s="10">
        <v>0</v>
      </c>
      <c r="J54" t="str">
        <f t="shared" si="9"/>
        <v>Damietta - Khaled Ismaiel Al-Fath</v>
      </c>
      <c r="L54" s="9">
        <f>_xlfn.XLOOKUP(J54,مديونية!D:D,مديونية!C:C,0)</f>
        <v>0</v>
      </c>
      <c r="M54" s="41" t="str">
        <f t="shared" si="5"/>
        <v>←      مبلغ  0,000,000.00 ج 0 0%</v>
      </c>
      <c r="T54" t="str">
        <f>IF('[1]Rwaked DAM'!$H57="","",CONCATENATE('[1]Rwaked DAM'!$H57," - عدد ",'[1]Rwaked DAM'!$G57,"  -  متبقي على الانتهاء  ",'[1]Rwaked DAM'!$D57," شهر "))</f>
        <v/>
      </c>
    </row>
    <row r="55" spans="1:20" x14ac:dyDescent="0.25">
      <c r="A55">
        <v>1</v>
      </c>
      <c r="B55" s="9">
        <v>0</v>
      </c>
      <c r="C55" s="9">
        <v>1</v>
      </c>
      <c r="D55" s="12" t="s">
        <v>26</v>
      </c>
      <c r="T55" t="str">
        <f>IF('[1]Rwaked DAM'!$H58="","",CONCATENATE('[1]Rwaked DAM'!$H58," - عدد ",'[1]Rwaked DAM'!$G58,"  -  متبقي على الانتهاء  ",'[1]Rwaked DAM'!$D58," شهر "))</f>
        <v/>
      </c>
    </row>
    <row r="56" spans="1:20" x14ac:dyDescent="0.25">
      <c r="A56">
        <v>1</v>
      </c>
      <c r="B56" s="15">
        <f t="shared" si="6"/>
        <v>1</v>
      </c>
      <c r="C56" s="9">
        <v>1</v>
      </c>
      <c r="D56" s="12" t="str">
        <f t="shared" ref="D56:D57" si="16">E56&amp;" "&amp;TEXT(F56,"0,000,000.00")&amp;" ج" &amp;" "&amp;G56&amp;" "&amp;TEXT(H56,"0%")</f>
        <v>← تبلغ مديونية الموزع مبلغ  8,066,774.58 ج بنسبة 49%</v>
      </c>
      <c r="E56" t="s">
        <v>23</v>
      </c>
      <c r="F56" s="9">
        <f>SUMIF(M.C!E:E,"شركة الرحمة",M.C!J:J)</f>
        <v>8066774.5800000001</v>
      </c>
      <c r="G56" s="10" t="s">
        <v>24</v>
      </c>
      <c r="H56" s="10">
        <v>0.48668996959928656</v>
      </c>
    </row>
    <row r="57" spans="1:20" x14ac:dyDescent="0.25">
      <c r="A57">
        <v>1</v>
      </c>
      <c r="B57" s="15">
        <f t="shared" si="6"/>
        <v>1</v>
      </c>
      <c r="C57" s="9">
        <v>1</v>
      </c>
      <c r="D57" s="12" t="str">
        <f t="shared" si="16"/>
        <v>← تبلغ متأخرات الموزع مبلغ  6,320,326.58 ج بنسبة 78%</v>
      </c>
      <c r="E57" t="s">
        <v>25</v>
      </c>
      <c r="F57" s="9">
        <f>F56-SUMIFS(M.C!J:J,M.C!E:E,"شركة الرحمة",M.C!L:L,"Not Due")</f>
        <v>6320326.5800000001</v>
      </c>
      <c r="G57" s="10" t="s">
        <v>24</v>
      </c>
      <c r="H57" s="10">
        <v>0.78411126888640958</v>
      </c>
    </row>
    <row r="58" spans="1:20" x14ac:dyDescent="0.25">
      <c r="A58">
        <v>1</v>
      </c>
      <c r="B58" s="9">
        <v>1</v>
      </c>
      <c r="D58" s="13" t="s">
        <v>22</v>
      </c>
      <c r="E58" t="s">
        <v>27</v>
      </c>
    </row>
    <row r="59" spans="1:20" x14ac:dyDescent="0.25">
      <c r="A59">
        <v>1</v>
      </c>
      <c r="B59" s="9">
        <v>1</v>
      </c>
      <c r="D59" s="13" t="s">
        <v>97</v>
      </c>
      <c r="E59" t="s">
        <v>27</v>
      </c>
    </row>
    <row r="60" spans="1:20" x14ac:dyDescent="0.25">
      <c r="A60">
        <v>1</v>
      </c>
      <c r="B60" s="9">
        <v>1</v>
      </c>
      <c r="D60" s="13" t="s">
        <v>136</v>
      </c>
      <c r="E60" t="s">
        <v>27</v>
      </c>
    </row>
    <row r="61" spans="1:20" x14ac:dyDescent="0.25">
      <c r="A61">
        <v>1</v>
      </c>
      <c r="B61" s="15">
        <v>1</v>
      </c>
      <c r="C61" s="15" t="s">
        <v>96</v>
      </c>
      <c r="D61" s="13" t="s">
        <v>160</v>
      </c>
      <c r="E61" t="s">
        <v>27</v>
      </c>
    </row>
    <row r="62" spans="1:20" ht="15.75" x14ac:dyDescent="0.25">
      <c r="A62">
        <v>1</v>
      </c>
      <c r="B62" s="46">
        <v>14</v>
      </c>
      <c r="C62" s="15">
        <v>68</v>
      </c>
      <c r="D62" s="13" t="s">
        <v>161</v>
      </c>
      <c r="E62" t="e">
        <f>"←"&amp;" "&amp;"تبلغ عدد فواتير الاجل بالتوكيل "&amp;C62&amp;" منها مختوم عدد "&amp;#REF!&amp;"ومنها موقع عدد "&amp;B62</f>
        <v>#REF!</v>
      </c>
    </row>
    <row r="63" spans="1:20" x14ac:dyDescent="0.25">
      <c r="A63">
        <v>1</v>
      </c>
    </row>
    <row r="64" spans="1:20" x14ac:dyDescent="0.25">
      <c r="A64">
        <v>1</v>
      </c>
    </row>
    <row r="65" spans="1:4" x14ac:dyDescent="0.25">
      <c r="A65">
        <v>1</v>
      </c>
    </row>
    <row r="66" spans="1:4" x14ac:dyDescent="0.25">
      <c r="A66">
        <v>1</v>
      </c>
    </row>
    <row r="67" spans="1:4" x14ac:dyDescent="0.25">
      <c r="A67">
        <v>1</v>
      </c>
    </row>
    <row r="68" spans="1:4" x14ac:dyDescent="0.25">
      <c r="A68">
        <v>1</v>
      </c>
    </row>
    <row r="69" spans="1:4" ht="20.25" x14ac:dyDescent="0.25">
      <c r="A69">
        <v>1</v>
      </c>
      <c r="B69" s="9">
        <v>1</v>
      </c>
      <c r="D69" s="17" t="s">
        <v>29</v>
      </c>
    </row>
    <row r="70" spans="1:4" ht="16.5" x14ac:dyDescent="0.25">
      <c r="A70">
        <v>1</v>
      </c>
      <c r="B70" s="9">
        <v>1</v>
      </c>
      <c r="D70" s="18" t="s">
        <v>30</v>
      </c>
    </row>
    <row r="71" spans="1:4" x14ac:dyDescent="0.25">
      <c r="A71">
        <v>1</v>
      </c>
      <c r="D71" s="13" t="s">
        <v>124</v>
      </c>
    </row>
    <row r="72" spans="1:4" x14ac:dyDescent="0.25">
      <c r="A72">
        <v>1</v>
      </c>
      <c r="D72" s="13" t="s">
        <v>125</v>
      </c>
    </row>
    <row r="73" spans="1:4" x14ac:dyDescent="0.25">
      <c r="A73">
        <v>1</v>
      </c>
      <c r="D73" s="13" t="s">
        <v>126</v>
      </c>
    </row>
    <row r="74" spans="1:4" x14ac:dyDescent="0.25">
      <c r="A74">
        <v>1</v>
      </c>
      <c r="D74" s="13" t="str">
        <f t="shared" ref="D74:D81" si="17">D25</f>
        <v/>
      </c>
    </row>
    <row r="75" spans="1:4" x14ac:dyDescent="0.25">
      <c r="A75">
        <v>1</v>
      </c>
      <c r="D75" s="13" t="str">
        <f t="shared" si="17"/>
        <v>← يوجد مبلغ  67000  مصاريف سولار وزيت لم يتم ترحيلها حتى الان</v>
      </c>
    </row>
    <row r="76" spans="1:4" x14ac:dyDescent="0.25">
      <c r="A76">
        <v>1</v>
      </c>
      <c r="D76" s="13" t="str">
        <f t="shared" si="17"/>
        <v/>
      </c>
    </row>
    <row r="77" spans="1:4" x14ac:dyDescent="0.25">
      <c r="A77">
        <v>1</v>
      </c>
      <c r="C77" s="9" t="s">
        <v>105</v>
      </c>
      <c r="D77" s="13" t="str">
        <f t="shared" si="17"/>
        <v/>
      </c>
    </row>
    <row r="78" spans="1:4" x14ac:dyDescent="0.25">
      <c r="A78">
        <v>1</v>
      </c>
      <c r="B78" s="9">
        <v>1</v>
      </c>
      <c r="C78" s="9" t="s">
        <v>105</v>
      </c>
      <c r="D78" s="13" t="str">
        <f t="shared" si="17"/>
        <v/>
      </c>
    </row>
    <row r="79" spans="1:4" x14ac:dyDescent="0.25">
      <c r="A79">
        <v>1</v>
      </c>
      <c r="B79" s="9">
        <v>1</v>
      </c>
      <c r="C79" s="9" t="s">
        <v>105</v>
      </c>
      <c r="D79" s="13" t="str">
        <f t="shared" si="17"/>
        <v/>
      </c>
    </row>
    <row r="80" spans="1:4" x14ac:dyDescent="0.25">
      <c r="A80">
        <v>1</v>
      </c>
      <c r="B80" s="9">
        <v>1</v>
      </c>
      <c r="D80" s="13" t="str">
        <f t="shared" si="17"/>
        <v/>
      </c>
    </row>
    <row r="81" spans="1:5" x14ac:dyDescent="0.25">
      <c r="A81">
        <v>1</v>
      </c>
      <c r="D81" s="13" t="str">
        <f t="shared" si="17"/>
        <v/>
      </c>
    </row>
    <row r="82" spans="1:5" x14ac:dyDescent="0.25">
      <c r="A82">
        <v>1</v>
      </c>
      <c r="D82" s="13" t="s">
        <v>185</v>
      </c>
    </row>
    <row r="83" spans="1:5" ht="20.25" x14ac:dyDescent="0.25">
      <c r="A83">
        <v>1</v>
      </c>
      <c r="D83" s="17" t="s">
        <v>33</v>
      </c>
    </row>
    <row r="84" spans="1:5" ht="16.5" x14ac:dyDescent="0.25">
      <c r="A84">
        <v>1</v>
      </c>
      <c r="D84" s="18" t="s">
        <v>34</v>
      </c>
    </row>
    <row r="85" spans="1:5" x14ac:dyDescent="0.25">
      <c r="A85">
        <v>1</v>
      </c>
      <c r="D85" s="12" t="str">
        <f>E88&amp;" " &amp;C88&amp;" حافز"</f>
        <v>←  الحوافز المتواجدة عبارة عن كوبونات واشعارات منها ما هو موقع ومنها ما هو مختوم وعددها 50 حافز</v>
      </c>
    </row>
    <row r="86" spans="1:5" x14ac:dyDescent="0.25">
      <c r="A86">
        <v>1</v>
      </c>
      <c r="B86" s="9">
        <v>1</v>
      </c>
      <c r="D86" s="12" t="s">
        <v>36</v>
      </c>
    </row>
    <row r="87" spans="1:5" x14ac:dyDescent="0.25">
      <c r="A87">
        <v>1</v>
      </c>
      <c r="B87" s="9">
        <v>1</v>
      </c>
      <c r="D87" s="12" t="s">
        <v>128</v>
      </c>
    </row>
    <row r="88" spans="1:5" x14ac:dyDescent="0.25">
      <c r="A88">
        <v>1</v>
      </c>
      <c r="B88" s="9">
        <v>1</v>
      </c>
      <c r="C88" s="9">
        <v>50</v>
      </c>
      <c r="D88" s="12"/>
      <c r="E88" t="s">
        <v>127</v>
      </c>
    </row>
    <row r="89" spans="1:5" x14ac:dyDescent="0.25">
      <c r="A89">
        <v>1</v>
      </c>
      <c r="D89" s="12"/>
      <c r="E89" s="12" t="s">
        <v>129</v>
      </c>
    </row>
    <row r="90" spans="1:5" x14ac:dyDescent="0.25">
      <c r="A90">
        <v>1</v>
      </c>
    </row>
    <row r="91" spans="1:5" x14ac:dyDescent="0.25">
      <c r="A91">
        <v>1</v>
      </c>
    </row>
    <row r="92" spans="1:5" x14ac:dyDescent="0.25">
      <c r="A92">
        <v>1</v>
      </c>
    </row>
    <row r="93" spans="1:5" x14ac:dyDescent="0.25">
      <c r="A93">
        <v>1</v>
      </c>
    </row>
    <row r="94" spans="1:5" x14ac:dyDescent="0.25">
      <c r="A94">
        <v>1</v>
      </c>
    </row>
    <row r="95" spans="1:5" x14ac:dyDescent="0.25">
      <c r="A95">
        <v>1</v>
      </c>
    </row>
    <row r="96" spans="1:5" x14ac:dyDescent="0.25">
      <c r="A96">
        <v>1</v>
      </c>
    </row>
    <row r="97" spans="1:6" x14ac:dyDescent="0.25">
      <c r="A97">
        <v>1</v>
      </c>
    </row>
    <row r="98" spans="1:6" x14ac:dyDescent="0.25">
      <c r="A98">
        <v>1</v>
      </c>
    </row>
    <row r="99" spans="1:6" x14ac:dyDescent="0.25">
      <c r="A99">
        <v>1</v>
      </c>
    </row>
    <row r="100" spans="1:6" x14ac:dyDescent="0.25">
      <c r="A100">
        <v>1</v>
      </c>
    </row>
    <row r="101" spans="1:6" x14ac:dyDescent="0.25">
      <c r="A101">
        <v>1</v>
      </c>
    </row>
    <row r="102" spans="1:6" x14ac:dyDescent="0.25">
      <c r="A102">
        <v>1</v>
      </c>
    </row>
    <row r="103" spans="1:6" x14ac:dyDescent="0.25">
      <c r="A103">
        <v>1</v>
      </c>
    </row>
    <row r="104" spans="1:6" x14ac:dyDescent="0.25">
      <c r="A104">
        <v>1</v>
      </c>
    </row>
    <row r="105" spans="1:6" x14ac:dyDescent="0.25">
      <c r="A105">
        <v>1</v>
      </c>
    </row>
    <row r="106" spans="1:6" x14ac:dyDescent="0.25">
      <c r="A106">
        <v>1</v>
      </c>
      <c r="B106" s="9">
        <v>1</v>
      </c>
      <c r="E106" t="s">
        <v>27</v>
      </c>
    </row>
    <row r="107" spans="1:6" ht="20.25" x14ac:dyDescent="0.25">
      <c r="A107">
        <v>1</v>
      </c>
      <c r="D107" s="17" t="s">
        <v>37</v>
      </c>
      <c r="E107" t="s">
        <v>27</v>
      </c>
    </row>
    <row r="108" spans="1:6" ht="16.5" x14ac:dyDescent="0.25">
      <c r="A108">
        <v>1</v>
      </c>
      <c r="D108" s="18" t="s">
        <v>38</v>
      </c>
      <c r="E108" t="s">
        <v>27</v>
      </c>
    </row>
    <row r="109" spans="1:6" x14ac:dyDescent="0.25">
      <c r="A109">
        <v>1</v>
      </c>
      <c r="C109" s="9">
        <v>1</v>
      </c>
      <c r="D109" s="13" t="str">
        <f t="shared" ref="D109:D127" si="18">IF(C109=0,"",F109)</f>
        <v>بعض المندوبين غير ملتزمين بكتابة تفريدة النقدية . ( الأمر مكرر )</v>
      </c>
      <c r="F109" s="25" t="s">
        <v>39</v>
      </c>
    </row>
    <row r="110" spans="1:6" x14ac:dyDescent="0.25">
      <c r="A110">
        <v>1</v>
      </c>
      <c r="B110" s="9">
        <v>1</v>
      </c>
      <c r="C110" s="9">
        <v>1</v>
      </c>
      <c r="D110" s="13" t="str">
        <f t="shared" si="18"/>
        <v>يوجد تقصير في ارفاق صور فواتير الجملة في بيان متحصلات الجملة . وتم التأكيد على ضرورة طباعة الفواتير كاملة وارفاقها في بيان المتحصلات .</v>
      </c>
      <c r="F110" s="13" t="s">
        <v>40</v>
      </c>
    </row>
    <row r="111" spans="1:6" x14ac:dyDescent="0.25">
      <c r="A111">
        <v>1</v>
      </c>
      <c r="B111" s="9">
        <v>1</v>
      </c>
      <c r="C111" s="9">
        <v>1</v>
      </c>
      <c r="D111" s="13" t="str">
        <f t="shared" si="18"/>
        <v>يوجد عدد 5 مندوب تجزئة الطابعة لا تعمل ولا يستطيع طباعة الفواتير ولا الاغلاق الخاص به . وتم ارسال ميل بمشكلة الطابعة لادارة IS .</v>
      </c>
      <c r="F111" s="25" t="s">
        <v>130</v>
      </c>
    </row>
    <row r="112" spans="1:6" x14ac:dyDescent="0.25">
      <c r="A112">
        <v>1</v>
      </c>
      <c r="B112" s="9">
        <v>1</v>
      </c>
      <c r="C112" s="9">
        <v>1</v>
      </c>
      <c r="D112" s="13" t="str">
        <f t="shared" si="18"/>
        <v>يوجد عدد مندوب لا توجد له طابعة ( مشروع التجزئة ) ، وعدد 3 مندوب اخرين لديهم مشكلة في الطابعة الخاصة به ، وعدد 6 شواحن طابعة لا تعمل بالتوكيل ـ تم ارسال ميل اكثر من مرة لحل المشكلة . ولم يتم الانتهاء من المشكلة .</v>
      </c>
      <c r="F112" s="25" t="s">
        <v>138</v>
      </c>
    </row>
    <row r="113" spans="1:6" x14ac:dyDescent="0.25">
      <c r="A113">
        <v>1</v>
      </c>
      <c r="B113" s="9">
        <v>0</v>
      </c>
      <c r="C113" s="9">
        <v>1</v>
      </c>
      <c r="D113" s="13" t="str">
        <f t="shared" si="18"/>
        <v>لا يتم تسجيل التحصيلات على فواتير الاجل من المحاسبين .</v>
      </c>
      <c r="F113" s="25" t="s">
        <v>43</v>
      </c>
    </row>
    <row r="114" spans="1:6" x14ac:dyDescent="0.25">
      <c r="A114">
        <v>1</v>
      </c>
      <c r="B114" s="9">
        <v>0</v>
      </c>
      <c r="C114" s="9">
        <v>1</v>
      </c>
      <c r="D114" s="13" t="str">
        <f t="shared" si="18"/>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c r="F114" s="25" t="s">
        <v>44</v>
      </c>
    </row>
    <row r="115" spans="1:6" x14ac:dyDescent="0.25">
      <c r="A115">
        <v>1</v>
      </c>
      <c r="B115" s="9">
        <v>1</v>
      </c>
      <c r="C115" s="9">
        <v>1</v>
      </c>
      <c r="D115" s="13" t="str">
        <f t="shared" si="18"/>
        <v>لا يتم التزام التوكيل بطباعة مصادقة المديونية للمندوبين وارسالها على الميل . - وانما في نهاية الشهر فقط .</v>
      </c>
      <c r="F115" s="13" t="s">
        <v>135</v>
      </c>
    </row>
    <row r="116" spans="1:6" x14ac:dyDescent="0.25">
      <c r="A116">
        <v>1</v>
      </c>
      <c r="B116" s="9">
        <v>1</v>
      </c>
      <c r="C116" s="9">
        <v>1</v>
      </c>
      <c r="D116" s="13" t="str">
        <f t="shared" si="18"/>
        <v xml:space="preserve"> تم التأكيد على ضرورة تسجيل رقم إيصال استلام النقدية بدفتر الخزنه وليس رقم الحركة على البرنامج .</v>
      </c>
      <c r="F116" s="13" t="s">
        <v>46</v>
      </c>
    </row>
    <row r="117" spans="1:6" x14ac:dyDescent="0.25">
      <c r="A117">
        <v>1</v>
      </c>
      <c r="B117" s="9">
        <v>1</v>
      </c>
      <c r="C117" s="9">
        <v>1</v>
      </c>
      <c r="D117" s="13" t="str">
        <f t="shared" si="18"/>
        <v xml:space="preserve"> تم التأكيد على ضرورة التفرقة في تسجيل الشيكات عن الايداعات البنكية في الدفتر من خلال الوصف وليس جمعهم على بعضهم البعض .</v>
      </c>
      <c r="F117" s="13" t="s">
        <v>47</v>
      </c>
    </row>
    <row r="118" spans="1:6" x14ac:dyDescent="0.25">
      <c r="A118">
        <v>1</v>
      </c>
      <c r="B118" s="9">
        <v>1</v>
      </c>
      <c r="C118" s="9">
        <v>1</v>
      </c>
      <c r="D118" s="13" t="str">
        <f t="shared" si="18"/>
        <v xml:space="preserve"> عدم استلام أي بيان متحصلات غير مستوفى البيانات ومطابقة تفريدة النقدية للفعلي .</v>
      </c>
      <c r="F118" s="13" t="s">
        <v>48</v>
      </c>
    </row>
    <row r="119" spans="1:6" x14ac:dyDescent="0.25">
      <c r="A119">
        <v>1</v>
      </c>
      <c r="B119" s="9">
        <v>1</v>
      </c>
      <c r="C119" s="9">
        <v>1</v>
      </c>
      <c r="D119" s="13" t="str">
        <f t="shared" si="18"/>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19" s="13" t="s">
        <v>49</v>
      </c>
    </row>
    <row r="120" spans="1:6" x14ac:dyDescent="0.25">
      <c r="A120">
        <v>1</v>
      </c>
      <c r="B120" s="9">
        <v>1</v>
      </c>
      <c r="C120" s="9">
        <v>1</v>
      </c>
      <c r="D120" s="13" t="str">
        <f t="shared" si="18"/>
        <v xml:space="preserve"> التأكيد على استكمال أرشيف الخزنة . وطباعة الجرد اليومي وارفاقه مع الأرشيف . تم الالتزام .</v>
      </c>
      <c r="F120" s="13" t="s">
        <v>50</v>
      </c>
    </row>
    <row r="121" spans="1:6" x14ac:dyDescent="0.25">
      <c r="A121">
        <v>1</v>
      </c>
      <c r="B121" s="9">
        <v>1</v>
      </c>
      <c r="C121" s="9">
        <v>1</v>
      </c>
      <c r="D121" s="13" t="str">
        <f t="shared" si="18"/>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F121" s="13" t="s">
        <v>51</v>
      </c>
    </row>
    <row r="122" spans="1:6" x14ac:dyDescent="0.25">
      <c r="A122">
        <v>1</v>
      </c>
      <c r="C122" s="9">
        <v>1</v>
      </c>
      <c r="D122" s="13" t="str">
        <f t="shared" si="18"/>
        <v xml:space="preserve"> قصور في تحديث دفتر مديونية العملاء لبعض العملاء وتم التأكيد بعدم تكرار الامر</v>
      </c>
      <c r="F122" s="13" t="s">
        <v>131</v>
      </c>
    </row>
    <row r="123" spans="1:6" x14ac:dyDescent="0.25">
      <c r="A123">
        <v>1</v>
      </c>
      <c r="C123" s="9">
        <v>1</v>
      </c>
      <c r="D123" s="13" t="str">
        <f t="shared" si="18"/>
        <v xml:space="preserve"> تمت مراجعة وارد عافيه المرسل للتوكيل</v>
      </c>
      <c r="F123" s="13" t="s">
        <v>162</v>
      </c>
    </row>
    <row r="124" spans="1:6" x14ac:dyDescent="0.25">
      <c r="A124">
        <v>1</v>
      </c>
      <c r="B124" s="9">
        <v>1</v>
      </c>
      <c r="C124" s="9">
        <v>1</v>
      </c>
      <c r="D124" s="13" t="str">
        <f t="shared" si="18"/>
        <v xml:space="preserve"> تمت مراجعة وارد الملكة المرسل للتوكيل حتى تاريخه</v>
      </c>
      <c r="F124" s="13" t="s">
        <v>163</v>
      </c>
    </row>
    <row r="125" spans="1:6" x14ac:dyDescent="0.25">
      <c r="A125">
        <v>1</v>
      </c>
      <c r="C125" s="9">
        <v>1</v>
      </c>
      <c r="D125" s="13" t="str">
        <f t="shared" si="18"/>
        <v xml:space="preserve"> تمت مراجعة ايداعات عافيه حتى تاريخه</v>
      </c>
      <c r="F125" s="13" t="s">
        <v>164</v>
      </c>
    </row>
    <row r="126" spans="1:6" x14ac:dyDescent="0.25">
      <c r="A126">
        <v>1</v>
      </c>
      <c r="C126" s="9">
        <v>1</v>
      </c>
      <c r="D126" s="13" t="str">
        <f t="shared" si="18"/>
        <v xml:space="preserve"> تمت مراجعة ايداعات الملكة حتى تاريخه</v>
      </c>
      <c r="F126" s="13" t="s">
        <v>165</v>
      </c>
    </row>
    <row r="127" spans="1:6" x14ac:dyDescent="0.25">
      <c r="A127">
        <v>1</v>
      </c>
      <c r="C127" s="9">
        <v>1</v>
      </c>
      <c r="D127" s="13" t="str">
        <f t="shared" si="18"/>
        <v xml:space="preserve"> تمت مراجعة التحصيل النقدي والتاكد من التوجيه الصحيح للحركات حتى تاريخه</v>
      </c>
      <c r="F127" s="13" t="s">
        <v>166</v>
      </c>
    </row>
    <row r="128" spans="1:6" ht="20.25" x14ac:dyDescent="0.25">
      <c r="A128">
        <v>1</v>
      </c>
      <c r="B128" s="9">
        <v>1</v>
      </c>
      <c r="D128" s="26" t="s">
        <v>53</v>
      </c>
    </row>
    <row r="129" spans="1:4" ht="16.5" x14ac:dyDescent="0.25">
      <c r="A129">
        <v>1</v>
      </c>
      <c r="D129" s="17" t="s">
        <v>54</v>
      </c>
    </row>
    <row r="130" spans="1:4" ht="16.5" x14ac:dyDescent="0.25">
      <c r="A130">
        <v>1</v>
      </c>
      <c r="D130" s="47" t="str">
        <f>D4</f>
        <v>توجد بعض البضاعة المرشحة جاري فرزها للوقوف على عددها</v>
      </c>
    </row>
    <row r="131" spans="1:4" ht="16.5" x14ac:dyDescent="0.25">
      <c r="A131">
        <v>1</v>
      </c>
      <c r="B131" s="9">
        <v>1</v>
      </c>
      <c r="D131" s="47" t="str">
        <f t="shared" ref="D131:D133" si="19">D5</f>
        <v>← يوجد بضاعة هالك بكمية  35.95 كرتونة بيانها بمحضر الجرد ويتم الانتهاء منها مع اول وارد للتوكيل</v>
      </c>
    </row>
    <row r="132" spans="1:4" ht="33" x14ac:dyDescent="0.25">
      <c r="A132">
        <v>1</v>
      </c>
      <c r="B132" s="9">
        <v>1</v>
      </c>
      <c r="D132" s="47" t="str">
        <f t="shared" si="19"/>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33" spans="1:4" ht="198" x14ac:dyDescent="0.25">
      <c r="A133">
        <v>1</v>
      </c>
      <c r="B133" s="9">
        <f t="shared" ref="B133:B143" si="20">IF(D130&gt;0,1,"")</f>
        <v>1</v>
      </c>
      <c r="D133" s="47" t="str">
        <f t="shared" si="19"/>
        <v xml:space="preserve">مكرونة مكرونتو شنطة هلاليه 10كجم - عدد 433  -  متبقي على الانتهاء  11 شهر ;الملكة شيوي إسباجتي 400 جم - عدد 20  -  متبقي على الانتهاء  13 شهر ;الملكة شيوي شعريه 400 جم - عدد 480  -  متبقي على الانتهاء  13 شهر ;الملكة شيوي إسباجتي 400 جم - عدد 2340  -  متبقي على الانتهاء  14 شهر ;الملكة شيوي شعريه 400 جم - عدد 1200  -  متبقي على الانتهاء  14 شهر ;الملكة شيوي فرن 400 جم - عدد 7340  -  متبقي على الانتهاء  14 شهر ;الملكة شيوي لسان 400 جم - عدد 1640  -  متبقي على الانتهاء  14 شهر ;الملكة شيوي مرمرية 400 جم - عدد 1480  -  متبقي على الانتهاء  14 شهر ;الملكة شيوي هلاليه 400 جم - عدد 300  -  متبقي على الانتهاء  14 شهر ;الشمس الذهبية أبيض 1.3 كجم *6 برطمان - عدد 522  -  متبقي على الانتهاء  15 شهر ;الشمس الذهبية أبيض 1.45 كجم * 4 باكت - عدد 100  -  متبقي على الانتهاء  15 شهر ;الشمس الذهبية أصفر 1.45 كجم * 4 باكت - عدد 204  -  متبقي على الانتهاء  15 شهر ;روابى 2.5 كجم * 4 - سهلة الفتح - عدد 376  -  متبقي على الانتهاء  16 شهر ;الطاهي أبيض 1.3 كجم *6 برطمان - عدد 102  -  متبقي على الانتهاء  17 شهر ;الطاهي أصفر 1.3 كجم *6 برطمان - عدد 120  -  متبقي على الانتهاء  17 شهر ;روابى 2.5 كجم * 4 - سهلة الفتح - عدد 188  -  متبقي على الانتهاء  17 شهر ;عافية تونة قطع في زيت عباد الشمس 185جم * 48 - عدد 3588  -  متبقي على الانتهاء  19 شهر ;الملكة شيوي خواتم 400 جم - عدد 3860  -  متبقي على الانتهاء  20 شهر </v>
      </c>
    </row>
    <row r="134" spans="1:4" ht="15.75" x14ac:dyDescent="0.25">
      <c r="A134">
        <v>1</v>
      </c>
      <c r="B134" s="9">
        <f t="shared" si="20"/>
        <v>1</v>
      </c>
      <c r="D134" s="28" t="s">
        <v>109</v>
      </c>
    </row>
    <row r="135" spans="1:4" ht="15.75" x14ac:dyDescent="0.25">
      <c r="A135">
        <v>1</v>
      </c>
      <c r="B135" s="9">
        <f t="shared" si="20"/>
        <v>1</v>
      </c>
      <c r="D135" s="28" t="s">
        <v>110</v>
      </c>
    </row>
    <row r="136" spans="1:4" ht="15.75" x14ac:dyDescent="0.25">
      <c r="A136">
        <v>1</v>
      </c>
      <c r="B136" s="9">
        <f t="shared" si="20"/>
        <v>1</v>
      </c>
      <c r="D136" s="28" t="s">
        <v>207</v>
      </c>
    </row>
    <row r="137" spans="1:4" ht="15.75" x14ac:dyDescent="0.25">
      <c r="A137">
        <v>1</v>
      </c>
      <c r="B137" s="9">
        <f t="shared" si="20"/>
        <v>1</v>
      </c>
      <c r="D137" s="28" t="s">
        <v>111</v>
      </c>
    </row>
    <row r="138" spans="1:4" ht="15.75" x14ac:dyDescent="0.25">
      <c r="A138">
        <v>1</v>
      </c>
      <c r="B138" s="9">
        <f t="shared" si="20"/>
        <v>1</v>
      </c>
      <c r="D138" s="28" t="s">
        <v>112</v>
      </c>
    </row>
    <row r="139" spans="1:4" ht="15.75" x14ac:dyDescent="0.25">
      <c r="A139">
        <v>1</v>
      </c>
      <c r="B139" s="9">
        <f t="shared" si="20"/>
        <v>1</v>
      </c>
      <c r="D139" s="28" t="s">
        <v>113</v>
      </c>
    </row>
    <row r="140" spans="1:4" ht="15.75" x14ac:dyDescent="0.25">
      <c r="A140">
        <v>1</v>
      </c>
      <c r="B140" s="9">
        <f t="shared" si="20"/>
        <v>1</v>
      </c>
      <c r="D140" s="28" t="s">
        <v>114</v>
      </c>
    </row>
    <row r="141" spans="1:4" ht="15.75" x14ac:dyDescent="0.25">
      <c r="A141">
        <v>1</v>
      </c>
      <c r="B141" s="9">
        <f t="shared" si="20"/>
        <v>1</v>
      </c>
      <c r="D141" s="28" t="s">
        <v>167</v>
      </c>
    </row>
    <row r="142" spans="1:4" ht="15.75" x14ac:dyDescent="0.25">
      <c r="A142">
        <v>1</v>
      </c>
      <c r="B142" s="9">
        <f t="shared" si="20"/>
        <v>1</v>
      </c>
      <c r="D142" s="28" t="s">
        <v>168</v>
      </c>
    </row>
    <row r="143" spans="1:4" ht="15.75" x14ac:dyDescent="0.25">
      <c r="A143">
        <v>1</v>
      </c>
      <c r="B143" s="9">
        <f t="shared" si="20"/>
        <v>1</v>
      </c>
      <c r="D143" s="28"/>
    </row>
    <row r="144" spans="1:4" ht="18.75" x14ac:dyDescent="0.35">
      <c r="A144">
        <v>1</v>
      </c>
      <c r="B144" s="9">
        <f>IF(D142&gt;0,1,"")</f>
        <v>1</v>
      </c>
      <c r="D144" s="29" t="s">
        <v>61</v>
      </c>
    </row>
    <row r="145" spans="1:4" x14ac:dyDescent="0.25">
      <c r="A145">
        <v>1</v>
      </c>
      <c r="B145" s="9" t="str">
        <f>IF(D143&gt;0,1,"")</f>
        <v/>
      </c>
      <c r="D145" s="13" t="str">
        <f>IF(D4=0,"",D4)</f>
        <v>توجد بعض البضاعة المرشحة جاري فرزها للوقوف على عددها</v>
      </c>
    </row>
    <row r="146" spans="1:4" x14ac:dyDescent="0.25">
      <c r="A146">
        <v>1</v>
      </c>
      <c r="B146" s="9" t="e">
        <f>IF(#REF!&gt;0,1,"")</f>
        <v>#REF!</v>
      </c>
      <c r="D146" s="13" t="str">
        <f>IF(D5=0,"",D5)</f>
        <v>← يوجد بضاعة هالك بكمية  35.95 كرتونة بيانها بمحضر الجرد ويتم الانتهاء منها مع اول وارد للتوكيل</v>
      </c>
    </row>
    <row r="147" spans="1:4" x14ac:dyDescent="0.25">
      <c r="A147">
        <v>1</v>
      </c>
      <c r="B147" s="9">
        <f>IF(D144&gt;0,1,"")</f>
        <v>1</v>
      </c>
      <c r="D147" s="13" t="str">
        <f>IF(D6=0,"",D6)</f>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48" spans="1:4" x14ac:dyDescent="0.25">
      <c r="A148">
        <v>1</v>
      </c>
      <c r="B148" s="9">
        <f>IF(D145&gt;0,1,"")</f>
        <v>1</v>
      </c>
      <c r="D148" s="13" t="str">
        <f>IF(D7=0,"",D7)</f>
        <v xml:space="preserve">مكرونة مكرونتو شنطة هلاليه 10كجم - عدد 433  -  متبقي على الانتهاء  11 شهر ;الملكة شيوي إسباجتي 400 جم - عدد 20  -  متبقي على الانتهاء  13 شهر ;الملكة شيوي شعريه 400 جم - عدد 480  -  متبقي على الانتهاء  13 شهر ;الملكة شيوي إسباجتي 400 جم - عدد 2340  -  متبقي على الانتهاء  14 شهر ;الملكة شيوي شعريه 400 جم - عدد 1200  -  متبقي على الانتهاء  14 شهر ;الملكة شيوي فرن 400 جم - عدد 7340  -  متبقي على الانتهاء  14 شهر ;الملكة شيوي لسان 400 جم - عدد 1640  -  متبقي على الانتهاء  14 شهر ;الملكة شيوي مرمرية 400 جم - عدد 1480  -  متبقي على الانتهاء  14 شهر ;الملكة شيوي هلاليه 400 جم - عدد 300  -  متبقي على الانتهاء  14 شهر ;الشمس الذهبية أبيض 1.3 كجم *6 برطمان - عدد 522  -  متبقي على الانتهاء  15 شهر ;الشمس الذهبية أبيض 1.45 كجم * 4 باكت - عدد 100  -  متبقي على الانتهاء  15 شهر ;الشمس الذهبية أصفر 1.45 كجم * 4 باكت - عدد 204  -  متبقي على الانتهاء  15 شهر ;روابى 2.5 كجم * 4 - سهلة الفتح - عدد 376  -  متبقي على الانتهاء  16 شهر ;الطاهي أبيض 1.3 كجم *6 برطمان - عدد 102  -  متبقي على الانتهاء  17 شهر ;الطاهي أصفر 1.3 كجم *6 برطمان - عدد 120  -  متبقي على الانتهاء  17 شهر ;روابى 2.5 كجم * 4 - سهلة الفتح - عدد 188  -  متبقي على الانتهاء  17 شهر ;عافية تونة قطع في زيت عباد الشمس 185جم * 48 - عدد 3588  -  متبقي على الانتهاء  19 شهر ;الملكة شيوي خواتم 400 جم - عدد 3860  -  متبقي على الانتهاء  20 شهر </v>
      </c>
    </row>
    <row r="149" spans="1:4" x14ac:dyDescent="0.25">
      <c r="A149">
        <v>1</v>
      </c>
      <c r="B149" s="52">
        <f t="shared" ref="B149:C158" si="21">B4</f>
        <v>0</v>
      </c>
      <c r="C149" s="52">
        <f t="shared" si="21"/>
        <v>0</v>
      </c>
      <c r="D149" s="13" t="str">
        <f>IF(D135=0,"",D135)</f>
        <v>← ارتفاع درجات الحرارة بالمخزنين مما قد يؤثر سلبا على البضاعة المتواجدة بالمخزن من جهة السوس او الترشيح</v>
      </c>
    </row>
    <row r="150" spans="1:4" x14ac:dyDescent="0.25">
      <c r="A150">
        <v>1</v>
      </c>
      <c r="B150" s="52">
        <f t="shared" si="21"/>
        <v>0</v>
      </c>
      <c r="C150" s="52">
        <f t="shared" si="21"/>
        <v>35.950000000000003</v>
      </c>
      <c r="D150" s="13" t="str">
        <f t="shared" ref="D150:D157" si="22">IF(D136=0,"",D136)</f>
        <v>← معظم المراوح بكلا المخزنين لا تعمل .</v>
      </c>
    </row>
    <row r="151" spans="1:4" x14ac:dyDescent="0.25">
      <c r="A151">
        <v>1</v>
      </c>
      <c r="B151" s="52">
        <f t="shared" si="21"/>
        <v>1</v>
      </c>
      <c r="C151" s="52">
        <f t="shared" si="21"/>
        <v>1781.75</v>
      </c>
      <c r="D151" s="13" t="str">
        <f t="shared" si="22"/>
        <v xml:space="preserve">← تم ابعاد البضاعة عن الحائط في المخزنين </v>
      </c>
    </row>
    <row r="152" spans="1:4" x14ac:dyDescent="0.25">
      <c r="A152">
        <v>1</v>
      </c>
      <c r="B152" s="52">
        <f t="shared" si="21"/>
        <v>1</v>
      </c>
      <c r="C152" s="52">
        <f t="shared" si="21"/>
        <v>1781.75</v>
      </c>
      <c r="D152" s="13" t="str">
        <f t="shared" si="22"/>
        <v>← لا يوجد شفاطات بالمخزن مما أدى إلى ارتفاع درجات الحرارة</v>
      </c>
    </row>
    <row r="153" spans="1:4" x14ac:dyDescent="0.25">
      <c r="A153">
        <v>1</v>
      </c>
      <c r="B153" s="52">
        <f t="shared" si="21"/>
        <v>0</v>
      </c>
      <c r="C153" s="52">
        <f t="shared" si="21"/>
        <v>0</v>
      </c>
      <c r="D153" s="13" t="str">
        <f t="shared" si="22"/>
        <v>← لا توجد طفايات حريق بالمخزنين .</v>
      </c>
    </row>
    <row r="154" spans="1:4" x14ac:dyDescent="0.25">
      <c r="A154">
        <v>1</v>
      </c>
      <c r="B154" s="52">
        <f t="shared" si="21"/>
        <v>0</v>
      </c>
      <c r="C154" s="52">
        <f t="shared" si="21"/>
        <v>0</v>
      </c>
      <c r="D154" s="13" t="str">
        <f t="shared" si="22"/>
        <v>← وجود أتربة على بعض المنتجات .</v>
      </c>
    </row>
    <row r="155" spans="1:4" x14ac:dyDescent="0.25">
      <c r="A155">
        <v>1</v>
      </c>
      <c r="B155" s="52">
        <f t="shared" si="21"/>
        <v>0</v>
      </c>
      <c r="C155" s="52">
        <f t="shared" si="21"/>
        <v>0</v>
      </c>
      <c r="D155" s="13" t="str">
        <f t="shared" si="22"/>
        <v>توجد بعض البالتات مكسرة بالتوكيل</v>
      </c>
    </row>
    <row r="156" spans="1:4" x14ac:dyDescent="0.25">
      <c r="A156">
        <v>1</v>
      </c>
      <c r="B156" s="52">
        <f t="shared" si="21"/>
        <v>0</v>
      </c>
      <c r="C156" s="52">
        <f t="shared" si="21"/>
        <v>0</v>
      </c>
      <c r="D156" s="13" t="str">
        <f t="shared" si="22"/>
        <v xml:space="preserve"> لا يتم فصل الزيت عن السمنة</v>
      </c>
    </row>
    <row r="157" spans="1:4" x14ac:dyDescent="0.25">
      <c r="A157">
        <v>1</v>
      </c>
      <c r="B157" s="52">
        <f t="shared" si="21"/>
        <v>0</v>
      </c>
      <c r="C157" s="52">
        <f t="shared" si="21"/>
        <v>0</v>
      </c>
      <c r="D157" s="13" t="str">
        <f t="shared" si="22"/>
        <v/>
      </c>
    </row>
    <row r="158" spans="1:4" x14ac:dyDescent="0.25">
      <c r="A158">
        <v>1</v>
      </c>
      <c r="B158" s="52">
        <f t="shared" si="21"/>
        <v>0</v>
      </c>
      <c r="C158" s="52">
        <f t="shared" si="21"/>
        <v>0</v>
      </c>
    </row>
    <row r="159" spans="1:4" x14ac:dyDescent="0.25">
      <c r="A159">
        <v>1</v>
      </c>
      <c r="B159" s="52">
        <f>B14</f>
        <v>1</v>
      </c>
      <c r="C159" s="52"/>
    </row>
    <row r="160" spans="1:4" x14ac:dyDescent="0.25">
      <c r="A160">
        <v>1</v>
      </c>
      <c r="B160" s="9">
        <v>1</v>
      </c>
    </row>
    <row r="161" spans="1:4" x14ac:dyDescent="0.25">
      <c r="A161">
        <v>1</v>
      </c>
      <c r="B161" s="9">
        <v>1</v>
      </c>
    </row>
    <row r="162" spans="1:4" x14ac:dyDescent="0.25">
      <c r="A162">
        <v>1</v>
      </c>
      <c r="B162" s="9">
        <v>1</v>
      </c>
    </row>
    <row r="163" spans="1:4" x14ac:dyDescent="0.25">
      <c r="A163">
        <v>1</v>
      </c>
      <c r="B163" s="9">
        <v>1</v>
      </c>
    </row>
    <row r="164" spans="1:4" x14ac:dyDescent="0.25">
      <c r="A164">
        <v>1</v>
      </c>
      <c r="B164" s="9">
        <v>1</v>
      </c>
    </row>
    <row r="165" spans="1:4" x14ac:dyDescent="0.25">
      <c r="A165">
        <v>1</v>
      </c>
      <c r="B165" s="9">
        <v>1</v>
      </c>
    </row>
    <row r="166" spans="1:4" x14ac:dyDescent="0.25">
      <c r="A166">
        <v>1</v>
      </c>
      <c r="B166" s="9">
        <v>1</v>
      </c>
    </row>
    <row r="167" spans="1:4" x14ac:dyDescent="0.25">
      <c r="A167">
        <v>1</v>
      </c>
      <c r="B167" s="9">
        <v>1</v>
      </c>
    </row>
    <row r="168" spans="1:4" ht="18.75" x14ac:dyDescent="0.35">
      <c r="A168">
        <v>1</v>
      </c>
      <c r="D168" s="29" t="s">
        <v>62</v>
      </c>
    </row>
    <row r="169" spans="1:4" x14ac:dyDescent="0.25">
      <c r="A169">
        <v>1</v>
      </c>
    </row>
    <row r="170" spans="1:4" ht="15.75" x14ac:dyDescent="0.25">
      <c r="A170">
        <v>1</v>
      </c>
      <c r="D170" s="34" t="s">
        <v>63</v>
      </c>
    </row>
    <row r="171" spans="1:4" ht="15.75" x14ac:dyDescent="0.25">
      <c r="A171">
        <v>1</v>
      </c>
      <c r="B171" s="9">
        <v>1</v>
      </c>
      <c r="D171" s="34" t="s">
        <v>64</v>
      </c>
    </row>
    <row r="172" spans="1:4" ht="15.75" x14ac:dyDescent="0.25">
      <c r="A172">
        <v>1</v>
      </c>
      <c r="B172" s="9">
        <v>1</v>
      </c>
      <c r="D172" s="34" t="s">
        <v>65</v>
      </c>
    </row>
    <row r="173" spans="1:4" ht="15.75" x14ac:dyDescent="0.25">
      <c r="A173">
        <v>1</v>
      </c>
      <c r="B173" s="9">
        <v>1</v>
      </c>
      <c r="D173" s="34" t="s">
        <v>66</v>
      </c>
    </row>
    <row r="174" spans="1:4" ht="15.75" x14ac:dyDescent="0.25">
      <c r="A174">
        <v>1</v>
      </c>
      <c r="B174" s="9">
        <v>1</v>
      </c>
      <c r="D174" s="34" t="s">
        <v>67</v>
      </c>
    </row>
    <row r="175" spans="1:4" ht="15.75" x14ac:dyDescent="0.25">
      <c r="A175">
        <v>1</v>
      </c>
      <c r="B175" s="9">
        <v>1</v>
      </c>
      <c r="D175" s="34" t="s">
        <v>68</v>
      </c>
    </row>
    <row r="176" spans="1:4" ht="15.75" x14ac:dyDescent="0.25">
      <c r="A176">
        <v>1</v>
      </c>
      <c r="B176" s="9">
        <v>1</v>
      </c>
      <c r="D176" s="34" t="s">
        <v>69</v>
      </c>
    </row>
    <row r="177" spans="1:4" ht="15.75" x14ac:dyDescent="0.25">
      <c r="A177">
        <v>1</v>
      </c>
      <c r="B177" s="9">
        <v>1</v>
      </c>
      <c r="D177" s="34" t="s">
        <v>70</v>
      </c>
    </row>
    <row r="178" spans="1:4" ht="15.75" x14ac:dyDescent="0.25">
      <c r="A178">
        <v>1</v>
      </c>
      <c r="B178" s="9">
        <v>1</v>
      </c>
      <c r="D178" s="34" t="s">
        <v>71</v>
      </c>
    </row>
    <row r="179" spans="1:4" ht="15.75" x14ac:dyDescent="0.25">
      <c r="A179">
        <v>1</v>
      </c>
      <c r="B179" s="9">
        <v>1</v>
      </c>
      <c r="D179" s="34" t="s">
        <v>72</v>
      </c>
    </row>
    <row r="180" spans="1:4" x14ac:dyDescent="0.25">
      <c r="A180">
        <v>1</v>
      </c>
      <c r="B180" s="9">
        <v>1</v>
      </c>
      <c r="D180" s="55" t="str">
        <f t="shared" ref="D180:D188" si="23">D23</f>
        <v xml:space="preserve">← توجد فواتير بدون بعد مالي عافيه بمبلغ  7461.5  وملكة مبلغ 19229.5   لم يتم الانتهاء من حله حتى الان ويتم الارسال بالمشكلة بصفة دورية إلى الادارة </v>
      </c>
    </row>
    <row r="181" spans="1:4" x14ac:dyDescent="0.25">
      <c r="A181">
        <v>1</v>
      </c>
      <c r="B181" s="9">
        <v>1</v>
      </c>
      <c r="D181" s="55" t="str">
        <f t="shared" si="23"/>
        <v xml:space="preserve">←  يوجد انحراف استلام نقدية ملكة بمبلغ   840 ج ج </v>
      </c>
    </row>
    <row r="182" spans="1:4" x14ac:dyDescent="0.25">
      <c r="A182">
        <v>1</v>
      </c>
      <c r="B182" s="9">
        <v>1</v>
      </c>
      <c r="D182" s="55" t="str">
        <f t="shared" si="23"/>
        <v/>
      </c>
    </row>
    <row r="183" spans="1:4" x14ac:dyDescent="0.25">
      <c r="A183">
        <v>1</v>
      </c>
      <c r="B183" s="9">
        <v>1</v>
      </c>
      <c r="D183" s="55" t="str">
        <f t="shared" si="23"/>
        <v>← يوجد مبلغ  67000  مصاريف سولار وزيت لم يتم ترحيلها حتى الان</v>
      </c>
    </row>
    <row r="184" spans="1:4" x14ac:dyDescent="0.25">
      <c r="A184">
        <v>1</v>
      </c>
      <c r="B184" s="9">
        <v>1</v>
      </c>
      <c r="D184" s="55" t="str">
        <f t="shared" si="23"/>
        <v/>
      </c>
    </row>
    <row r="185" spans="1:4" x14ac:dyDescent="0.25">
      <c r="A185">
        <v>1</v>
      </c>
      <c r="D185" s="55" t="str">
        <f t="shared" si="23"/>
        <v/>
      </c>
    </row>
    <row r="186" spans="1:4" x14ac:dyDescent="0.25">
      <c r="A186">
        <v>1</v>
      </c>
      <c r="D186" s="55" t="str">
        <f t="shared" si="23"/>
        <v/>
      </c>
    </row>
    <row r="187" spans="1:4" x14ac:dyDescent="0.25">
      <c r="A187">
        <v>1</v>
      </c>
      <c r="D187" s="55" t="str">
        <f t="shared" si="23"/>
        <v/>
      </c>
    </row>
    <row r="188" spans="1:4" x14ac:dyDescent="0.25">
      <c r="A188">
        <v>1</v>
      </c>
      <c r="D188" s="55" t="str">
        <f t="shared" si="23"/>
        <v/>
      </c>
    </row>
    <row r="189" spans="1:4" ht="18.75" x14ac:dyDescent="0.35">
      <c r="A189">
        <v>1</v>
      </c>
      <c r="D189" s="29" t="s">
        <v>132</v>
      </c>
    </row>
    <row r="190" spans="1:4" x14ac:dyDescent="0.25">
      <c r="A190">
        <v>1</v>
      </c>
      <c r="D190" s="12" t="str">
        <f>IF(D36=0,"",D36)</f>
        <v>إجمالي مديونية التوكيل مبلغ 17,751,236.59 ج</v>
      </c>
    </row>
    <row r="191" spans="1:4" x14ac:dyDescent="0.25">
      <c r="A191">
        <v>1</v>
      </c>
      <c r="D191" s="12" t="str">
        <f t="shared" ref="D191:D213" si="24">IF(D37=0,"",D37)</f>
        <v/>
      </c>
    </row>
    <row r="192" spans="1:4" x14ac:dyDescent="0.25">
      <c r="A192">
        <v>1</v>
      </c>
      <c r="B192" s="9">
        <v>1</v>
      </c>
      <c r="D192" s="12" t="str">
        <f t="shared" si="24"/>
        <v/>
      </c>
    </row>
    <row r="193" spans="1:4" x14ac:dyDescent="0.25">
      <c r="A193">
        <v>1</v>
      </c>
      <c r="B193" s="53">
        <f t="shared" ref="B193:C203" si="25">B36</f>
        <v>1</v>
      </c>
      <c r="C193" s="53">
        <f t="shared" si="25"/>
        <v>1</v>
      </c>
      <c r="D193" s="12" t="str">
        <f t="shared" si="24"/>
        <v>← متاخرات المديونية     مبلغ  9,650,085.92 ج بنسبة 54%</v>
      </c>
    </row>
    <row r="194" spans="1:4" x14ac:dyDescent="0.25">
      <c r="A194">
        <v>1</v>
      </c>
      <c r="B194" s="53">
        <f t="shared" si="25"/>
        <v>1</v>
      </c>
      <c r="C194" s="53">
        <f t="shared" si="25"/>
        <v>0</v>
      </c>
      <c r="D194" s="12" t="str">
        <f t="shared" si="24"/>
        <v/>
      </c>
    </row>
    <row r="195" spans="1:4" x14ac:dyDescent="0.25">
      <c r="A195">
        <v>1</v>
      </c>
      <c r="B195" s="53">
        <f t="shared" si="25"/>
        <v>1</v>
      </c>
      <c r="C195" s="53">
        <f t="shared" si="25"/>
        <v>0</v>
      </c>
      <c r="D195" s="12" t="str">
        <f t="shared" si="24"/>
        <v/>
      </c>
    </row>
    <row r="196" spans="1:4" x14ac:dyDescent="0.25">
      <c r="A196">
        <v>1</v>
      </c>
      <c r="B196" s="53">
        <f t="shared" si="25"/>
        <v>1</v>
      </c>
      <c r="C196" s="53">
        <f t="shared" si="25"/>
        <v>1</v>
      </c>
      <c r="D196" s="12" t="str">
        <f t="shared" si="24"/>
        <v>← 31 : 60 Days     مبلغ  3,101,589.64 ج بنسبة 17%</v>
      </c>
    </row>
    <row r="197" spans="1:4" x14ac:dyDescent="0.25">
      <c r="A197">
        <v>1</v>
      </c>
      <c r="B197" s="53">
        <f t="shared" si="25"/>
        <v>0</v>
      </c>
      <c r="C197" s="53">
        <f t="shared" si="25"/>
        <v>1</v>
      </c>
      <c r="D197" s="12" t="str">
        <f t="shared" si="24"/>
        <v>← 21 : 30 Days     مبلغ  2,642,300.76 ج بنسبة 15%</v>
      </c>
    </row>
    <row r="198" spans="1:4" x14ac:dyDescent="0.25">
      <c r="A198">
        <v>1</v>
      </c>
      <c r="B198" s="53">
        <f t="shared" si="25"/>
        <v>0</v>
      </c>
      <c r="C198" s="53">
        <f t="shared" si="25"/>
        <v>1</v>
      </c>
      <c r="D198" s="12" t="str">
        <f t="shared" si="24"/>
        <v>← 11 : 20 Days     مبلغ  1,348,270.54 ج بنسبة 8%</v>
      </c>
    </row>
    <row r="199" spans="1:4" x14ac:dyDescent="0.25">
      <c r="A199">
        <v>1</v>
      </c>
      <c r="B199" s="53">
        <f t="shared" si="25"/>
        <v>1</v>
      </c>
      <c r="C199" s="53">
        <f t="shared" si="25"/>
        <v>1</v>
      </c>
      <c r="D199" s="12" t="str">
        <f t="shared" si="24"/>
        <v>← 1 : 10 Days     مبلغ  2,557,924.98 ج بنسبة 14%</v>
      </c>
    </row>
    <row r="200" spans="1:4" x14ac:dyDescent="0.25">
      <c r="A200">
        <v>1</v>
      </c>
      <c r="B200" s="53">
        <f t="shared" si="25"/>
        <v>1</v>
      </c>
      <c r="C200" s="53">
        <f t="shared" si="25"/>
        <v>1</v>
      </c>
      <c r="D200" s="12" t="str">
        <f t="shared" si="24"/>
        <v>← Not Due     مبلغ  8,101,150.67 ج بنسبة 46%</v>
      </c>
    </row>
    <row r="201" spans="1:4" x14ac:dyDescent="0.25">
      <c r="A201">
        <v>1</v>
      </c>
      <c r="B201" s="53">
        <f t="shared" si="25"/>
        <v>1</v>
      </c>
      <c r="C201" s="53">
        <f t="shared" si="25"/>
        <v>1</v>
      </c>
      <c r="D201" s="12" t="str">
        <f t="shared" si="24"/>
        <v/>
      </c>
    </row>
    <row r="202" spans="1:4" x14ac:dyDescent="0.25">
      <c r="A202">
        <v>1</v>
      </c>
      <c r="B202" s="53">
        <f t="shared" si="25"/>
        <v>1</v>
      </c>
      <c r="C202" s="53">
        <f t="shared" si="25"/>
        <v>1</v>
      </c>
      <c r="D202" s="12" t="str">
        <f t="shared" si="24"/>
        <v/>
      </c>
    </row>
    <row r="203" spans="1:4" x14ac:dyDescent="0.25">
      <c r="A203">
        <v>1</v>
      </c>
      <c r="B203" s="53">
        <f t="shared" si="25"/>
        <v>1</v>
      </c>
      <c r="C203" s="53">
        <f t="shared" si="25"/>
        <v>0</v>
      </c>
      <c r="D203" s="12" t="str">
        <f t="shared" si="24"/>
        <v/>
      </c>
    </row>
    <row r="204" spans="1:4" x14ac:dyDescent="0.25">
      <c r="A204">
        <v>1</v>
      </c>
      <c r="B204" s="53">
        <f t="shared" ref="B204:C213" si="26">B54</f>
        <v>0</v>
      </c>
      <c r="C204" s="53">
        <f t="shared" si="26"/>
        <v>0</v>
      </c>
      <c r="D204" s="12" t="str">
        <f t="shared" si="24"/>
        <v/>
      </c>
    </row>
    <row r="205" spans="1:4" x14ac:dyDescent="0.25">
      <c r="A205">
        <v>1</v>
      </c>
      <c r="B205" s="53">
        <f t="shared" si="26"/>
        <v>0</v>
      </c>
      <c r="C205" s="53">
        <f t="shared" si="26"/>
        <v>1</v>
      </c>
      <c r="D205" s="12" t="str">
        <f t="shared" si="24"/>
        <v/>
      </c>
    </row>
    <row r="206" spans="1:4" x14ac:dyDescent="0.25">
      <c r="A206">
        <v>1</v>
      </c>
      <c r="B206" s="53">
        <f t="shared" si="26"/>
        <v>1</v>
      </c>
      <c r="C206" s="53">
        <f t="shared" si="26"/>
        <v>1</v>
      </c>
      <c r="D206" s="12" t="str">
        <f t="shared" si="24"/>
        <v/>
      </c>
    </row>
    <row r="207" spans="1:4" x14ac:dyDescent="0.25">
      <c r="A207">
        <v>1</v>
      </c>
      <c r="B207" s="53">
        <f t="shared" si="26"/>
        <v>1</v>
      </c>
      <c r="C207" s="53">
        <f t="shared" si="26"/>
        <v>1</v>
      </c>
      <c r="D207" s="12" t="str">
        <f t="shared" si="24"/>
        <v/>
      </c>
    </row>
    <row r="208" spans="1:4" x14ac:dyDescent="0.25">
      <c r="A208">
        <v>1</v>
      </c>
      <c r="B208" s="53">
        <f t="shared" si="26"/>
        <v>1</v>
      </c>
      <c r="C208" s="53">
        <f t="shared" si="26"/>
        <v>0</v>
      </c>
      <c r="D208" s="12" t="str">
        <f t="shared" si="24"/>
        <v/>
      </c>
    </row>
    <row r="209" spans="1:4" x14ac:dyDescent="0.25">
      <c r="A209">
        <v>1</v>
      </c>
      <c r="B209" s="53">
        <f t="shared" si="26"/>
        <v>1</v>
      </c>
      <c r="C209" s="53">
        <f t="shared" si="26"/>
        <v>0</v>
      </c>
      <c r="D209" s="12" t="str">
        <f t="shared" si="24"/>
        <v xml:space="preserve"> - يتم ارسال ميل يومي بمديونية الموزع ومتأخراتها للمتابعة مع مدير الاقليم</v>
      </c>
    </row>
    <row r="210" spans="1:4" x14ac:dyDescent="0.25">
      <c r="A210">
        <v>1</v>
      </c>
      <c r="B210" s="53">
        <f t="shared" si="26"/>
        <v>1</v>
      </c>
      <c r="C210" s="53">
        <f t="shared" si="26"/>
        <v>0</v>
      </c>
      <c r="D210" s="12" t="str">
        <f t="shared" si="24"/>
        <v>← تبلغ مديونية الموزع مبلغ  8,066,774.58 ج بنسبة 49%</v>
      </c>
    </row>
    <row r="211" spans="1:4" x14ac:dyDescent="0.25">
      <c r="A211">
        <v>1</v>
      </c>
      <c r="B211" s="53">
        <f t="shared" si="26"/>
        <v>1</v>
      </c>
      <c r="C211" s="53" t="str">
        <f t="shared" si="26"/>
        <v>الاجمالي</v>
      </c>
      <c r="D211" s="12" t="str">
        <f t="shared" si="24"/>
        <v>← تبلغ متأخرات الموزع مبلغ  6,320,326.58 ج بنسبة 78%</v>
      </c>
    </row>
    <row r="212" spans="1:4" x14ac:dyDescent="0.25">
      <c r="A212">
        <v>1</v>
      </c>
      <c r="B212" s="53">
        <f t="shared" si="26"/>
        <v>14</v>
      </c>
      <c r="C212" s="53">
        <f t="shared" si="26"/>
        <v>68</v>
      </c>
      <c r="D212" s="12" t="str">
        <f t="shared" si="24"/>
        <v>← يتم ارسال ميل يومي بالمديونية ومتأخراتها لمدير الاقليم والادارة لمتابعة التحصيل .</v>
      </c>
    </row>
    <row r="213" spans="1:4" x14ac:dyDescent="0.25">
      <c r="A213">
        <v>1</v>
      </c>
      <c r="B213" s="53">
        <f t="shared" si="26"/>
        <v>0</v>
      </c>
      <c r="C213" s="53">
        <f t="shared" si="26"/>
        <v>0</v>
      </c>
      <c r="D213" s="12" t="str">
        <f t="shared" si="24"/>
        <v>← يتم خروج فواتير اجل مع وجود متأخرات بموافقة من مدير القطاع مع وضع نائب مدير عام البيع في الميل</v>
      </c>
    </row>
    <row r="214" spans="1:4" ht="18.75" x14ac:dyDescent="0.35">
      <c r="A214">
        <v>1</v>
      </c>
      <c r="B214" s="53">
        <f>B71</f>
        <v>0</v>
      </c>
      <c r="C214" s="53">
        <f>C71</f>
        <v>0</v>
      </c>
      <c r="D214" s="29" t="s">
        <v>74</v>
      </c>
    </row>
    <row r="215" spans="1:4" x14ac:dyDescent="0.25">
      <c r="A215">
        <v>1</v>
      </c>
      <c r="B215" s="53"/>
      <c r="C215" s="53"/>
      <c r="D215" s="12" t="str">
        <f t="shared" ref="D215:D231" si="27">IF(D85=0,"",D85)</f>
        <v>←  الحوافز المتواجدة عبارة عن كوبونات واشعارات منها ما هو موقع ومنها ما هو مختوم وعددها 50 حافز</v>
      </c>
    </row>
    <row r="216" spans="1:4" x14ac:dyDescent="0.25">
      <c r="A216">
        <v>1</v>
      </c>
      <c r="B216" s="53"/>
      <c r="C216" s="53"/>
      <c r="D216" s="12" t="str">
        <f t="shared" si="27"/>
        <v>←  توجد حوافز منتهية تم صرفها بموافقة من التسويق التجاري</v>
      </c>
    </row>
    <row r="217" spans="1:4" x14ac:dyDescent="0.25">
      <c r="A217">
        <v>1</v>
      </c>
      <c r="B217" s="53">
        <f t="shared" ref="B217:C219" si="28">B72</f>
        <v>0</v>
      </c>
      <c r="C217" s="53">
        <f t="shared" si="28"/>
        <v>0</v>
      </c>
      <c r="D217" s="12" t="str">
        <f t="shared" si="27"/>
        <v>←  ضرورة تسجيل الحوافز المخصومة من المديونية في دفتر المديونية بعد التاكد من تسجيلها في بيان المتحصلات</v>
      </c>
    </row>
    <row r="218" spans="1:4" x14ac:dyDescent="0.25">
      <c r="A218">
        <v>1</v>
      </c>
      <c r="B218" s="53">
        <f t="shared" si="28"/>
        <v>0</v>
      </c>
      <c r="C218" s="53">
        <f t="shared" si="28"/>
        <v>0</v>
      </c>
      <c r="D218" s="12" t="str">
        <f t="shared" si="27"/>
        <v/>
      </c>
    </row>
    <row r="219" spans="1:4" x14ac:dyDescent="0.25">
      <c r="A219">
        <v>1</v>
      </c>
      <c r="B219" s="53">
        <f t="shared" si="28"/>
        <v>0</v>
      </c>
      <c r="C219" s="53">
        <f t="shared" si="28"/>
        <v>0</v>
      </c>
      <c r="D219" s="12" t="str">
        <f t="shared" si="27"/>
        <v/>
      </c>
    </row>
    <row r="220" spans="1:4" x14ac:dyDescent="0.25">
      <c r="A220">
        <v>1</v>
      </c>
      <c r="B220" s="53"/>
      <c r="C220" s="53">
        <f>C75</f>
        <v>0</v>
      </c>
      <c r="D220" s="12" t="str">
        <f t="shared" si="27"/>
        <v/>
      </c>
    </row>
    <row r="221" spans="1:4" x14ac:dyDescent="0.25">
      <c r="A221">
        <v>1</v>
      </c>
      <c r="B221" s="53">
        <f>B76</f>
        <v>0</v>
      </c>
      <c r="C221" s="53">
        <f>C76</f>
        <v>0</v>
      </c>
      <c r="D221" s="12" t="str">
        <f t="shared" si="27"/>
        <v/>
      </c>
    </row>
    <row r="222" spans="1:4" x14ac:dyDescent="0.25">
      <c r="A222">
        <v>1</v>
      </c>
      <c r="B222" s="53">
        <f>B77</f>
        <v>0</v>
      </c>
      <c r="C222" s="53" t="str">
        <f>C77</f>
        <v>معادلة</v>
      </c>
      <c r="D222" s="12" t="str">
        <f t="shared" si="27"/>
        <v/>
      </c>
    </row>
    <row r="223" spans="1:4" x14ac:dyDescent="0.25">
      <c r="A223">
        <v>1</v>
      </c>
      <c r="B223" s="53"/>
      <c r="C223" s="53" t="str">
        <f>C78</f>
        <v>معادلة</v>
      </c>
      <c r="D223" s="12" t="str">
        <f t="shared" si="27"/>
        <v/>
      </c>
    </row>
    <row r="224" spans="1:4" x14ac:dyDescent="0.25">
      <c r="A224">
        <v>1</v>
      </c>
      <c r="B224" s="53"/>
      <c r="C224" s="53" t="str">
        <f>C79</f>
        <v>معادلة</v>
      </c>
      <c r="D224" s="12" t="str">
        <f t="shared" si="27"/>
        <v/>
      </c>
    </row>
    <row r="225" spans="1:4" x14ac:dyDescent="0.25">
      <c r="A225">
        <v>1</v>
      </c>
      <c r="B225" s="53">
        <f t="shared" ref="B225:C229" si="29">B81</f>
        <v>0</v>
      </c>
      <c r="C225" s="53">
        <f t="shared" si="29"/>
        <v>0</v>
      </c>
      <c r="D225" s="12" t="str">
        <f t="shared" si="27"/>
        <v/>
      </c>
    </row>
    <row r="226" spans="1:4" x14ac:dyDescent="0.25">
      <c r="A226">
        <v>1</v>
      </c>
      <c r="B226" s="53">
        <f t="shared" si="29"/>
        <v>0</v>
      </c>
      <c r="C226" s="53">
        <f t="shared" si="29"/>
        <v>0</v>
      </c>
      <c r="D226" s="12" t="str">
        <f t="shared" si="27"/>
        <v/>
      </c>
    </row>
    <row r="227" spans="1:4" x14ac:dyDescent="0.25">
      <c r="A227">
        <v>1</v>
      </c>
      <c r="B227" s="53">
        <f t="shared" si="29"/>
        <v>0</v>
      </c>
      <c r="C227" s="53">
        <f t="shared" si="29"/>
        <v>0</v>
      </c>
      <c r="D227" s="12" t="str">
        <f t="shared" si="27"/>
        <v/>
      </c>
    </row>
    <row r="228" spans="1:4" x14ac:dyDescent="0.25">
      <c r="A228">
        <v>1</v>
      </c>
      <c r="B228" s="53">
        <f t="shared" si="29"/>
        <v>0</v>
      </c>
      <c r="C228" s="53">
        <f t="shared" si="29"/>
        <v>0</v>
      </c>
      <c r="D228" s="12" t="str">
        <f t="shared" si="27"/>
        <v/>
      </c>
    </row>
    <row r="229" spans="1:4" x14ac:dyDescent="0.25">
      <c r="A229">
        <v>1</v>
      </c>
      <c r="B229" s="53">
        <f t="shared" si="29"/>
        <v>0</v>
      </c>
      <c r="C229" s="53">
        <f t="shared" si="29"/>
        <v>0</v>
      </c>
      <c r="D229" s="12" t="str">
        <f t="shared" si="27"/>
        <v/>
      </c>
    </row>
    <row r="230" spans="1:4" x14ac:dyDescent="0.25">
      <c r="A230">
        <v>1</v>
      </c>
      <c r="B230" s="53">
        <f>B88</f>
        <v>1</v>
      </c>
      <c r="C230" s="53">
        <f>C88</f>
        <v>50</v>
      </c>
      <c r="D230" s="12" t="str">
        <f t="shared" si="27"/>
        <v/>
      </c>
    </row>
    <row r="231" spans="1:4" x14ac:dyDescent="0.25">
      <c r="A231">
        <v>1</v>
      </c>
      <c r="B231" s="53">
        <f>B89</f>
        <v>0</v>
      </c>
      <c r="C231" s="53">
        <f>C89</f>
        <v>0</v>
      </c>
      <c r="D231" s="12" t="str">
        <f t="shared" si="27"/>
        <v/>
      </c>
    </row>
    <row r="232" spans="1:4" ht="18.75" x14ac:dyDescent="0.35">
      <c r="A232">
        <v>1</v>
      </c>
      <c r="B232" s="53"/>
      <c r="C232" s="53"/>
      <c r="D232" s="29" t="s">
        <v>75</v>
      </c>
    </row>
    <row r="233" spans="1:4" x14ac:dyDescent="0.25">
      <c r="A233">
        <v>1</v>
      </c>
      <c r="B233" s="53"/>
      <c r="C233" s="53"/>
      <c r="D233" s="13" t="str">
        <f t="shared" ref="D233:D248" si="30">IF(F109=0,"",F109)</f>
        <v>بعض المندوبين غير ملتزمين بكتابة تفريدة النقدية . ( الأمر مكرر )</v>
      </c>
    </row>
    <row r="234" spans="1:4" x14ac:dyDescent="0.25">
      <c r="A234">
        <v>1</v>
      </c>
      <c r="B234" s="53"/>
      <c r="C234" s="53"/>
      <c r="D234" s="13" t="str">
        <f t="shared" si="30"/>
        <v>يوجد تقصير في ارفاق صور فواتير الجملة في بيان متحصلات الجملة . وتم التأكيد على ضرورة طباعة الفواتير كاملة وارفاقها في بيان المتحصلات .</v>
      </c>
    </row>
    <row r="235" spans="1:4" x14ac:dyDescent="0.25">
      <c r="A235">
        <v>1</v>
      </c>
      <c r="B235" s="53">
        <f t="shared" ref="B235:C249" si="31">B90</f>
        <v>0</v>
      </c>
      <c r="C235" s="53">
        <f t="shared" si="31"/>
        <v>0</v>
      </c>
      <c r="D235" s="13" t="str">
        <f t="shared" si="30"/>
        <v>يوجد عدد 5 مندوب تجزئة الطابعة لا تعمل ولا يستطيع طباعة الفواتير ولا الاغلاق الخاص به . وتم ارسال ميل بمشكلة الطابعة لادارة IS .</v>
      </c>
    </row>
    <row r="236" spans="1:4" x14ac:dyDescent="0.25">
      <c r="A236">
        <v>1</v>
      </c>
      <c r="B236" s="53">
        <f t="shared" si="31"/>
        <v>0</v>
      </c>
      <c r="C236" s="53">
        <f t="shared" si="31"/>
        <v>0</v>
      </c>
      <c r="D236" s="13" t="str">
        <f t="shared" si="30"/>
        <v>يوجد عدد مندوب لا توجد له طابعة ( مشروع التجزئة ) ، وعدد 3 مندوب اخرين لديهم مشكلة في الطابعة الخاصة به ، وعدد 6 شواحن طابعة لا تعمل بالتوكيل ـ تم ارسال ميل اكثر من مرة لحل المشكلة . ولم يتم الانتهاء من المشكلة .</v>
      </c>
    </row>
    <row r="237" spans="1:4" x14ac:dyDescent="0.25">
      <c r="A237">
        <v>1</v>
      </c>
      <c r="B237" s="53">
        <f t="shared" si="31"/>
        <v>0</v>
      </c>
      <c r="C237" s="53">
        <f t="shared" si="31"/>
        <v>0</v>
      </c>
      <c r="D237" s="13" t="str">
        <f t="shared" si="30"/>
        <v>لا يتم تسجيل التحصيلات على فواتير الاجل من المحاسبين .</v>
      </c>
    </row>
    <row r="238" spans="1:4" x14ac:dyDescent="0.25">
      <c r="A238">
        <v>1</v>
      </c>
      <c r="B238" s="53">
        <f t="shared" si="31"/>
        <v>0</v>
      </c>
      <c r="C238" s="53">
        <f t="shared" si="31"/>
        <v>0</v>
      </c>
      <c r="D238" s="13" t="str">
        <f t="shared" si="30"/>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row>
    <row r="239" spans="1:4" x14ac:dyDescent="0.25">
      <c r="A239">
        <v>1</v>
      </c>
      <c r="B239" s="53">
        <f t="shared" si="31"/>
        <v>0</v>
      </c>
      <c r="C239" s="53">
        <f t="shared" si="31"/>
        <v>0</v>
      </c>
      <c r="D239" s="13" t="str">
        <f t="shared" si="30"/>
        <v>لا يتم التزام التوكيل بطباعة مصادقة المديونية للمندوبين وارسالها على الميل . - وانما في نهاية الشهر فقط .</v>
      </c>
    </row>
    <row r="240" spans="1:4" x14ac:dyDescent="0.25">
      <c r="A240">
        <v>1</v>
      </c>
      <c r="B240" s="53">
        <f t="shared" si="31"/>
        <v>0</v>
      </c>
      <c r="C240" s="53">
        <f t="shared" si="31"/>
        <v>0</v>
      </c>
      <c r="D240" s="13" t="str">
        <f t="shared" si="30"/>
        <v xml:space="preserve"> تم التأكيد على ضرورة تسجيل رقم إيصال استلام النقدية بدفتر الخزنه وليس رقم الحركة على البرنامج .</v>
      </c>
    </row>
    <row r="241" spans="1:4" x14ac:dyDescent="0.25">
      <c r="A241">
        <v>1</v>
      </c>
      <c r="B241" s="53">
        <f t="shared" si="31"/>
        <v>0</v>
      </c>
      <c r="C241" s="53">
        <f t="shared" si="31"/>
        <v>0</v>
      </c>
      <c r="D241" s="13" t="str">
        <f t="shared" si="30"/>
        <v xml:space="preserve"> تم التأكيد على ضرورة التفرقة في تسجيل الشيكات عن الايداعات البنكية في الدفتر من خلال الوصف وليس جمعهم على بعضهم البعض .</v>
      </c>
    </row>
    <row r="242" spans="1:4" x14ac:dyDescent="0.25">
      <c r="A242">
        <v>1</v>
      </c>
      <c r="B242" s="53">
        <f t="shared" si="31"/>
        <v>0</v>
      </c>
      <c r="C242" s="53">
        <f t="shared" si="31"/>
        <v>0</v>
      </c>
      <c r="D242" s="13" t="str">
        <f t="shared" si="30"/>
        <v xml:space="preserve"> عدم استلام أي بيان متحصلات غير مستوفى البيانات ومطابقة تفريدة النقدية للفعلي .</v>
      </c>
    </row>
    <row r="243" spans="1:4" x14ac:dyDescent="0.25">
      <c r="A243">
        <v>1</v>
      </c>
      <c r="B243" s="53">
        <f t="shared" si="31"/>
        <v>0</v>
      </c>
      <c r="C243" s="53">
        <f t="shared" si="31"/>
        <v>0</v>
      </c>
      <c r="D243" s="13" t="str">
        <f t="shared" si="30"/>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row>
    <row r="244" spans="1:4" x14ac:dyDescent="0.25">
      <c r="A244">
        <v>1</v>
      </c>
      <c r="B244" s="53">
        <f t="shared" si="31"/>
        <v>0</v>
      </c>
      <c r="C244" s="53">
        <f t="shared" si="31"/>
        <v>0</v>
      </c>
      <c r="D244" s="13" t="str">
        <f t="shared" si="30"/>
        <v xml:space="preserve"> التأكيد على استكمال أرشيف الخزنة . وطباعة الجرد اليومي وارفاقه مع الأرشيف . تم الالتزام .</v>
      </c>
    </row>
    <row r="245" spans="1:4" x14ac:dyDescent="0.25">
      <c r="A245">
        <v>1</v>
      </c>
      <c r="B245" s="53">
        <f t="shared" si="31"/>
        <v>0</v>
      </c>
      <c r="C245" s="53">
        <f t="shared" si="31"/>
        <v>0</v>
      </c>
      <c r="D245" s="13" t="str">
        <f t="shared" si="30"/>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row>
    <row r="246" spans="1:4" x14ac:dyDescent="0.25">
      <c r="A246">
        <v>1</v>
      </c>
      <c r="B246" s="53">
        <f t="shared" si="31"/>
        <v>0</v>
      </c>
      <c r="C246" s="53">
        <f t="shared" si="31"/>
        <v>0</v>
      </c>
      <c r="D246" s="13" t="str">
        <f t="shared" si="30"/>
        <v xml:space="preserve"> قصور في تحديث دفتر مديونية العملاء لبعض العملاء وتم التأكيد بعدم تكرار الامر</v>
      </c>
    </row>
    <row r="247" spans="1:4" x14ac:dyDescent="0.25">
      <c r="A247">
        <v>1</v>
      </c>
      <c r="B247" s="53">
        <f t="shared" si="31"/>
        <v>0</v>
      </c>
      <c r="C247" s="53">
        <f t="shared" si="31"/>
        <v>0</v>
      </c>
      <c r="D247" s="13" t="str">
        <f t="shared" si="30"/>
        <v xml:space="preserve"> تمت مراجعة وارد عافيه المرسل للتوكيل</v>
      </c>
    </row>
    <row r="248" spans="1:4" x14ac:dyDescent="0.25">
      <c r="A248">
        <v>1</v>
      </c>
      <c r="B248" s="53">
        <f t="shared" si="31"/>
        <v>0</v>
      </c>
      <c r="C248" s="53">
        <f t="shared" si="31"/>
        <v>0</v>
      </c>
      <c r="D248" s="13" t="str">
        <f t="shared" si="30"/>
        <v xml:space="preserve"> تمت مراجعة وارد الملكة المرسل للتوكيل حتى تاريخه</v>
      </c>
    </row>
    <row r="249" spans="1:4" x14ac:dyDescent="0.25">
      <c r="A249">
        <v>1</v>
      </c>
      <c r="B249" s="53">
        <f t="shared" si="31"/>
        <v>0</v>
      </c>
      <c r="C249" s="53">
        <f t="shared" si="31"/>
        <v>0</v>
      </c>
    </row>
    <row r="250" spans="1:4" x14ac:dyDescent="0.25">
      <c r="A250">
        <v>1</v>
      </c>
      <c r="B250" s="53"/>
      <c r="C250" s="53"/>
    </row>
    <row r="251" spans="1:4" ht="18.75" x14ac:dyDescent="0.35">
      <c r="A251">
        <v>1</v>
      </c>
      <c r="B251" s="53"/>
      <c r="C251" s="53"/>
      <c r="D251" s="29" t="s">
        <v>133</v>
      </c>
    </row>
    <row r="252" spans="1:4" x14ac:dyDescent="0.25">
      <c r="A252">
        <v>1</v>
      </c>
      <c r="B252" s="53"/>
      <c r="C252" s="53"/>
      <c r="D252" s="12" t="str">
        <f>IF(D71=0,"",D71)</f>
        <v>تم التأكيد على مراجعة العداد الحالي والسابق في فواتير السولار لوجود بعض الاخطاء بها .</v>
      </c>
    </row>
    <row r="253" spans="1:4" x14ac:dyDescent="0.25">
      <c r="A253">
        <v>1</v>
      </c>
      <c r="B253" s="53"/>
      <c r="C253" s="53"/>
      <c r="D253" s="12" t="str">
        <f t="shared" ref="D253:D263" si="32">IF(D72=0,"",D72)</f>
        <v xml:space="preserve">تم الالتزام بكتابة العداد السابق على فواتير السولار </v>
      </c>
    </row>
    <row r="254" spans="1:4" x14ac:dyDescent="0.25">
      <c r="A254">
        <v>1</v>
      </c>
      <c r="B254" s="53">
        <f>B105</f>
        <v>0</v>
      </c>
      <c r="C254" s="53">
        <f>C105</f>
        <v>0</v>
      </c>
      <c r="D254" s="12" t="str">
        <f t="shared" si="32"/>
        <v>ضرورة التوقيع رباعي بالرقم القومي على المصاريف وبخاصة مصاريف السولار والزيت</v>
      </c>
    </row>
    <row r="255" spans="1:4" x14ac:dyDescent="0.25">
      <c r="A255">
        <v>1</v>
      </c>
      <c r="B255" s="53"/>
      <c r="C255" s="53">
        <f t="shared" ref="C255:C267" si="33">C106</f>
        <v>0</v>
      </c>
      <c r="D255" s="12" t="str">
        <f t="shared" si="32"/>
        <v/>
      </c>
    </row>
    <row r="256" spans="1:4" x14ac:dyDescent="0.25">
      <c r="A256">
        <v>1</v>
      </c>
      <c r="B256" s="53">
        <f>B107</f>
        <v>0</v>
      </c>
      <c r="C256" s="53">
        <f t="shared" si="33"/>
        <v>0</v>
      </c>
      <c r="D256" s="12" t="str">
        <f t="shared" si="32"/>
        <v>← يوجد مبلغ  67000  مصاريف سولار وزيت لم يتم ترحيلها حتى الان</v>
      </c>
    </row>
    <row r="257" spans="1:8" x14ac:dyDescent="0.25">
      <c r="A257">
        <v>1</v>
      </c>
      <c r="B257" s="53">
        <f>B108</f>
        <v>0</v>
      </c>
      <c r="C257" s="53">
        <f t="shared" si="33"/>
        <v>0</v>
      </c>
      <c r="D257" s="12" t="str">
        <f t="shared" si="32"/>
        <v/>
      </c>
    </row>
    <row r="258" spans="1:8" x14ac:dyDescent="0.25">
      <c r="A258">
        <v>1</v>
      </c>
      <c r="B258" s="53">
        <f>B109</f>
        <v>0</v>
      </c>
      <c r="C258" s="53">
        <f t="shared" si="33"/>
        <v>1</v>
      </c>
      <c r="D258" s="12" t="str">
        <f t="shared" si="32"/>
        <v/>
      </c>
    </row>
    <row r="259" spans="1:8" x14ac:dyDescent="0.25">
      <c r="A259">
        <v>1</v>
      </c>
      <c r="B259" s="53"/>
      <c r="C259" s="53">
        <f t="shared" si="33"/>
        <v>1</v>
      </c>
      <c r="D259" s="12" t="str">
        <f t="shared" si="32"/>
        <v/>
      </c>
    </row>
    <row r="260" spans="1:8" x14ac:dyDescent="0.25">
      <c r="A260">
        <v>1</v>
      </c>
      <c r="B260" s="53"/>
      <c r="C260" s="53">
        <f t="shared" si="33"/>
        <v>1</v>
      </c>
      <c r="D260" s="12" t="str">
        <f t="shared" si="32"/>
        <v/>
      </c>
    </row>
    <row r="261" spans="1:8" x14ac:dyDescent="0.25">
      <c r="A261">
        <v>1</v>
      </c>
      <c r="B261" s="53"/>
      <c r="C261" s="53">
        <f t="shared" si="33"/>
        <v>1</v>
      </c>
      <c r="D261" s="12" t="str">
        <f t="shared" si="32"/>
        <v/>
      </c>
    </row>
    <row r="262" spans="1:8" x14ac:dyDescent="0.25">
      <c r="A262">
        <v>1</v>
      </c>
      <c r="B262" s="53">
        <f>B113</f>
        <v>0</v>
      </c>
      <c r="C262" s="53">
        <f t="shared" si="33"/>
        <v>1</v>
      </c>
      <c r="D262" s="12" t="str">
        <f t="shared" si="32"/>
        <v/>
      </c>
    </row>
    <row r="263" spans="1:8" x14ac:dyDescent="0.25">
      <c r="A263">
        <v>1</v>
      </c>
      <c r="B263" s="53">
        <f>B114</f>
        <v>0</v>
      </c>
      <c r="C263" s="53">
        <f t="shared" si="33"/>
        <v>1</v>
      </c>
      <c r="D263" s="12" t="str">
        <f t="shared" si="32"/>
        <v>تمت الموافقة على المصاريف المرفوعة على البرنامج</v>
      </c>
    </row>
    <row r="264" spans="1:8" x14ac:dyDescent="0.25">
      <c r="A264">
        <v>1</v>
      </c>
      <c r="B264" s="53"/>
      <c r="C264" s="53">
        <f t="shared" si="33"/>
        <v>1</v>
      </c>
      <c r="D264" s="12"/>
    </row>
    <row r="265" spans="1:8" ht="18.75" x14ac:dyDescent="0.35">
      <c r="A265">
        <v>1</v>
      </c>
      <c r="B265" s="53"/>
      <c r="C265" s="53">
        <f t="shared" si="33"/>
        <v>1</v>
      </c>
      <c r="D265" s="29" t="s">
        <v>76</v>
      </c>
    </row>
    <row r="266" spans="1:8" x14ac:dyDescent="0.25">
      <c r="A266">
        <v>1</v>
      </c>
      <c r="B266" s="53"/>
      <c r="C266" s="53">
        <f t="shared" si="33"/>
        <v>1</v>
      </c>
      <c r="D266" s="13" t="str">
        <f t="shared" ref="D266:D277" si="34">IF(D130=0,"",D130)</f>
        <v>توجد بعض البضاعة المرشحة جاري فرزها للوقوف على عددها</v>
      </c>
    </row>
    <row r="267" spans="1:8" x14ac:dyDescent="0.25">
      <c r="A267">
        <v>1</v>
      </c>
      <c r="B267" s="53"/>
      <c r="C267" s="53">
        <f t="shared" si="33"/>
        <v>1</v>
      </c>
      <c r="D267" s="13" t="str">
        <f t="shared" si="34"/>
        <v>← يوجد بضاعة هالك بكمية  35.95 كرتونة بيانها بمحضر الجرد ويتم الانتهاء منها مع اول وارد للتوكيل</v>
      </c>
    </row>
    <row r="268" spans="1:8" x14ac:dyDescent="0.25">
      <c r="A268">
        <v>1</v>
      </c>
      <c r="B268" s="53">
        <f>B129</f>
        <v>0</v>
      </c>
      <c r="C268" s="53">
        <f>C129</f>
        <v>0</v>
      </c>
      <c r="D268" s="13" t="str">
        <f t="shared" si="34"/>
        <v>← يوجد رواكد بالتوكيل بكمية  1781.75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269" spans="1:8" x14ac:dyDescent="0.25">
      <c r="A269">
        <v>1</v>
      </c>
      <c r="B269" s="53">
        <f>B130</f>
        <v>0</v>
      </c>
      <c r="C269" s="53">
        <f>C130</f>
        <v>0</v>
      </c>
      <c r="D269" s="13" t="str">
        <f t="shared" si="34"/>
        <v xml:space="preserve">مكرونة مكرونتو شنطة هلاليه 10كجم - عدد 433  -  متبقي على الانتهاء  11 شهر ;الملكة شيوي إسباجتي 400 جم - عدد 20  -  متبقي على الانتهاء  13 شهر ;الملكة شيوي شعريه 400 جم - عدد 480  -  متبقي على الانتهاء  13 شهر ;الملكة شيوي إسباجتي 400 جم - عدد 2340  -  متبقي على الانتهاء  14 شهر ;الملكة شيوي شعريه 400 جم - عدد 1200  -  متبقي على الانتهاء  14 شهر ;الملكة شيوي فرن 400 جم - عدد 7340  -  متبقي على الانتهاء  14 شهر ;الملكة شيوي لسان 400 جم - عدد 1640  -  متبقي على الانتهاء  14 شهر ;الملكة شيوي مرمرية 400 جم - عدد 1480  -  متبقي على الانتهاء  14 شهر ;الملكة شيوي هلاليه 400 جم - عدد 300  -  متبقي على الانتهاء  14 شهر ;الشمس الذهبية أبيض 1.3 كجم *6 برطمان - عدد 522  -  متبقي على الانتهاء  15 شهر ;الشمس الذهبية أبيض 1.45 كجم * 4 باكت - عدد 100  -  متبقي على الانتهاء  15 شهر ;الشمس الذهبية أصفر 1.45 كجم * 4 باكت - عدد 204  -  متبقي على الانتهاء  15 شهر ;روابى 2.5 كجم * 4 - سهلة الفتح - عدد 376  -  متبقي على الانتهاء  16 شهر ;الطاهي أبيض 1.3 كجم *6 برطمان - عدد 102  -  متبقي على الانتهاء  17 شهر ;الطاهي أصفر 1.3 كجم *6 برطمان - عدد 120  -  متبقي على الانتهاء  17 شهر ;روابى 2.5 كجم * 4 - سهلة الفتح - عدد 188  -  متبقي على الانتهاء  17 شهر ;عافية تونة قطع في زيت عباد الشمس 185جم * 48 - عدد 3588  -  متبقي على الانتهاء  19 شهر ;الملكة شيوي خواتم 400 جم - عدد 3860  -  متبقي على الانتهاء  20 شهر </v>
      </c>
    </row>
    <row r="270" spans="1:8" s="45" customFormat="1" x14ac:dyDescent="0.25">
      <c r="A270">
        <v>1</v>
      </c>
      <c r="B270" s="53" t="e">
        <f>#REF!</f>
        <v>#REF!</v>
      </c>
      <c r="C270" s="53" t="e">
        <f>#REF!</f>
        <v>#REF!</v>
      </c>
      <c r="D270" s="13" t="str">
        <f t="shared" si="34"/>
        <v>← الأصناف بالمخزنين غير مرتبة وفقا للحجم والنوع وتم التأكيد على سرعة الانتها ء من ترتيب البضاعة وذلك بسبب صغر حجم المخزن مقارنة بالشحن .</v>
      </c>
      <c r="F270" s="48"/>
      <c r="G270" s="49"/>
      <c r="H270" s="49"/>
    </row>
    <row r="271" spans="1:8" s="45" customFormat="1" x14ac:dyDescent="0.25">
      <c r="A271">
        <v>1</v>
      </c>
      <c r="B271" s="53"/>
      <c r="C271" s="53"/>
      <c r="D271" s="13" t="str">
        <f t="shared" si="34"/>
        <v>← ارتفاع درجات الحرارة بالمخزنين مما قد يؤثر سلبا على البضاعة المتواجدة بالمخزن من جهة السوس او الترشيح</v>
      </c>
      <c r="F271" s="48"/>
      <c r="G271" s="49"/>
      <c r="H271" s="49"/>
    </row>
    <row r="272" spans="1:8" s="45" customFormat="1" x14ac:dyDescent="0.25">
      <c r="A272">
        <v>1</v>
      </c>
      <c r="B272" s="53"/>
      <c r="C272" s="53"/>
      <c r="D272" s="13" t="str">
        <f t="shared" si="34"/>
        <v>← معظم المراوح بكلا المخزنين لا تعمل .</v>
      </c>
      <c r="F272" s="48"/>
      <c r="G272" s="49"/>
      <c r="H272" s="49"/>
    </row>
    <row r="273" spans="1:4" x14ac:dyDescent="0.25">
      <c r="A273">
        <v>1</v>
      </c>
      <c r="B273" s="53"/>
      <c r="C273" s="53"/>
      <c r="D273" s="13" t="str">
        <f t="shared" si="34"/>
        <v xml:space="preserve">← تم ابعاد البضاعة عن الحائط في المخزنين </v>
      </c>
    </row>
    <row r="274" spans="1:4" x14ac:dyDescent="0.25">
      <c r="A274">
        <v>1</v>
      </c>
      <c r="B274" s="53"/>
      <c r="C274" s="53"/>
      <c r="D274" s="13" t="str">
        <f t="shared" si="34"/>
        <v>← لا يوجد شفاطات بالمخزن مما أدى إلى ارتفاع درجات الحرارة</v>
      </c>
    </row>
    <row r="275" spans="1:4" x14ac:dyDescent="0.25">
      <c r="A275">
        <v>1</v>
      </c>
      <c r="B275" s="53"/>
      <c r="C275" s="53"/>
      <c r="D275" s="13" t="str">
        <f t="shared" si="34"/>
        <v>← لا توجد طفايات حريق بالمخزنين .</v>
      </c>
    </row>
    <row r="276" spans="1:4" x14ac:dyDescent="0.25">
      <c r="A276">
        <v>1</v>
      </c>
      <c r="B276" s="53"/>
      <c r="C276" s="53"/>
      <c r="D276" s="13" t="str">
        <f t="shared" si="34"/>
        <v>← وجود أتربة على بعض المنتجات .</v>
      </c>
    </row>
    <row r="277" spans="1:4" x14ac:dyDescent="0.25">
      <c r="A277">
        <v>1</v>
      </c>
      <c r="B277" s="53"/>
      <c r="C277" s="53"/>
      <c r="D277" s="13" t="str">
        <f t="shared" si="34"/>
        <v>توجد بعض البالتات مكسرة بالتوكيل</v>
      </c>
    </row>
    <row r="278" spans="1:4" x14ac:dyDescent="0.25">
      <c r="A278">
        <v>1</v>
      </c>
      <c r="B278" s="53"/>
      <c r="C278" s="53"/>
      <c r="D278" s="13" t="str">
        <f t="shared" ref="D278:D279" si="35">IF(D142=0,"",D142)</f>
        <v xml:space="preserve"> لا يتم فصل الزيت عن السمنة</v>
      </c>
    </row>
    <row r="279" spans="1:4" x14ac:dyDescent="0.25">
      <c r="A279">
        <v>1</v>
      </c>
      <c r="B279" s="53"/>
      <c r="C279" s="53"/>
      <c r="D279" s="13" t="str">
        <f t="shared" si="35"/>
        <v/>
      </c>
    </row>
    <row r="280" spans="1:4" x14ac:dyDescent="0.25">
      <c r="A280">
        <v>1</v>
      </c>
      <c r="B280" s="53"/>
      <c r="C280" s="53"/>
    </row>
    <row r="281" spans="1:4" x14ac:dyDescent="0.25">
      <c r="B281" s="53"/>
      <c r="C281" s="53"/>
    </row>
    <row r="282" spans="1:4" x14ac:dyDescent="0.25">
      <c r="B282" s="53"/>
      <c r="C282" s="53"/>
    </row>
    <row r="283" spans="1:4" x14ac:dyDescent="0.25">
      <c r="B283" s="53"/>
      <c r="C283" s="53"/>
    </row>
  </sheetData>
  <autoFilter ref="A1:J425" xr:uid="{65980D3A-BD07-459F-BB5E-702056BC23EC}"/>
  <pageMargins left="0.7" right="0.7" top="0.75" bottom="0.75" header="0.3" footer="0.3"/>
  <drawing r:id="rId1"/>
  <legacyDrawing r:id="rId2"/>
  <controls>
    <mc:AlternateContent xmlns:mc="http://schemas.openxmlformats.org/markup-compatibility/2006">
      <mc:Choice Requires="x14">
        <control shapeId="6145" r:id="rId3" name="Control 1">
          <controlPr defaultSize="0" r:id="rId4">
            <anchor moveWithCells="1">
              <from>
                <xdr:col>5</xdr:col>
                <xdr:colOff>266700</xdr:colOff>
                <xdr:row>264</xdr:row>
                <xdr:rowOff>123825</xdr:rowOff>
              </from>
              <to>
                <xdr:col>5</xdr:col>
                <xdr:colOff>457200</xdr:colOff>
                <xdr:row>265</xdr:row>
                <xdr:rowOff>76200</xdr:rowOff>
              </to>
            </anchor>
          </controlPr>
        </control>
      </mc:Choice>
      <mc:Fallback>
        <control shapeId="6145" r:id="rId3" name="Control 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92F02-221F-4E44-BEB1-4D9C88AD241D}">
  <sheetPr codeName="Sheet6"/>
  <dimension ref="A1:T279"/>
  <sheetViews>
    <sheetView rightToLeft="1" topLeftCell="A262" zoomScale="85" zoomScaleNormal="85" workbookViewId="0">
      <selection activeCell="D274" sqref="D274"/>
    </sheetView>
  </sheetViews>
  <sheetFormatPr defaultRowHeight="15" x14ac:dyDescent="0.25"/>
  <cols>
    <col min="2" max="2" width="9.140625" style="9"/>
    <col min="3" max="3" width="13.28515625" style="9" bestFit="1" customWidth="1"/>
    <col min="4" max="4" width="109.140625" style="13" customWidth="1"/>
    <col min="5" max="5" width="31.42578125" bestFit="1" customWidth="1"/>
    <col min="6" max="6" width="31.7109375" style="9" customWidth="1"/>
    <col min="7" max="8" width="9.140625" style="10"/>
    <col min="12" max="12" width="14.28515625" bestFit="1" customWidth="1"/>
  </cols>
  <sheetData>
    <row r="1" spans="1:20" ht="26.25" x14ac:dyDescent="0.25">
      <c r="D1" s="8" t="s">
        <v>189</v>
      </c>
    </row>
    <row r="2" spans="1:20" ht="16.5" x14ac:dyDescent="0.25">
      <c r="B2" s="9">
        <v>1</v>
      </c>
      <c r="D2" s="11" t="s">
        <v>1</v>
      </c>
      <c r="T2" t="str">
        <f>IF('[1]Rwaked BLQ'!$H5="","",CONCATENATE('[1]Rwaked BLQ'!$H5," - عدد ",'[1]Rwaked BLQ'!$G5,"  -  متبقي على الانتهاء  ",'[1]Rwaked BLQ'!$D5," شهر "))</f>
        <v xml:space="preserve">الملكة شيوي إسباجتي 400 جم - عدد 20  -  متبقي على الانتهاء  2 شهر </v>
      </c>
    </row>
    <row r="3" spans="1:20" ht="16.5" x14ac:dyDescent="0.25">
      <c r="B3" s="9" t="s">
        <v>2</v>
      </c>
      <c r="D3" s="11" t="s">
        <v>3</v>
      </c>
      <c r="T3" t="str">
        <f>IF('[1]Rwaked BLQ'!$H6="","",CONCATENATE('[1]Rwaked BLQ'!$H6," - عدد ",'[1]Rwaked BLQ'!$G6,"  -  متبقي على الانتهاء  ",'[1]Rwaked BLQ'!$D6," شهر "))</f>
        <v xml:space="preserve">الملكة شيوي لسان 400 جم - عدد 340  -  متبقي على الانتهاء  11 شهر </v>
      </c>
    </row>
    <row r="4" spans="1:20" x14ac:dyDescent="0.25">
      <c r="A4">
        <v>1</v>
      </c>
      <c r="B4" s="9">
        <f t="shared" ref="B4:B15" si="0">IF(C4&gt;0,1,0)</f>
        <v>0</v>
      </c>
      <c r="C4" s="15">
        <v>0</v>
      </c>
      <c r="D4" s="13" t="str">
        <f>IF(C4=0,"توجد بعض البضاعة المرشحة جاري فرزها للوقوف على عددها",F4)</f>
        <v>توجد بعض البضاعة المرشحة جاري فرزها للوقوف على عددها</v>
      </c>
      <c r="F4" s="10" t="str">
        <f>"← يوجد بضاعة مرشحة بكمية "&amp;" "&amp;C4&amp;" "&amp;"كرتونة  وتم ارسال ميل بها وسوف يتم ارتجاعهم اليوم مع توالف عافيه بالجرار"</f>
        <v>← يوجد بضاعة مرشحة بكمية  0 كرتونة  وتم ارسال ميل بها وسوف يتم ارتجاعهم اليوم مع توالف عافيه بالجرار</v>
      </c>
      <c r="T4" t="str">
        <f>IF('[1]Rwaked BLQ'!$H7="","",CONCATENATE('[1]Rwaked BLQ'!$H7," - عدد ",'[1]Rwaked BLQ'!$G7,"  -  متبقي على الانتهاء  ",'[1]Rwaked BLQ'!$D7," شهر "))</f>
        <v xml:space="preserve">الملكة شيوي خواتم 400 جم - عدد 20  -  متبقي على الانتهاء  12 شهر </v>
      </c>
    </row>
    <row r="5" spans="1:20" x14ac:dyDescent="0.25">
      <c r="A5">
        <v>1</v>
      </c>
      <c r="B5" s="9">
        <f t="shared" si="0"/>
        <v>0</v>
      </c>
      <c r="C5" s="15">
        <v>0</v>
      </c>
      <c r="D5" s="13" t="str">
        <f>IF(C5=0,"يوجد بضاعة هالك يتم ارتجاعها على جرار الوارد",F5)</f>
        <v>يوجد بضاعة هالك يتم ارتجاعها على جرار الوارد</v>
      </c>
      <c r="F5" s="10" t="str">
        <f>"← يوجد بضاعة هالك بكمية "&amp;" "&amp;C5&amp;" "&amp;E5&amp;"  بيانها بمحضر الجرد ويتم الانتهاء منها مع اول وارد للتوكيل"</f>
        <v>← يوجد بضاعة هالك بكمية  0   بيانها بمحضر الجرد ويتم الانتهاء منها مع اول وارد للتوكيل</v>
      </c>
      <c r="T5" t="str">
        <f>IF('[1]Rwaked BLQ'!$H8="","",CONCATENATE('[1]Rwaked BLQ'!$H8," - عدد ",'[1]Rwaked BLQ'!$G8,"  -  متبقي على الانتهاء  ",'[1]Rwaked BLQ'!$D8," شهر "))</f>
        <v xml:space="preserve">الملكة شيوي شعريه 400 جم - عدد 20  -  متبقي على الانتهاء  13 شهر </v>
      </c>
    </row>
    <row r="6" spans="1:20" x14ac:dyDescent="0.25">
      <c r="A6">
        <v>1</v>
      </c>
      <c r="B6" s="9">
        <f t="shared" si="0"/>
        <v>1</v>
      </c>
      <c r="C6" s="15">
        <f>'[1]Rwaked BLQ'!$B$4</f>
        <v>2796</v>
      </c>
      <c r="D6" s="13" t="str">
        <f>IF(C6=0,"لا يوجد رواكد بالتوكيل",F6)</f>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c r="F6" s="12" t="str">
        <f>"← يوجد رواكد بالتوكيل بكمية "&amp;" "&amp;C6&amp;" "&amp;"كرتونة وتم ارسال ميل بها لمدير الاقليم للقيام بعمل التحويلات اللازمة للاقاليم الاخرى للانتهاء منها وتم عمل بعض التحويلات البسيطة منها للاقاليم الاخرى"</f>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c r="T6" t="str">
        <f>IF('[1]Rwaked BLQ'!$H9="","",CONCATENATE('[1]Rwaked BLQ'!$H9," - عدد ",'[1]Rwaked BLQ'!$G9,"  -  متبقي على الانتهاء  ",'[1]Rwaked BLQ'!$D9," شهر "))</f>
        <v xml:space="preserve">الملكة شيوي مرمرية 400 جم - عدد 60  -  متبقي على الانتهاء  13 شهر </v>
      </c>
    </row>
    <row r="7" spans="1:20" x14ac:dyDescent="0.25">
      <c r="A7">
        <v>1</v>
      </c>
      <c r="B7" s="9">
        <f t="shared" si="0"/>
        <v>1</v>
      </c>
      <c r="C7" s="15">
        <f>C6</f>
        <v>2796</v>
      </c>
      <c r="D7" s="13" t="str">
        <f>IF(C7=0,"",_xlfn.TEXTJOIN("  ;  ",TRUE,T2:T50))</f>
        <v xml:space="preserve">الملكة شيوي إسباجتي 400 جم - عدد 20  -  متبقي على الانتهاء  2 شهر   ;  الملكة شيوي لسان 400 جم - عدد 340  -  متبقي على الانتهاء  11 شهر   ;  الملكة شيوي خواتم 400 جم - عدد 20  -  متبقي على الانتهاء  12 شهر   ;  الملكة شيوي شعريه 400 جم - عدد 20  -  متبقي على الانتهاء  13 شهر   ;  الملكة شيوي مرمرية 400 جم - عدد 60  -  متبقي على الانتهاء  13 شهر   ;  الملكة شيوي شعريه 400 جم - عدد 4200  -  متبقي على الانتهاء  14 شهر   ;  الملكة شيوي فرن 400 جم - عدد 60  -  متبقي على الانتهاء  14 شهر   ;  الملكة شيوي لسان 400 جم - عدد 2380  -  متبقي على الانتهاء  14 شهر   ;  الملكة شيوي مرمرية 400 جم - عدد 4060  -  متبقي على الانتهاء  14 شهر   ;  الشمس الذهبية أبيض 1.3 كجم *6 برطمان - عدد 1152  -  متبقي على الانتهاء  15 شهر   ;  الشمس الذهبية أبيض 1.45 كجم * 4 باكت - عدد 16  -  متبقي على الانتهاء  15 شهر   ;  الشمس الذهبية أصفر 1.3 كجم *6 برطمان - عدد 204  -  متبقي على الانتهاء  15 شهر   ;  الملكة شيوي فرن 400 جم - عدد 10660  -  متبقي على الانتهاء  15 شهر   ;  الملكة شيوي لسان 400 جم - عدد 960  -  متبقي على الانتهاء  15 شهر   ;  الملكة شيوي هلاليه 400 جم - عدد 5340  -  متبقي على الانتهاء  15 شهر   ;  الشمس الذهبية أبيض 1.3 كجم *6 برطمان - عدد 1794  -  متبقي على الانتهاء  16 شهر   ;  الشمس الذهبية أبيض 1.45 كجم * 4 باكت - عدد 28  -  متبقي على الانتهاء  16 شهر   ;  الشمس الذهبية أصفر 1.3 كجم *6 برطمان - عدد 612  -  متبقي على الانتهاء  16 شهر   ;  الملكة شيوي لسان 400 جم - عدد 1400  -  متبقي على الانتهاء  16 شهر   ;  الشمس الذهبية أبيض 1.45 كجم * 4 باكت - عدد 48  -  متبقي على الانتهاء  17 شهر   ;  الطاهي أبيض 1.3 كجم *6 برطمان - عدد 222  -  متبقي على الانتهاء  17 شهر   ;  الطاهي أصفر 1.3 كجم *6 برطمان - عدد 2838  -  متبقي على الانتهاء  17 شهر   ;  الملكة شيوي خواتم 400 جم - عدد 3200  -  متبقي على الانتهاء  21 شهر </v>
      </c>
      <c r="F7" s="12" t="s">
        <v>143</v>
      </c>
      <c r="T7" t="str">
        <f>IF('[1]Rwaked BLQ'!$H10="","",CONCATENATE('[1]Rwaked BLQ'!$H10," - عدد ",'[1]Rwaked BLQ'!$G10,"  -  متبقي على الانتهاء  ",'[1]Rwaked BLQ'!$D10," شهر "))</f>
        <v xml:space="preserve">الملكة شيوي شعريه 400 جم - عدد 4200  -  متبقي على الانتهاء  14 شهر </v>
      </c>
    </row>
    <row r="8" spans="1:20" x14ac:dyDescent="0.25">
      <c r="A8">
        <v>1</v>
      </c>
      <c r="B8" s="9">
        <f t="shared" si="0"/>
        <v>0</v>
      </c>
      <c r="C8" s="15"/>
      <c r="D8" s="13" t="str">
        <f t="shared" ref="D8:D15" si="1">IF(C8=0,"",F8)</f>
        <v/>
      </c>
      <c r="F8" s="12" t="s">
        <v>144</v>
      </c>
      <c r="T8" t="str">
        <f>IF('[1]Rwaked BLQ'!$H11="","",CONCATENATE('[1]Rwaked BLQ'!$H11," - عدد ",'[1]Rwaked BLQ'!$G11,"  -  متبقي على الانتهاء  ",'[1]Rwaked BLQ'!$D11," شهر "))</f>
        <v xml:space="preserve">الملكة شيوي فرن 400 جم - عدد 60  -  متبقي على الانتهاء  14 شهر </v>
      </c>
    </row>
    <row r="9" spans="1:20" x14ac:dyDescent="0.25">
      <c r="A9">
        <v>1</v>
      </c>
      <c r="B9" s="9">
        <f t="shared" si="0"/>
        <v>0</v>
      </c>
      <c r="C9" s="15"/>
      <c r="D9" s="13" t="str">
        <f t="shared" si="1"/>
        <v/>
      </c>
      <c r="F9" s="12" t="s">
        <v>144</v>
      </c>
      <c r="T9" t="str">
        <f>IF('[1]Rwaked BLQ'!$H12="","",CONCATENATE('[1]Rwaked BLQ'!$H12," - عدد ",'[1]Rwaked BLQ'!$G12,"  -  متبقي على الانتهاء  ",'[1]Rwaked BLQ'!$D12," شهر "))</f>
        <v xml:space="preserve">الملكة شيوي لسان 400 جم - عدد 2380  -  متبقي على الانتهاء  14 شهر </v>
      </c>
    </row>
    <row r="10" spans="1:20" x14ac:dyDescent="0.25">
      <c r="A10">
        <v>1</v>
      </c>
      <c r="B10" s="9">
        <f t="shared" si="0"/>
        <v>0</v>
      </c>
      <c r="C10" s="15"/>
      <c r="D10" s="13" t="str">
        <f t="shared" si="1"/>
        <v/>
      </c>
      <c r="F10" s="12" t="s">
        <v>145</v>
      </c>
      <c r="T10" t="str">
        <f>IF('[1]Rwaked BLQ'!$H13="","",CONCATENATE('[1]Rwaked BLQ'!$H13," - عدد ",'[1]Rwaked BLQ'!$G13,"  -  متبقي على الانتهاء  ",'[1]Rwaked BLQ'!$D13," شهر "))</f>
        <v xml:space="preserve">الملكة شيوي مرمرية 400 جم - عدد 4060  -  متبقي على الانتهاء  14 شهر </v>
      </c>
    </row>
    <row r="11" spans="1:20" x14ac:dyDescent="0.25">
      <c r="A11">
        <v>1</v>
      </c>
      <c r="B11" s="9">
        <f t="shared" si="0"/>
        <v>0</v>
      </c>
      <c r="C11" s="15"/>
      <c r="D11" s="13" t="str">
        <f t="shared" si="1"/>
        <v/>
      </c>
      <c r="F11" s="12" t="s">
        <v>146</v>
      </c>
      <c r="T11" t="str">
        <f>IF('[1]Rwaked BLQ'!$H14="","",CONCATENATE('[1]Rwaked BLQ'!$H14," - عدد ",'[1]Rwaked BLQ'!$G14,"  -  متبقي على الانتهاء  ",'[1]Rwaked BLQ'!$D14," شهر "))</f>
        <v xml:space="preserve">الشمس الذهبية أبيض 1.3 كجم *6 برطمان - عدد 1152  -  متبقي على الانتهاء  15 شهر </v>
      </c>
    </row>
    <row r="12" spans="1:20" x14ac:dyDescent="0.25">
      <c r="A12">
        <v>1</v>
      </c>
      <c r="B12" s="9">
        <f t="shared" si="0"/>
        <v>0</v>
      </c>
      <c r="C12" s="15"/>
      <c r="D12" s="13" t="str">
        <f t="shared" si="1"/>
        <v/>
      </c>
      <c r="F12" s="12" t="s">
        <v>146</v>
      </c>
      <c r="T12" t="str">
        <f>IF('[1]Rwaked BLQ'!$H15="","",CONCATENATE('[1]Rwaked BLQ'!$H15," - عدد ",'[1]Rwaked BLQ'!$G15,"  -  متبقي على الانتهاء  ",'[1]Rwaked BLQ'!$D15," شهر "))</f>
        <v xml:space="preserve">الشمس الذهبية أبيض 1.45 كجم * 4 باكت - عدد 16  -  متبقي على الانتهاء  15 شهر </v>
      </c>
    </row>
    <row r="13" spans="1:20" x14ac:dyDescent="0.25">
      <c r="A13">
        <v>1</v>
      </c>
      <c r="B13" s="9">
        <f t="shared" si="0"/>
        <v>0</v>
      </c>
      <c r="C13" s="15"/>
      <c r="D13" s="13" t="str">
        <f t="shared" si="1"/>
        <v/>
      </c>
      <c r="F13" s="12" t="s">
        <v>146</v>
      </c>
      <c r="T13" t="str">
        <f>IF('[1]Rwaked BLQ'!$H16="","",CONCATENATE('[1]Rwaked BLQ'!$H16," - عدد ",'[1]Rwaked BLQ'!$G16,"  -  متبقي على الانتهاء  ",'[1]Rwaked BLQ'!$D16," شهر "))</f>
        <v xml:space="preserve">الشمس الذهبية أصفر 1.3 كجم *6 برطمان - عدد 204  -  متبقي على الانتهاء  15 شهر </v>
      </c>
    </row>
    <row r="14" spans="1:20" x14ac:dyDescent="0.25">
      <c r="A14">
        <v>1</v>
      </c>
      <c r="B14" s="9">
        <f t="shared" si="0"/>
        <v>0</v>
      </c>
      <c r="C14" s="15"/>
      <c r="D14" s="13" t="str">
        <f t="shared" si="1"/>
        <v/>
      </c>
      <c r="F14" s="12"/>
      <c r="T14" t="str">
        <f>IF('[1]Rwaked BLQ'!$H17="","",CONCATENATE('[1]Rwaked BLQ'!$H17," - عدد ",'[1]Rwaked BLQ'!$G17,"  -  متبقي على الانتهاء  ",'[1]Rwaked BLQ'!$D17," شهر "))</f>
        <v xml:space="preserve">الملكة شيوي فرن 400 جم - عدد 10660  -  متبقي على الانتهاء  15 شهر </v>
      </c>
    </row>
    <row r="15" spans="1:20" x14ac:dyDescent="0.25">
      <c r="A15">
        <v>1</v>
      </c>
      <c r="B15" s="9">
        <f t="shared" si="0"/>
        <v>0</v>
      </c>
      <c r="C15" s="15">
        <f>_xlfn.XLOOKUP("Dakahlia BLQ – Al Yasmine",[2]Summary!$B$34:$B$40,[2]Summary!$D$34:$D$40,0)</f>
        <v>0</v>
      </c>
      <c r="D15" s="13" t="str">
        <f t="shared" si="1"/>
        <v/>
      </c>
      <c r="F15" s="12"/>
      <c r="T15" t="str">
        <f>IF('[1]Rwaked BLQ'!$H18="","",CONCATENATE('[1]Rwaked BLQ'!$H18," - عدد ",'[1]Rwaked BLQ'!$G18,"  -  متبقي على الانتهاء  ",'[1]Rwaked BLQ'!$D18," شهر "))</f>
        <v xml:space="preserve">الملكة شيوي لسان 400 جم - عدد 960  -  متبقي على الانتهاء  15 شهر </v>
      </c>
    </row>
    <row r="16" spans="1:20" x14ac:dyDescent="0.25">
      <c r="A16">
        <v>1</v>
      </c>
      <c r="B16" s="9">
        <v>1</v>
      </c>
      <c r="C16" s="15"/>
      <c r="D16" s="12" t="str">
        <f>"← تمت مراجعة الوارد المرسل من المصنع إلى التوكيل حتى اليوم "</f>
        <v xml:space="preserve">← تمت مراجعة الوارد المرسل من المصنع إلى التوكيل حتى اليوم </v>
      </c>
      <c r="T16" t="str">
        <f>IF('[1]Rwaked BLQ'!$H19="","",CONCATENATE('[1]Rwaked BLQ'!$H19," - عدد ",'[1]Rwaked BLQ'!$G19,"  -  متبقي على الانتهاء  ",'[1]Rwaked BLQ'!$D19," شهر "))</f>
        <v xml:space="preserve">الملكة شيوي هلاليه 400 جم - عدد 5340  -  متبقي على الانتهاء  15 شهر </v>
      </c>
    </row>
    <row r="17" spans="1:20" x14ac:dyDescent="0.25">
      <c r="A17">
        <v>1</v>
      </c>
      <c r="C17" s="15"/>
      <c r="D17" s="12"/>
      <c r="T17" t="str">
        <f>IF('[1]Rwaked BLQ'!$H20="","",CONCATENATE('[1]Rwaked BLQ'!$H20," - عدد ",'[1]Rwaked BLQ'!$G20,"  -  متبقي على الانتهاء  ",'[1]Rwaked BLQ'!$D20," شهر "))</f>
        <v xml:space="preserve">الشمس الذهبية أبيض 1.3 كجم *6 برطمان - عدد 1794  -  متبقي على الانتهاء  16 شهر </v>
      </c>
    </row>
    <row r="18" spans="1:20" x14ac:dyDescent="0.25">
      <c r="A18">
        <v>1</v>
      </c>
      <c r="T18" t="str">
        <f>IF('[1]Rwaked BLQ'!$H21="","",CONCATENATE('[1]Rwaked BLQ'!$H21," - عدد ",'[1]Rwaked BLQ'!$G21,"  -  متبقي على الانتهاء  ",'[1]Rwaked BLQ'!$D21," شهر "))</f>
        <v xml:space="preserve">الشمس الذهبية أبيض 1.45 كجم * 4 باكت - عدد 28  -  متبقي على الانتهاء  16 شهر </v>
      </c>
    </row>
    <row r="19" spans="1:20" x14ac:dyDescent="0.25">
      <c r="A19">
        <v>1</v>
      </c>
      <c r="T19" t="str">
        <f>IF('[1]Rwaked BLQ'!$H22="","",CONCATENATE('[1]Rwaked BLQ'!$H22," - عدد ",'[1]Rwaked BLQ'!$G22,"  -  متبقي على الانتهاء  ",'[1]Rwaked BLQ'!$D22," شهر "))</f>
        <v xml:space="preserve">الشمس الذهبية أصفر 1.3 كجم *6 برطمان - عدد 612  -  متبقي على الانتهاء  16 شهر </v>
      </c>
    </row>
    <row r="20" spans="1:20" x14ac:dyDescent="0.25">
      <c r="A20">
        <v>1</v>
      </c>
      <c r="T20" t="str">
        <f>IF('[1]Rwaked BLQ'!$H23="","",CONCATENATE('[1]Rwaked BLQ'!$H23," - عدد ",'[1]Rwaked BLQ'!$G23,"  -  متبقي على الانتهاء  ",'[1]Rwaked BLQ'!$D23," شهر "))</f>
        <v xml:space="preserve">الملكة شيوي لسان 400 جم - عدد 1400  -  متبقي على الانتهاء  16 شهر </v>
      </c>
    </row>
    <row r="21" spans="1:20" ht="20.25" x14ac:dyDescent="0.25">
      <c r="A21">
        <v>1</v>
      </c>
      <c r="B21" s="9">
        <v>1</v>
      </c>
      <c r="D21" s="11" t="s">
        <v>5</v>
      </c>
      <c r="T21" t="str">
        <f>IF('[1]Rwaked BLQ'!$H24="","",CONCATENATE('[1]Rwaked BLQ'!$H24," - عدد ",'[1]Rwaked BLQ'!$G24,"  -  متبقي على الانتهاء  ",'[1]Rwaked BLQ'!$D24," شهر "))</f>
        <v xml:space="preserve">الشمس الذهبية أبيض 1.45 كجم * 4 باكت - عدد 48  -  متبقي على الانتهاء  17 شهر </v>
      </c>
    </row>
    <row r="22" spans="1:20" ht="16.5" x14ac:dyDescent="0.25">
      <c r="A22">
        <v>1</v>
      </c>
      <c r="B22" s="9">
        <v>1</v>
      </c>
      <c r="D22" s="14" t="s">
        <v>6</v>
      </c>
      <c r="T22" t="str">
        <f>IF('[1]Rwaked BLQ'!$H25="","",CONCATENATE('[1]Rwaked BLQ'!$H25," - عدد ",'[1]Rwaked BLQ'!$G25,"  -  متبقي على الانتهاء  ",'[1]Rwaked BLQ'!$D25," شهر "))</f>
        <v xml:space="preserve">الطاهي أبيض 1.3 كجم *6 برطمان - عدد 222  -  متبقي على الانتهاء  17 شهر </v>
      </c>
    </row>
    <row r="23" spans="1:20" x14ac:dyDescent="0.25">
      <c r="A23">
        <v>1</v>
      </c>
      <c r="B23" s="9">
        <f t="shared" ref="B23:B30" si="2">IF(C23&gt;0,1,0)</f>
        <v>1</v>
      </c>
      <c r="C23" s="15">
        <v>34961.47</v>
      </c>
      <c r="D23" s="13" t="str">
        <f t="shared" ref="D23:D30" si="3">IF(C23=0,"",G23)</f>
        <v xml:space="preserve">← توجد فواتير بدون بعد مالي عافيه بمبلغ  34961.47 لم يتم الانتهاء من حله حتى الان ويتم الارسال بالمشكلة بصفة دورية إلى الادارة </v>
      </c>
      <c r="E23" t="s">
        <v>8</v>
      </c>
      <c r="F23" s="9" t="s">
        <v>9</v>
      </c>
      <c r="G23" s="39" t="str">
        <f>E23&amp;" "&amp;C23&amp;" "&amp;F23</f>
        <v xml:space="preserve">← توجد فواتير بدون بعد مالي عافيه بمبلغ  34961.47 لم يتم الانتهاء من حله حتى الان ويتم الارسال بالمشكلة بصفة دورية إلى الادارة </v>
      </c>
      <c r="T23" t="str">
        <f>IF('[1]Rwaked BLQ'!$H26="","",CONCATENATE('[1]Rwaked BLQ'!$H26," - عدد ",'[1]Rwaked BLQ'!$G26,"  -  متبقي على الانتهاء  ",'[1]Rwaked BLQ'!$D26," شهر "))</f>
        <v xml:space="preserve">الطاهي أصفر 1.3 كجم *6 برطمان - عدد 2838  -  متبقي على الانتهاء  17 شهر </v>
      </c>
    </row>
    <row r="24" spans="1:20" x14ac:dyDescent="0.25">
      <c r="A24">
        <v>1</v>
      </c>
      <c r="B24" s="9">
        <f t="shared" si="2"/>
        <v>1</v>
      </c>
      <c r="C24" s="15">
        <v>675000</v>
      </c>
      <c r="D24" s="13" t="str">
        <f t="shared" si="3"/>
        <v>←  يوجد فكة بالتوكيل  بمبلغ   0,675,000.00 سيتم عمل ايداع بها لدى تارجت</v>
      </c>
      <c r="E24" t="s">
        <v>10</v>
      </c>
      <c r="F24" s="9" t="s">
        <v>156</v>
      </c>
      <c r="G24" s="16" t="str">
        <f>E24&amp;" "&amp;TEXT(C24,"0,000,000.00"&amp;" "&amp;F24)</f>
        <v>←  يوجد فكة بالتوكيل  بمبلغ   0,675,000.00 سيتم عمل ايداع بها لدى تارجت</v>
      </c>
      <c r="T24" t="str">
        <f>IF('[1]Rwaked BLQ'!$H27="","",CONCATENATE('[1]Rwaked BLQ'!$H27," - عدد ",'[1]Rwaked BLQ'!$G27,"  -  متبقي على الانتهاء  ",'[1]Rwaked BLQ'!$D27," شهر "))</f>
        <v xml:space="preserve">الملكة شيوي خواتم 400 جم - عدد 3200  -  متبقي على الانتهاء  21 شهر </v>
      </c>
    </row>
    <row r="25" spans="1:20" x14ac:dyDescent="0.25">
      <c r="A25">
        <v>1</v>
      </c>
      <c r="B25" s="9">
        <f t="shared" si="2"/>
        <v>1</v>
      </c>
      <c r="C25" s="15">
        <v>147058</v>
      </c>
      <c r="D25" s="13" t="str">
        <f t="shared" si="3"/>
        <v>← يوجد مبلغ  147058 مصاريف تامينات وضريبة دخل وسولار لم يتم صرفهم على البرنامج حتى الان ..</v>
      </c>
      <c r="E25" t="s">
        <v>12</v>
      </c>
      <c r="F25" s="9" t="s">
        <v>158</v>
      </c>
      <c r="G25" s="16" t="str">
        <f>E25&amp;" "&amp;C25&amp;" "&amp;F25</f>
        <v>← يوجد مبلغ  147058 مصاريف تامينات وضريبة دخل وسولار لم يتم صرفهم على البرنامج حتى الان ..</v>
      </c>
      <c r="T25" t="str">
        <f>IF('[1]Rwaked BLQ'!$H28="","",CONCATENATE('[1]Rwaked BLQ'!$H28," - عدد ",'[1]Rwaked BLQ'!$G28,"  -  متبقي على الانتهاء  ",'[1]Rwaked BLQ'!$D28," شهر "))</f>
        <v/>
      </c>
    </row>
    <row r="26" spans="1:20" x14ac:dyDescent="0.25">
      <c r="A26">
        <v>1</v>
      </c>
      <c r="B26" s="9">
        <f t="shared" si="2"/>
        <v>0</v>
      </c>
      <c r="C26" s="15">
        <v>0</v>
      </c>
      <c r="D26" s="13" t="str">
        <f t="shared" si="3"/>
        <v/>
      </c>
      <c r="E26" t="s">
        <v>12</v>
      </c>
      <c r="F26" s="9" t="s">
        <v>93</v>
      </c>
      <c r="G26" s="39" t="str">
        <f>E26&amp;" "&amp;C26&amp;" "&amp;F26</f>
        <v>← يوجد مبلغ  0 قيمة فواتير اجل تم ظهورها في المديونية نتيجة مشكلة في الهاند هيلد وليست في المديونية وقيمتها موجودة بخزينة الشركة بالزيادة</v>
      </c>
      <c r="T26" t="str">
        <f>IF('[1]Rwaked BLQ'!$H29="","",CONCATENATE('[1]Rwaked BLQ'!$H29," - عدد ",'[1]Rwaked BLQ'!$G29,"  -  متبقي على الانتهاء  ",'[1]Rwaked BLQ'!$D29," شهر "))</f>
        <v/>
      </c>
    </row>
    <row r="27" spans="1:20" x14ac:dyDescent="0.25">
      <c r="A27">
        <v>1</v>
      </c>
      <c r="B27" s="9">
        <f t="shared" si="2"/>
        <v>0</v>
      </c>
      <c r="C27" s="15"/>
      <c r="D27" s="13" t="str">
        <f t="shared" si="3"/>
        <v/>
      </c>
      <c r="E27" t="s">
        <v>12</v>
      </c>
      <c r="F27" s="9" t="s">
        <v>94</v>
      </c>
      <c r="G27" s="39" t="str">
        <f>E27&amp;" "&amp;C27&amp;" "&amp;F27</f>
        <v>← يوجد مبلغ   راتب السائق عبدالله شطا لم يتم استلامه حتى الان من خلال السائق</v>
      </c>
      <c r="T27" t="str">
        <f>IF('[1]Rwaked BLQ'!$H30="","",CONCATENATE('[1]Rwaked BLQ'!$H30," - عدد ",'[1]Rwaked BLQ'!$G30,"  -  متبقي على الانتهاء  ",'[1]Rwaked BLQ'!$D30," شهر "))</f>
        <v/>
      </c>
    </row>
    <row r="28" spans="1:20" x14ac:dyDescent="0.25">
      <c r="A28">
        <v>1</v>
      </c>
      <c r="B28" s="9">
        <f t="shared" si="2"/>
        <v>0</v>
      </c>
      <c r="C28" s="15"/>
      <c r="D28" s="13" t="str">
        <f t="shared" si="3"/>
        <v/>
      </c>
      <c r="E28" t="s">
        <v>12</v>
      </c>
      <c r="G28" s="39" t="str">
        <f>E28&amp;" "&amp;C28&amp;" "&amp;F28</f>
        <v xml:space="preserve">← يوجد مبلغ   </v>
      </c>
      <c r="T28" t="str">
        <f>IF('[1]Rwaked BLQ'!$H31="","",CONCATENATE('[1]Rwaked BLQ'!$H31," - عدد ",'[1]Rwaked BLQ'!$G31,"  -  متبقي على الانتهاء  ",'[1]Rwaked BLQ'!$D31," شهر "))</f>
        <v/>
      </c>
    </row>
    <row r="29" spans="1:20" x14ac:dyDescent="0.25">
      <c r="A29">
        <v>1</v>
      </c>
      <c r="B29" s="9">
        <f t="shared" si="2"/>
        <v>0</v>
      </c>
      <c r="C29" s="15"/>
      <c r="D29" s="13" t="str">
        <f t="shared" si="3"/>
        <v/>
      </c>
      <c r="E29" t="s">
        <v>12</v>
      </c>
      <c r="G29" s="39" t="str">
        <f>E29&amp;" "&amp;C29&amp;" "&amp;F29</f>
        <v xml:space="preserve">← يوجد مبلغ   </v>
      </c>
      <c r="T29" t="str">
        <f>IF('[1]Rwaked BLQ'!$H32="","",CONCATENATE('[1]Rwaked BLQ'!$H32," - عدد ",'[1]Rwaked BLQ'!$G32,"  -  متبقي على الانتهاء  ",'[1]Rwaked BLQ'!$D32," شهر "))</f>
        <v/>
      </c>
    </row>
    <row r="30" spans="1:20" x14ac:dyDescent="0.25">
      <c r="A30">
        <v>1</v>
      </c>
      <c r="B30" s="9">
        <f t="shared" si="2"/>
        <v>0</v>
      </c>
      <c r="C30" s="15"/>
      <c r="D30" s="13" t="str">
        <f t="shared" si="3"/>
        <v/>
      </c>
      <c r="G30" s="39" t="s">
        <v>95</v>
      </c>
      <c r="T30" t="str">
        <f>IF('[1]Rwaked BLQ'!$H33="","",CONCATENATE('[1]Rwaked BLQ'!$H33," - عدد ",'[1]Rwaked BLQ'!$G33,"  -  متبقي على الانتهاء  ",'[1]Rwaked BLQ'!$D33," شهر "))</f>
        <v/>
      </c>
    </row>
    <row r="31" spans="1:20" x14ac:dyDescent="0.25">
      <c r="A31">
        <v>1</v>
      </c>
      <c r="B31" s="9">
        <v>1</v>
      </c>
      <c r="D31" s="39" t="str">
        <f>E31&amp;" "&amp;C31&amp;" "&amp;F31</f>
        <v xml:space="preserve">← تمت مراجعة الايداعات التي تم اثباتها بالمالية حتى اليوم   </v>
      </c>
      <c r="E31" t="s">
        <v>174</v>
      </c>
      <c r="T31" t="str">
        <f>IF('[1]Rwaked BLQ'!$H34="","",CONCATENATE('[1]Rwaked BLQ'!$H34," - عدد ",'[1]Rwaked BLQ'!$G34,"  -  متبقي على الانتهاء  ",'[1]Rwaked BLQ'!$D34," شهر "))</f>
        <v/>
      </c>
    </row>
    <row r="32" spans="1:20" x14ac:dyDescent="0.25">
      <c r="A32">
        <v>1</v>
      </c>
      <c r="T32" t="str">
        <f>IF('[1]Rwaked BLQ'!$H35="","",CONCATENATE('[1]Rwaked BLQ'!$H35," - عدد ",'[1]Rwaked BLQ'!$G35,"  -  متبقي على الانتهاء  ",'[1]Rwaked BLQ'!$D35," شهر "))</f>
        <v/>
      </c>
    </row>
    <row r="33" spans="1:20" x14ac:dyDescent="0.25">
      <c r="A33">
        <v>1</v>
      </c>
      <c r="T33" t="str">
        <f>IF('[1]Rwaked BLQ'!$H36="","",CONCATENATE('[1]Rwaked BLQ'!$H36," - عدد ",'[1]Rwaked BLQ'!$G36,"  -  متبقي على الانتهاء  ",'[1]Rwaked BLQ'!$D36," شهر "))</f>
        <v/>
      </c>
    </row>
    <row r="34" spans="1:20" ht="20.25" x14ac:dyDescent="0.25">
      <c r="A34">
        <v>1</v>
      </c>
      <c r="B34" s="9">
        <v>1</v>
      </c>
      <c r="D34" s="17" t="s">
        <v>17</v>
      </c>
      <c r="E34" s="44" t="s">
        <v>18</v>
      </c>
      <c r="T34" t="str">
        <f>IF('[1]Rwaked BLQ'!$H37="","",CONCATENATE('[1]Rwaked BLQ'!$H37," - عدد ",'[1]Rwaked BLQ'!$G37,"  -  متبقي على الانتهاء  ",'[1]Rwaked BLQ'!$D37," شهر "))</f>
        <v/>
      </c>
    </row>
    <row r="35" spans="1:20" ht="16.5" x14ac:dyDescent="0.25">
      <c r="A35">
        <v>1</v>
      </c>
      <c r="B35" s="9">
        <v>1</v>
      </c>
      <c r="D35" s="18" t="s">
        <v>19</v>
      </c>
      <c r="T35" t="str">
        <f>IF('[1]Rwaked BLQ'!$H38="","",CONCATENATE('[1]Rwaked BLQ'!$H38," - عدد ",'[1]Rwaked BLQ'!$G38,"  -  متبقي على الانتهاء  ",'[1]Rwaked BLQ'!$D38," شهر "))</f>
        <v/>
      </c>
    </row>
    <row r="36" spans="1:20" x14ac:dyDescent="0.25">
      <c r="A36">
        <v>1</v>
      </c>
      <c r="B36" s="9">
        <v>1</v>
      </c>
      <c r="D36" s="13" t="str">
        <f>E36&amp;" "&amp;TEXT(F36,"0,000,000.00")&amp;" ج"</f>
        <v>إجمالي مديونية التوكيل مبلغ 32,312,083.97 ج</v>
      </c>
      <c r="E36" t="s">
        <v>20</v>
      </c>
      <c r="F36" s="9">
        <f>SUMIF(M.C!B:B,E34,M.C!J:J)</f>
        <v>32312083.970000006</v>
      </c>
      <c r="G36" s="9">
        <v>0</v>
      </c>
      <c r="H36" s="10">
        <v>0</v>
      </c>
      <c r="T36" t="str">
        <f>IF('[1]Rwaked BLQ'!$H39="","",CONCATENATE('[1]Rwaked BLQ'!$H39," - عدد ",'[1]Rwaked BLQ'!$G39,"  -  متبقي على الانتهاء  ",'[1]Rwaked BLQ'!$D39," شهر "))</f>
        <v/>
      </c>
    </row>
    <row r="37" spans="1:20" x14ac:dyDescent="0.25">
      <c r="A37">
        <v>1</v>
      </c>
      <c r="B37" s="9" t="e">
        <f>IF(F37&gt;0,1,0)</f>
        <v>#N/A</v>
      </c>
      <c r="D37" s="40" t="str">
        <f>IFERROR(E37&amp;" "&amp;TEXT(F37,"00%"),"")</f>
        <v/>
      </c>
      <c r="E37" t="s">
        <v>21</v>
      </c>
      <c r="F37" s="20" t="e">
        <f>_xlfn.XLOOKUP(E34,M.C!Q:Q,M.C!AF:AF)</f>
        <v>#N/A</v>
      </c>
      <c r="G37" s="21" t="e">
        <f>_xlfn.XLOOKUP(E34,M.C!Q:Q,M.C!AF:AF)</f>
        <v>#N/A</v>
      </c>
      <c r="T37" t="str">
        <f>IF('[1]Rwaked BLQ'!$H40="","",CONCATENATE('[1]Rwaked BLQ'!$H40," - عدد ",'[1]Rwaked BLQ'!$G40,"  -  متبقي على الانتهاء  ",'[1]Rwaked BLQ'!$D40," شهر "))</f>
        <v/>
      </c>
    </row>
    <row r="38" spans="1:20" x14ac:dyDescent="0.25">
      <c r="A38">
        <v>1</v>
      </c>
      <c r="B38" s="9">
        <v>1</v>
      </c>
      <c r="D38" s="40" t="str">
        <f>IFERROR(E38&amp;" "&amp;TEXT(F38,"00%"),"")</f>
        <v/>
      </c>
      <c r="E38" s="12" t="s">
        <v>139</v>
      </c>
      <c r="F38" s="20" t="e">
        <f>_xlfn.XLOOKUP(E34,M.C!Q:Q,M.C!AG:AG)</f>
        <v>#N/A</v>
      </c>
      <c r="G38" s="21" t="e">
        <f>_xlfn.XLOOKUP(E34,M.C!Q:Q,M.C!AG:AG)</f>
        <v>#N/A</v>
      </c>
      <c r="T38" t="str">
        <f>IF('[1]Rwaked BLQ'!$H41="","",CONCATENATE('[1]Rwaked BLQ'!$H41," - عدد ",'[1]Rwaked BLQ'!$G41,"  -  متبقي على الانتهاء  ",'[1]Rwaked BLQ'!$D41," شهر "))</f>
        <v/>
      </c>
    </row>
    <row r="39" spans="1:20" x14ac:dyDescent="0.25">
      <c r="A39">
        <v>1</v>
      </c>
      <c r="B39" s="9">
        <v>1</v>
      </c>
      <c r="D39" s="19" t="str">
        <f>E39&amp;" "&amp;TEXT(F39,"0,000,000.00")&amp;" ج" &amp;" "&amp;G39&amp;" "&amp;TEXT(H39,"0%")</f>
        <v>← متاخرات المديونية     مبلغ  28,098,874.75 ج بنسبة 87%</v>
      </c>
      <c r="E39" s="12" t="s">
        <v>140</v>
      </c>
      <c r="F39" s="9">
        <f>F36-SUMIFS(M.C!J:J,M.C!B:B,E34,M.C!L:L,"Not Due")</f>
        <v>28098874.750000007</v>
      </c>
      <c r="G39" s="9" t="s">
        <v>24</v>
      </c>
      <c r="H39" s="10">
        <f t="shared" ref="H39:H53" si="4">F39/$F$36</f>
        <v>0.86960886757066702</v>
      </c>
      <c r="T39" t="str">
        <f>IF('[1]Rwaked BLQ'!$H42="","",CONCATENATE('[1]Rwaked BLQ'!$H42," - عدد ",'[1]Rwaked BLQ'!$G42,"  -  متبقي على الانتهاء  ",'[1]Rwaked BLQ'!$D42," شهر "))</f>
        <v/>
      </c>
    </row>
    <row r="40" spans="1:20" x14ac:dyDescent="0.25">
      <c r="A40">
        <v>1</v>
      </c>
      <c r="B40" s="9">
        <f t="shared" ref="B40:B45" si="5">IF(F40&gt;0,1,0)</f>
        <v>0</v>
      </c>
      <c r="D40" s="12" t="str">
        <f t="shared" ref="D40:D48" si="6">IF(C40=F40,"",M40)</f>
        <v/>
      </c>
      <c r="E40" s="12" t="str">
        <f>"←"&amp;" "&amp;K40 &amp; "     "&amp; "مبلغ "</f>
        <v xml:space="preserve">← &gt; 120 Days     مبلغ </v>
      </c>
      <c r="F40" s="9">
        <f t="shared" ref="F40:F45" si="7">L40</f>
        <v>0</v>
      </c>
      <c r="G40" s="9" t="s">
        <v>24</v>
      </c>
      <c r="H40" s="10">
        <f t="shared" si="4"/>
        <v>0</v>
      </c>
      <c r="J40" t="str">
        <f t="shared" ref="J40:J54" si="8">$E$34&amp;K40</f>
        <v>Dakahlia - Al Yasmine&gt; 120 Days</v>
      </c>
      <c r="K40" s="22" t="s">
        <v>173</v>
      </c>
      <c r="L40" s="9">
        <f>_xlfn.XLOOKUP(J40,مديونية!D:D,مديونية!C:C,0)</f>
        <v>0</v>
      </c>
      <c r="M40" s="40" t="str">
        <f t="shared" ref="M40:M47" si="9">E40&amp;" "&amp;TEXT(F40,"0,000,000.00")&amp;" ج" &amp;" "&amp;G40&amp;" "&amp;TEXT(H40,"0%")</f>
        <v>← &gt; 120 Days     مبلغ  0,000,000.00 ج بنسبة 0%</v>
      </c>
      <c r="T40" t="str">
        <f>IF('[1]Rwaked BLQ'!$H43="","",CONCATENATE('[1]Rwaked BLQ'!$H43," - عدد ",'[1]Rwaked BLQ'!$G43,"  -  متبقي على الانتهاء  ",'[1]Rwaked BLQ'!$D43," شهر "))</f>
        <v/>
      </c>
    </row>
    <row r="41" spans="1:20" x14ac:dyDescent="0.25">
      <c r="A41">
        <v>1</v>
      </c>
      <c r="B41" s="9">
        <f t="shared" si="5"/>
        <v>1</v>
      </c>
      <c r="D41" s="12" t="str">
        <f t="shared" si="6"/>
        <v>← 61 : 120 Days     مبلغ  21,753,857.78 ج بنسبة 67%</v>
      </c>
      <c r="E41" s="12" t="str">
        <f t="shared" ref="E41:E46" si="10">"←"&amp;" "&amp;K41 &amp;"     "&amp; "مبلغ "</f>
        <v xml:space="preserve">← 61 : 120 Days     مبلغ </v>
      </c>
      <c r="F41" s="9">
        <f t="shared" si="7"/>
        <v>21753857.780000001</v>
      </c>
      <c r="G41" s="9" t="s">
        <v>24</v>
      </c>
      <c r="H41" s="10">
        <f t="shared" si="4"/>
        <v>0.67324217776226569</v>
      </c>
      <c r="J41" t="str">
        <f t="shared" si="8"/>
        <v>Dakahlia - Al Yasmine61 : 120 Days</v>
      </c>
      <c r="K41" s="22" t="s">
        <v>172</v>
      </c>
      <c r="L41" s="9">
        <f>_xlfn.XLOOKUP(J41,مديونية!D:D,مديونية!C:C,0)</f>
        <v>21753857.780000001</v>
      </c>
      <c r="M41" s="40" t="str">
        <f t="shared" si="9"/>
        <v>← 61 : 120 Days     مبلغ  21,753,857.78 ج بنسبة 67%</v>
      </c>
      <c r="T41" t="str">
        <f>IF('[1]Rwaked BLQ'!$H44="","",CONCATENATE('[1]Rwaked BLQ'!$H44," - عدد ",'[1]Rwaked BLQ'!$G44,"  -  متبقي على الانتهاء  ",'[1]Rwaked BLQ'!$D44," شهر "))</f>
        <v/>
      </c>
    </row>
    <row r="42" spans="1:20" x14ac:dyDescent="0.25">
      <c r="A42">
        <v>1</v>
      </c>
      <c r="B42" s="9">
        <f t="shared" si="5"/>
        <v>1</v>
      </c>
      <c r="D42" s="12" t="str">
        <f t="shared" si="6"/>
        <v>← 31 : 60 Days     مبلغ  1,499,783.86 ج بنسبة 5%</v>
      </c>
      <c r="E42" s="12" t="str">
        <f t="shared" si="10"/>
        <v xml:space="preserve">← 31 : 60 Days     مبلغ </v>
      </c>
      <c r="F42" s="9">
        <f t="shared" si="7"/>
        <v>1499783.8599999999</v>
      </c>
      <c r="G42" s="9" t="s">
        <v>24</v>
      </c>
      <c r="H42" s="10">
        <f t="shared" si="4"/>
        <v>4.641557200063192E-2</v>
      </c>
      <c r="J42" t="str">
        <f t="shared" si="8"/>
        <v>Dakahlia - Al Yasmine31 : 60 Days</v>
      </c>
      <c r="K42" s="22" t="s">
        <v>170</v>
      </c>
      <c r="L42" s="9">
        <f>_xlfn.XLOOKUP(J42,مديونية!D:D,مديونية!C:C,0)</f>
        <v>1499783.8599999999</v>
      </c>
      <c r="M42" s="40" t="str">
        <f t="shared" si="9"/>
        <v>← 31 : 60 Days     مبلغ  1,499,783.86 ج بنسبة 5%</v>
      </c>
      <c r="T42" t="str">
        <f>IF('[1]Rwaked BLQ'!$H45="","",CONCATENATE('[1]Rwaked BLQ'!$H45," - عدد ",'[1]Rwaked BLQ'!$G45,"  -  متبقي على الانتهاء  ",'[1]Rwaked BLQ'!$D45," شهر "))</f>
        <v/>
      </c>
    </row>
    <row r="43" spans="1:20" x14ac:dyDescent="0.25">
      <c r="A43">
        <v>1</v>
      </c>
      <c r="B43" s="9">
        <f t="shared" si="5"/>
        <v>1</v>
      </c>
      <c r="D43" s="12" t="str">
        <f t="shared" si="6"/>
        <v>← 21 : 30 Days     مبلغ  0,039,835.00 ج بنسبة 0%</v>
      </c>
      <c r="E43" s="12" t="str">
        <f t="shared" si="10"/>
        <v xml:space="preserve">← 21 : 30 Days     مبلغ </v>
      </c>
      <c r="F43" s="9">
        <f t="shared" si="7"/>
        <v>39835</v>
      </c>
      <c r="G43" s="9" t="s">
        <v>24</v>
      </c>
      <c r="H43" s="10">
        <f t="shared" si="4"/>
        <v>1.2328205149808539E-3</v>
      </c>
      <c r="J43" t="str">
        <f t="shared" si="8"/>
        <v>Dakahlia - Al Yasmine21 : 30 Days</v>
      </c>
      <c r="K43" s="22" t="s">
        <v>80</v>
      </c>
      <c r="L43" s="9">
        <f>_xlfn.XLOOKUP(J43,مديونية!D:D,مديونية!C:C,0)</f>
        <v>39835</v>
      </c>
      <c r="M43" s="40" t="str">
        <f t="shared" si="9"/>
        <v>← 21 : 30 Days     مبلغ  0,039,835.00 ج بنسبة 0%</v>
      </c>
      <c r="T43" t="str">
        <f>IF('[1]Rwaked BLQ'!$H46="","",CONCATENATE('[1]Rwaked BLQ'!$H46," - عدد ",'[1]Rwaked BLQ'!$G46,"  -  متبقي على الانتهاء  ",'[1]Rwaked BLQ'!$D46," شهر "))</f>
        <v/>
      </c>
    </row>
    <row r="44" spans="1:20" x14ac:dyDescent="0.25">
      <c r="A44">
        <v>1</v>
      </c>
      <c r="B44" s="9">
        <f t="shared" si="5"/>
        <v>1</v>
      </c>
      <c r="D44" s="12" t="str">
        <f t="shared" si="6"/>
        <v>← 11 : 20 Days     مبلغ  0,891,089.00 ج بنسبة 3%</v>
      </c>
      <c r="E44" s="12" t="str">
        <f t="shared" si="10"/>
        <v xml:space="preserve">← 11 : 20 Days     مبلغ </v>
      </c>
      <c r="F44" s="9">
        <f t="shared" si="7"/>
        <v>891089</v>
      </c>
      <c r="G44" s="9" t="s">
        <v>24</v>
      </c>
      <c r="H44" s="10">
        <f t="shared" si="4"/>
        <v>2.7577577504048552E-2</v>
      </c>
      <c r="J44" t="str">
        <f t="shared" si="8"/>
        <v>Dakahlia - Al Yasmine11 : 20 Days</v>
      </c>
      <c r="K44" s="22" t="s">
        <v>81</v>
      </c>
      <c r="L44" s="9">
        <f>_xlfn.XLOOKUP(J44,مديونية!D:D,مديونية!C:C,0)</f>
        <v>891089</v>
      </c>
      <c r="M44" s="40" t="str">
        <f t="shared" si="9"/>
        <v>← 11 : 20 Days     مبلغ  0,891,089.00 ج بنسبة 3%</v>
      </c>
      <c r="T44" t="str">
        <f>IF('[1]Rwaked BLQ'!$H47="","",CONCATENATE('[1]Rwaked BLQ'!$H47," - عدد ",'[1]Rwaked BLQ'!$G47,"  -  متبقي على الانتهاء  ",'[1]Rwaked BLQ'!$D47," شهر "))</f>
        <v/>
      </c>
    </row>
    <row r="45" spans="1:20" x14ac:dyDescent="0.25">
      <c r="A45">
        <v>1</v>
      </c>
      <c r="B45" s="9">
        <f t="shared" si="5"/>
        <v>1</v>
      </c>
      <c r="D45" s="12" t="str">
        <f t="shared" si="6"/>
        <v>← 1 : 10 Days     مبلغ  3,914,309.11 ج بنسبة 12%</v>
      </c>
      <c r="E45" s="12" t="str">
        <f t="shared" si="10"/>
        <v xml:space="preserve">← 1 : 10 Days     مبلغ </v>
      </c>
      <c r="F45" s="9">
        <f t="shared" si="7"/>
        <v>3914309.1100000003</v>
      </c>
      <c r="G45" s="9" t="s">
        <v>24</v>
      </c>
      <c r="H45" s="10">
        <f t="shared" si="4"/>
        <v>0.12114071978873975</v>
      </c>
      <c r="J45" t="str">
        <f t="shared" si="8"/>
        <v>Dakahlia - Al Yasmine1 : 10 Days</v>
      </c>
      <c r="K45" s="22" t="s">
        <v>171</v>
      </c>
      <c r="L45" s="9">
        <f>_xlfn.XLOOKUP(J45,مديونية!D:D,مديونية!C:C,0)</f>
        <v>3914309.1100000003</v>
      </c>
      <c r="M45" s="40" t="str">
        <f t="shared" si="9"/>
        <v>← 1 : 10 Days     مبلغ  3,914,309.11 ج بنسبة 12%</v>
      </c>
      <c r="T45" t="str">
        <f>IF('[1]Rwaked BLQ'!$H48="","",CONCATENATE('[1]Rwaked BLQ'!$H48," - عدد ",'[1]Rwaked BLQ'!$G48,"  -  متبقي على الانتهاء  ",'[1]Rwaked BLQ'!$D48," شهر "))</f>
        <v/>
      </c>
    </row>
    <row r="46" spans="1:20" x14ac:dyDescent="0.25">
      <c r="A46">
        <v>1</v>
      </c>
      <c r="D46" s="12" t="str">
        <f t="shared" si="6"/>
        <v>← Not Due     مبلغ  10,386,991.92 ج بنسبة 32%</v>
      </c>
      <c r="E46" s="12" t="str">
        <f t="shared" si="10"/>
        <v xml:space="preserve">← Not Due     مبلغ </v>
      </c>
      <c r="F46" s="9">
        <v>10386991.92</v>
      </c>
      <c r="G46" s="9" t="s">
        <v>24</v>
      </c>
      <c r="H46" s="10">
        <f t="shared" si="4"/>
        <v>0.32145843423914566</v>
      </c>
      <c r="J46" t="str">
        <f t="shared" si="8"/>
        <v>Dakahlia - Al YasmineNot Due</v>
      </c>
      <c r="K46" t="s">
        <v>82</v>
      </c>
      <c r="L46" s="9">
        <f>_xlfn.XLOOKUP(J46,مديونية!D:D,مديونية!C:C,0)</f>
        <v>4213209.22</v>
      </c>
      <c r="M46" s="19" t="str">
        <f t="shared" si="9"/>
        <v>← Not Due     مبلغ  10,386,991.92 ج بنسبة 32%</v>
      </c>
      <c r="T46" t="str">
        <f>IF('[1]Rwaked BLQ'!$H49="","",CONCATENATE('[1]Rwaked BLQ'!$H49," - عدد ",'[1]Rwaked BLQ'!$G49,"  -  متبقي على الانتهاء  ",'[1]Rwaked BLQ'!$D49," شهر "))</f>
        <v/>
      </c>
    </row>
    <row r="47" spans="1:20" x14ac:dyDescent="0.25">
      <c r="A47">
        <v>1</v>
      </c>
      <c r="B47" s="9">
        <f t="shared" ref="B47:B55" si="11">IF(F47&gt;0,1,0)</f>
        <v>0</v>
      </c>
      <c r="D47" s="12" t="str">
        <f t="shared" si="6"/>
        <v/>
      </c>
      <c r="E47" s="12" t="str">
        <f>"←"&amp;" "&amp;K47 &amp; "     "&amp; "مبلغ "</f>
        <v xml:space="preserve">← Grand Total     مبلغ </v>
      </c>
      <c r="F47" s="9">
        <f t="shared" ref="F47:F55" si="12">L47</f>
        <v>0</v>
      </c>
      <c r="G47" s="9" t="s">
        <v>24</v>
      </c>
      <c r="H47" s="10">
        <f t="shared" si="4"/>
        <v>0</v>
      </c>
      <c r="J47" t="str">
        <f t="shared" si="8"/>
        <v>Dakahlia - Al YasmineGrand Total</v>
      </c>
      <c r="K47" s="22" t="s">
        <v>83</v>
      </c>
      <c r="L47" s="9">
        <f>_xlfn.XLOOKUP(J47,مديونية!D:D,مديونية!C:C,0)</f>
        <v>0</v>
      </c>
      <c r="M47" s="40" t="str">
        <f t="shared" si="9"/>
        <v>← Grand Total     مبلغ  0,000,000.00 ج بنسبة 0%</v>
      </c>
      <c r="T47" t="str">
        <f>IF('[1]Rwaked BLQ'!$H50="","",CONCATENATE('[1]Rwaked BLQ'!$H50," - عدد ",'[1]Rwaked BLQ'!$G50,"  -  متبقي على الانتهاء  ",'[1]Rwaked BLQ'!$D50," شهر "))</f>
        <v/>
      </c>
    </row>
    <row r="48" spans="1:20" x14ac:dyDescent="0.25">
      <c r="A48">
        <v>1</v>
      </c>
      <c r="B48" s="9">
        <f t="shared" si="11"/>
        <v>0</v>
      </c>
      <c r="D48" s="12" t="str">
        <f t="shared" si="6"/>
        <v/>
      </c>
      <c r="E48" s="12" t="str">
        <f t="shared" ref="E48:E53" si="13">"←"&amp;" "&amp;K48 &amp;"     "&amp; "مبلغ "</f>
        <v xml:space="preserve">←      مبلغ </v>
      </c>
      <c r="F48" s="9">
        <f t="shared" si="12"/>
        <v>0</v>
      </c>
      <c r="G48" s="9" t="s">
        <v>24</v>
      </c>
      <c r="H48" s="10">
        <f t="shared" si="4"/>
        <v>0</v>
      </c>
      <c r="J48" t="str">
        <f t="shared" si="8"/>
        <v>Dakahlia - Al Yasmine</v>
      </c>
      <c r="K48" s="22"/>
      <c r="L48" s="9">
        <f>_xlfn.XLOOKUP(J48,مديونية!D:D,مديونية!C:C,0)</f>
        <v>0</v>
      </c>
      <c r="T48" t="str">
        <f>IF('[1]Rwaked BLQ'!$H51="","",CONCATENATE('[1]Rwaked BLQ'!$H51," - عدد ",'[1]Rwaked BLQ'!$G51,"  -  متبقي على الانتهاء  ",'[1]Rwaked BLQ'!$D51," شهر "))</f>
        <v/>
      </c>
    </row>
    <row r="49" spans="1:20" x14ac:dyDescent="0.25">
      <c r="A49">
        <v>1</v>
      </c>
      <c r="B49" s="9">
        <f t="shared" si="11"/>
        <v>0</v>
      </c>
      <c r="D49" s="13" t="str">
        <f>IF(C49=F49,"",K49)</f>
        <v/>
      </c>
      <c r="E49" s="12" t="str">
        <f t="shared" si="13"/>
        <v xml:space="preserve">←      مبلغ </v>
      </c>
      <c r="F49" s="9">
        <f t="shared" si="12"/>
        <v>0</v>
      </c>
      <c r="G49" s="9" t="s">
        <v>24</v>
      </c>
      <c r="H49" s="10">
        <f t="shared" si="4"/>
        <v>0</v>
      </c>
      <c r="J49" t="str">
        <f t="shared" si="8"/>
        <v>Dakahlia - Al Yasmine</v>
      </c>
      <c r="K49" s="22"/>
      <c r="L49" s="9">
        <f>_xlfn.XLOOKUP(J49,مديونية!D:D,مديونية!C:C,0)</f>
        <v>0</v>
      </c>
      <c r="T49" t="str">
        <f>IF('[1]Rwaked BLQ'!$H52="","",CONCATENATE('[1]Rwaked BLQ'!$H52," - عدد ",'[1]Rwaked BLQ'!$G52,"  -  متبقي على الانتهاء  ",'[1]Rwaked BLQ'!$D52," شهر "))</f>
        <v/>
      </c>
    </row>
    <row r="50" spans="1:20" x14ac:dyDescent="0.25">
      <c r="A50">
        <v>1</v>
      </c>
      <c r="B50" s="9">
        <f t="shared" si="11"/>
        <v>0</v>
      </c>
      <c r="D50" s="40"/>
      <c r="E50" s="12" t="str">
        <f t="shared" si="13"/>
        <v xml:space="preserve">←      مبلغ </v>
      </c>
      <c r="F50" s="9">
        <f t="shared" si="12"/>
        <v>0</v>
      </c>
      <c r="G50" s="9" t="s">
        <v>24</v>
      </c>
      <c r="H50" s="10">
        <f t="shared" si="4"/>
        <v>0</v>
      </c>
      <c r="J50" t="str">
        <f t="shared" si="8"/>
        <v>Dakahlia - Al Yasmine</v>
      </c>
      <c r="K50" s="22"/>
      <c r="L50" s="9">
        <f>_xlfn.XLOOKUP(J50,مديونية!D:D,مديونية!C:C,0)</f>
        <v>0</v>
      </c>
      <c r="T50" t="str">
        <f>IF('[1]Rwaked BLQ'!$H53="","",CONCATENATE('[1]Rwaked BLQ'!$H53," - عدد ",'[1]Rwaked BLQ'!$G53,"  -  متبقي على الانتهاء  ",'[1]Rwaked BLQ'!$D53," شهر "))</f>
        <v/>
      </c>
    </row>
    <row r="51" spans="1:20" x14ac:dyDescent="0.25">
      <c r="A51">
        <v>1</v>
      </c>
      <c r="B51" s="9">
        <f t="shared" si="11"/>
        <v>0</v>
      </c>
      <c r="D51" s="40"/>
      <c r="E51" s="12" t="str">
        <f t="shared" si="13"/>
        <v xml:space="preserve">←      مبلغ </v>
      </c>
      <c r="F51" s="9">
        <f t="shared" si="12"/>
        <v>0</v>
      </c>
      <c r="G51" s="9" t="s">
        <v>24</v>
      </c>
      <c r="H51" s="10">
        <f t="shared" si="4"/>
        <v>0</v>
      </c>
      <c r="J51" t="str">
        <f t="shared" si="8"/>
        <v>Dakahlia - Al Yasmine</v>
      </c>
      <c r="K51" s="22"/>
      <c r="L51" s="9">
        <f>_xlfn.XLOOKUP(J51,مديونية!D:D,مديونية!C:C,0)</f>
        <v>0</v>
      </c>
      <c r="T51" t="str">
        <f>IF('[1]Rwaked BLQ'!$H54="","",CONCATENATE('[1]Rwaked BLQ'!$H54," - عدد ",'[1]Rwaked BLQ'!$G54,"  -  متبقي على الانتهاء  ",'[1]Rwaked BLQ'!$D54," شهر "))</f>
        <v/>
      </c>
    </row>
    <row r="52" spans="1:20" x14ac:dyDescent="0.25">
      <c r="A52">
        <v>1</v>
      </c>
      <c r="B52" s="9">
        <f t="shared" si="11"/>
        <v>0</v>
      </c>
      <c r="D52" s="40"/>
      <c r="E52" s="12" t="str">
        <f t="shared" si="13"/>
        <v xml:space="preserve">←      مبلغ </v>
      </c>
      <c r="F52" s="9">
        <f t="shared" si="12"/>
        <v>0</v>
      </c>
      <c r="G52" s="9" t="s">
        <v>24</v>
      </c>
      <c r="H52" s="10">
        <f t="shared" si="4"/>
        <v>0</v>
      </c>
      <c r="J52" t="str">
        <f t="shared" si="8"/>
        <v>Dakahlia - Al Yasmine</v>
      </c>
      <c r="K52" s="22"/>
      <c r="L52" s="9">
        <f>_xlfn.XLOOKUP(J52,مديونية!D:D,مديونية!C:C,0)</f>
        <v>0</v>
      </c>
      <c r="T52" t="str">
        <f>IF('[1]Rwaked BLQ'!$H55="","",CONCATENATE('[1]Rwaked BLQ'!$H55," - عدد ",'[1]Rwaked BLQ'!$G55,"  -  متبقي على الانتهاء  ",'[1]Rwaked BLQ'!$D55," شهر "))</f>
        <v/>
      </c>
    </row>
    <row r="53" spans="1:20" x14ac:dyDescent="0.25">
      <c r="A53">
        <v>1</v>
      </c>
      <c r="B53" s="9">
        <f t="shared" si="11"/>
        <v>0</v>
      </c>
      <c r="D53" s="19"/>
      <c r="E53" s="12" t="str">
        <f t="shared" si="13"/>
        <v xml:space="preserve">←      مبلغ </v>
      </c>
      <c r="F53" s="9">
        <f t="shared" si="12"/>
        <v>0</v>
      </c>
      <c r="G53" s="9" t="s">
        <v>24</v>
      </c>
      <c r="H53" s="10">
        <f t="shared" si="4"/>
        <v>0</v>
      </c>
      <c r="J53" t="str">
        <f t="shared" si="8"/>
        <v>Dakahlia - Al Yasmine</v>
      </c>
      <c r="L53" s="9">
        <f>_xlfn.XLOOKUP(J53,مديونية!D:D,مديونية!C:C,0)</f>
        <v>0</v>
      </c>
      <c r="T53" t="str">
        <f>IF('[1]Rwaked BLQ'!$H56="","",CONCATENATE('[1]Rwaked BLQ'!$H56," - عدد ",'[1]Rwaked BLQ'!$G56,"  -  متبقي على الانتهاء  ",'[1]Rwaked BLQ'!$D56," شهر "))</f>
        <v/>
      </c>
    </row>
    <row r="54" spans="1:20" x14ac:dyDescent="0.25">
      <c r="A54">
        <v>1</v>
      </c>
      <c r="B54" s="9">
        <f t="shared" si="11"/>
        <v>0</v>
      </c>
      <c r="D54" s="41"/>
      <c r="E54" s="12" t="s">
        <v>141</v>
      </c>
      <c r="F54" s="9">
        <f t="shared" si="12"/>
        <v>0</v>
      </c>
      <c r="G54" s="9">
        <v>0</v>
      </c>
      <c r="H54" s="10">
        <v>0</v>
      </c>
      <c r="J54" t="str">
        <f t="shared" si="8"/>
        <v>Dakahlia - Al Yasmine</v>
      </c>
      <c r="L54" s="9">
        <f>_xlfn.XLOOKUP(J54,مديونية!D:D,مديونية!C:C,0)</f>
        <v>0</v>
      </c>
      <c r="T54" t="str">
        <f>IF('[1]Rwaked BLQ'!$H57="","",CONCATENATE('[1]Rwaked BLQ'!$H57," - عدد ",'[1]Rwaked BLQ'!$G57,"  -  متبقي على الانتهاء  ",'[1]Rwaked BLQ'!$D57," شهر "))</f>
        <v/>
      </c>
    </row>
    <row r="55" spans="1:20" x14ac:dyDescent="0.25">
      <c r="A55">
        <v>1</v>
      </c>
      <c r="B55" s="9">
        <f t="shared" si="11"/>
        <v>0</v>
      </c>
      <c r="D55" s="12" t="s">
        <v>26</v>
      </c>
      <c r="F55" s="9">
        <f t="shared" si="12"/>
        <v>0</v>
      </c>
      <c r="T55" t="str">
        <f>IF('[1]Rwaked BLQ'!$H58="","",CONCATENATE('[1]Rwaked BLQ'!$H58," - عدد ",'[1]Rwaked BLQ'!$G58,"  -  متبقي على الانتهاء  ",'[1]Rwaked BLQ'!$D58," شهر "))</f>
        <v/>
      </c>
    </row>
    <row r="56" spans="1:20" x14ac:dyDescent="0.25">
      <c r="A56">
        <v>1</v>
      </c>
      <c r="D56" s="24"/>
      <c r="E56" t="s">
        <v>27</v>
      </c>
      <c r="G56" s="10" t="s">
        <v>24</v>
      </c>
      <c r="T56" t="str">
        <f>IF('[1]Rwaked BLQ'!$H59="","",CONCATENATE('[1]Rwaked BLQ'!$H59," - عدد ",'[1]Rwaked BLQ'!$G59,"  -  متبقي على الانتهاء  ",'[1]Rwaked BLQ'!$D59," شهر "))</f>
        <v/>
      </c>
    </row>
    <row r="57" spans="1:20" x14ac:dyDescent="0.25">
      <c r="A57">
        <v>1</v>
      </c>
      <c r="D57" s="24"/>
      <c r="E57" t="s">
        <v>27</v>
      </c>
      <c r="T57" t="str">
        <f>IF('[1]Rwaked BLQ'!$H60="","",CONCATENATE('[1]Rwaked BLQ'!$H60," - عدد ",'[1]Rwaked BLQ'!$G60,"  -  متبقي على الانتهاء  ",'[1]Rwaked BLQ'!$D60," شهر "))</f>
        <v/>
      </c>
    </row>
    <row r="58" spans="1:20" x14ac:dyDescent="0.25">
      <c r="A58">
        <v>1</v>
      </c>
      <c r="D58" s="24"/>
      <c r="E58" t="s">
        <v>27</v>
      </c>
      <c r="G58" s="10" t="s">
        <v>24</v>
      </c>
      <c r="T58" t="str">
        <f>IF('[1]Rwaked BLQ'!$H61="","",CONCATENATE('[1]Rwaked BLQ'!$H61," - عدد ",'[1]Rwaked BLQ'!$G61,"  -  متبقي على الانتهاء  ",'[1]Rwaked BLQ'!$D61," شهر "))</f>
        <v/>
      </c>
    </row>
    <row r="59" spans="1:20" x14ac:dyDescent="0.25">
      <c r="A59">
        <v>1</v>
      </c>
      <c r="D59" s="24"/>
      <c r="E59" t="s">
        <v>27</v>
      </c>
      <c r="T59" t="str">
        <f>IF('[1]Rwaked BLQ'!$H62="","",CONCATENATE('[1]Rwaked BLQ'!$H62," - عدد ",'[1]Rwaked BLQ'!$G62,"  -  متبقي على الانتهاء  ",'[1]Rwaked BLQ'!$D62," شهر "))</f>
        <v/>
      </c>
    </row>
    <row r="60" spans="1:20" x14ac:dyDescent="0.25">
      <c r="A60">
        <v>1</v>
      </c>
      <c r="E60" t="s">
        <v>27</v>
      </c>
      <c r="T60" t="str">
        <f>IF('[1]Rwaked BLQ'!$H63="","",CONCATENATE('[1]Rwaked BLQ'!$H63," - عدد ",'[1]Rwaked BLQ'!$G63,"  -  متبقي على الانتهاء  ",'[1]Rwaked BLQ'!$D63," شهر "))</f>
        <v/>
      </c>
    </row>
    <row r="61" spans="1:20" x14ac:dyDescent="0.25">
      <c r="A61">
        <v>1</v>
      </c>
      <c r="B61" s="15">
        <v>1</v>
      </c>
      <c r="C61" s="15"/>
      <c r="D61" s="13" t="s">
        <v>97</v>
      </c>
      <c r="E61" t="s">
        <v>27</v>
      </c>
      <c r="T61" t="str">
        <f>IF('[1]Rwaked BLQ'!$H64="","",CONCATENATE('[1]Rwaked BLQ'!$H64," - عدد ",'[1]Rwaked BLQ'!$G64,"  -  متبقي على الانتهاء  ",'[1]Rwaked BLQ'!$D64," شهر "))</f>
        <v/>
      </c>
    </row>
    <row r="62" spans="1:20" x14ac:dyDescent="0.25">
      <c r="A62">
        <v>1</v>
      </c>
      <c r="B62" s="15"/>
      <c r="C62" s="15"/>
      <c r="E62" t="str">
        <f>"←"&amp;" "&amp;"تبلغ عدد فواتير الاجل بالتوكيل "&amp;C62&amp;" منها مختوم عدد "&amp;B62&amp;"ومنها موقع عدد "&amp;A62</f>
        <v>← تبلغ عدد فواتير الاجل بالتوكيل  منها مختوم عدد ومنها موقع عدد 1</v>
      </c>
      <c r="G62" s="13" t="str">
        <f>"←"&amp;" "&amp;"تبلغ عدد فواتير الاجل بالتوكيل "&amp;C62&amp;" منها مختوم عدد "&amp;B62&amp;"ومنها موقع عدد "&amp;A62</f>
        <v>← تبلغ عدد فواتير الاجل بالتوكيل  منها مختوم عدد ومنها موقع عدد 1</v>
      </c>
      <c r="T62" t="str">
        <f>IF('[1]Rwaked BLQ'!$H65="","",CONCATENATE('[1]Rwaked BLQ'!$H65," - عدد ",'[1]Rwaked BLQ'!$G65,"  -  متبقي على الانتهاء  ",'[1]Rwaked BLQ'!$D65," شهر "))</f>
        <v/>
      </c>
    </row>
    <row r="63" spans="1:20" x14ac:dyDescent="0.25">
      <c r="A63">
        <v>1</v>
      </c>
      <c r="B63" s="15"/>
      <c r="C63" s="15"/>
      <c r="T63" t="str">
        <f>IF('[1]Rwaked BLQ'!$H66="","",CONCATENATE('[1]Rwaked BLQ'!$H66," - عدد ",'[1]Rwaked BLQ'!$G66,"  -  متبقي على الانتهاء  ",'[1]Rwaked BLQ'!$D66," شهر "))</f>
        <v/>
      </c>
    </row>
    <row r="64" spans="1:20" x14ac:dyDescent="0.25">
      <c r="A64">
        <v>1</v>
      </c>
      <c r="B64" s="15"/>
      <c r="C64" s="15"/>
      <c r="T64" t="str">
        <f>IF('[1]Rwaked BLQ'!$H67="","",CONCATENATE('[1]Rwaked BLQ'!$H67," - عدد ",'[1]Rwaked BLQ'!$G67,"  -  متبقي على الانتهاء  ",'[1]Rwaked BLQ'!$D67," شهر "))</f>
        <v/>
      </c>
    </row>
    <row r="65" spans="1:20" x14ac:dyDescent="0.25">
      <c r="A65">
        <v>1</v>
      </c>
      <c r="B65" s="15"/>
      <c r="C65" s="15"/>
      <c r="T65" t="str">
        <f>IF('[1]Rwaked BLQ'!$H68="","",CONCATENATE('[1]Rwaked BLQ'!$H68," - عدد ",'[1]Rwaked BLQ'!$G68,"  -  متبقي على الانتهاء  ",'[1]Rwaked BLQ'!$D68," شهر "))</f>
        <v/>
      </c>
    </row>
    <row r="66" spans="1:20" x14ac:dyDescent="0.25">
      <c r="A66">
        <v>1</v>
      </c>
      <c r="B66" s="15"/>
      <c r="C66" s="15"/>
      <c r="T66" t="str">
        <f>IF('[1]Rwaked BLQ'!$H69="","",CONCATENATE('[1]Rwaked BLQ'!$H69," - عدد ",'[1]Rwaked BLQ'!$G69,"  -  متبقي على الانتهاء  ",'[1]Rwaked BLQ'!$D69," شهر "))</f>
        <v/>
      </c>
    </row>
    <row r="67" spans="1:20" x14ac:dyDescent="0.25">
      <c r="A67">
        <v>1</v>
      </c>
      <c r="B67" s="15"/>
      <c r="C67" s="15"/>
      <c r="F67" s="9" t="s">
        <v>98</v>
      </c>
      <c r="T67" t="str">
        <f>IF('[1]Rwaked BLQ'!$H70="","",CONCATENATE('[1]Rwaked BLQ'!$H70," - عدد ",'[1]Rwaked BLQ'!$G70,"  -  متبقي على الانتهاء  ",'[1]Rwaked BLQ'!$D70," شهر "))</f>
        <v/>
      </c>
    </row>
    <row r="68" spans="1:20" x14ac:dyDescent="0.25">
      <c r="A68">
        <v>1</v>
      </c>
      <c r="F68" s="9" t="s">
        <v>99</v>
      </c>
      <c r="T68" t="str">
        <f>IF('[1]Rwaked BLQ'!$H71="","",CONCATENATE('[1]Rwaked BLQ'!$H71," - عدد ",'[1]Rwaked BLQ'!$G71,"  -  متبقي على الانتهاء  ",'[1]Rwaked BLQ'!$D71," شهر "))</f>
        <v/>
      </c>
    </row>
    <row r="69" spans="1:20" ht="20.25" x14ac:dyDescent="0.25">
      <c r="A69">
        <v>1</v>
      </c>
      <c r="B69" s="9">
        <v>1</v>
      </c>
      <c r="D69" s="17" t="s">
        <v>29</v>
      </c>
      <c r="F69" s="9" t="s">
        <v>100</v>
      </c>
      <c r="T69" t="str">
        <f>IF('[1]Rwaked BLQ'!$H72="","",CONCATENATE('[1]Rwaked BLQ'!$H72," - عدد ",'[1]Rwaked BLQ'!$G72,"  -  متبقي على الانتهاء  ",'[1]Rwaked BLQ'!$D72," شهر "))</f>
        <v/>
      </c>
    </row>
    <row r="70" spans="1:20" ht="16.5" x14ac:dyDescent="0.25">
      <c r="A70">
        <v>1</v>
      </c>
      <c r="B70" s="9">
        <v>1</v>
      </c>
      <c r="D70" s="18" t="s">
        <v>30</v>
      </c>
      <c r="F70" s="9" t="s">
        <v>101</v>
      </c>
      <c r="T70" t="str">
        <f>IF('[1]Rwaked BLQ'!$H73="","",CONCATENATE('[1]Rwaked BLQ'!$H73," - عدد ",'[1]Rwaked BLQ'!$G73,"  -  متبقي على الانتهاء  ",'[1]Rwaked BLQ'!$D73," شهر "))</f>
        <v/>
      </c>
    </row>
    <row r="71" spans="1:20" x14ac:dyDescent="0.25">
      <c r="A71">
        <v>1</v>
      </c>
      <c r="D71" s="12" t="str">
        <f>"- " &amp; "تمت الموافقة على المصاريف المرفوعة على البرنامج"</f>
        <v>- تمت الموافقة على المصاريف المرفوعة على البرنامج</v>
      </c>
      <c r="F71" s="9" t="s">
        <v>102</v>
      </c>
      <c r="T71" t="str">
        <f>IF('[1]Rwaked BLQ'!$H74="","",CONCATENATE('[1]Rwaked BLQ'!$H74," - عدد ",'[1]Rwaked BLQ'!$G74,"  -  متبقي على الانتهاء  ",'[1]Rwaked BLQ'!$D74," شهر "))</f>
        <v/>
      </c>
    </row>
    <row r="72" spans="1:20" x14ac:dyDescent="0.25">
      <c r="A72">
        <v>1</v>
      </c>
      <c r="D72" s="13" t="s">
        <v>182</v>
      </c>
      <c r="F72" s="9" t="s">
        <v>103</v>
      </c>
      <c r="T72" t="str">
        <f>IF('[1]Rwaked BLQ'!$H75="","",CONCATENATE('[1]Rwaked BLQ'!$H75," - عدد ",'[1]Rwaked BLQ'!$G75,"  -  متبقي على الانتهاء  ",'[1]Rwaked BLQ'!$D75," شهر "))</f>
        <v/>
      </c>
    </row>
    <row r="73" spans="1:20" x14ac:dyDescent="0.25">
      <c r="A73">
        <v>1</v>
      </c>
      <c r="B73" s="9">
        <v>1</v>
      </c>
      <c r="C73" s="9" t="s">
        <v>105</v>
      </c>
      <c r="D73" s="13" t="str">
        <f>IF($D25=0,"",$D25)</f>
        <v>← يوجد مبلغ  147058 مصاريف تامينات وضريبة دخل وسولار لم يتم صرفهم على البرنامج حتى الان ..</v>
      </c>
      <c r="T73" t="str">
        <f>IF('[1]Rwaked BLQ'!$H76="","",CONCATENATE('[1]Rwaked BLQ'!$H76," - عدد ",'[1]Rwaked BLQ'!$G76,"  -  متبقي على الانتهاء  ",'[1]Rwaked BLQ'!$D76," شهر "))</f>
        <v/>
      </c>
    </row>
    <row r="74" spans="1:20" x14ac:dyDescent="0.25">
      <c r="A74">
        <v>1</v>
      </c>
      <c r="D74" s="13" t="str">
        <f t="shared" ref="D74:D81" si="14">IF($D26=0,"",$D26)</f>
        <v/>
      </c>
      <c r="T74" t="str">
        <f>IF('[1]Rwaked BLQ'!$H77="","",CONCATENATE('[1]Rwaked BLQ'!$H77," - عدد ",'[1]Rwaked BLQ'!$G77,"  -  متبقي على الانتهاء  ",'[1]Rwaked BLQ'!$D77," شهر "))</f>
        <v/>
      </c>
    </row>
    <row r="75" spans="1:20" x14ac:dyDescent="0.25">
      <c r="A75">
        <v>1</v>
      </c>
      <c r="B75" s="9">
        <f>IF(C75&gt;0,1,0)</f>
        <v>1</v>
      </c>
      <c r="C75" s="9">
        <f>C25</f>
        <v>147058</v>
      </c>
      <c r="D75" s="13" t="str">
        <f t="shared" si="14"/>
        <v/>
      </c>
      <c r="F75" s="13"/>
      <c r="T75" t="str">
        <f>IF('[1]Rwaked BLQ'!$H78="","",CONCATENATE('[1]Rwaked BLQ'!$H78," - عدد ",'[1]Rwaked BLQ'!$G78,"  -  متبقي على الانتهاء  ",'[1]Rwaked BLQ'!$D78," شهر "))</f>
        <v/>
      </c>
    </row>
    <row r="76" spans="1:20" x14ac:dyDescent="0.25">
      <c r="A76">
        <v>1</v>
      </c>
      <c r="B76" s="9">
        <f>IF(C76&gt;0,1,0)</f>
        <v>0</v>
      </c>
      <c r="D76" s="13" t="str">
        <f t="shared" si="14"/>
        <v/>
      </c>
      <c r="T76" t="str">
        <f>IF('[1]Rwaked BLQ'!$H79="","",CONCATENATE('[1]Rwaked BLQ'!$H79," - عدد ",'[1]Rwaked BLQ'!$G79,"  -  متبقي على الانتهاء  ",'[1]Rwaked BLQ'!$D79," شهر "))</f>
        <v/>
      </c>
    </row>
    <row r="77" spans="1:20" x14ac:dyDescent="0.25">
      <c r="A77">
        <v>1</v>
      </c>
      <c r="D77" s="13" t="str">
        <f t="shared" si="14"/>
        <v/>
      </c>
      <c r="T77" t="str">
        <f>IF('[1]Rwaked BLQ'!$H80="","",CONCATENATE('[1]Rwaked BLQ'!$H80," - عدد ",'[1]Rwaked BLQ'!$G80,"  -  متبقي على الانتهاء  ",'[1]Rwaked BLQ'!$D80," شهر "))</f>
        <v/>
      </c>
    </row>
    <row r="78" spans="1:20" x14ac:dyDescent="0.25">
      <c r="A78">
        <v>1</v>
      </c>
      <c r="D78" s="13" t="str">
        <f t="shared" si="14"/>
        <v/>
      </c>
      <c r="T78" t="str">
        <f>IF('[1]Rwaked BLQ'!$H81="","",CONCATENATE('[1]Rwaked BLQ'!$H81," - عدد ",'[1]Rwaked BLQ'!$G81,"  -  متبقي على الانتهاء  ",'[1]Rwaked BLQ'!$D81," شهر "))</f>
        <v/>
      </c>
    </row>
    <row r="79" spans="1:20" x14ac:dyDescent="0.25">
      <c r="A79">
        <v>1</v>
      </c>
      <c r="D79" s="13" t="str">
        <f t="shared" si="14"/>
        <v xml:space="preserve">← تمت مراجعة الايداعات التي تم اثباتها بالمالية حتى اليوم   </v>
      </c>
      <c r="T79" t="str">
        <f>IF('[1]Rwaked BLQ'!$H82="","",CONCATENATE('[1]Rwaked BLQ'!$H82," - عدد ",'[1]Rwaked BLQ'!$G82,"  -  متبقي على الانتهاء  ",'[1]Rwaked BLQ'!$D82," شهر "))</f>
        <v/>
      </c>
    </row>
    <row r="80" spans="1:20" x14ac:dyDescent="0.25">
      <c r="A80">
        <v>1</v>
      </c>
      <c r="D80" s="13" t="str">
        <f t="shared" si="14"/>
        <v/>
      </c>
      <c r="T80" t="str">
        <f>IF('[1]Rwaked BLQ'!$H83="","",CONCATENATE('[1]Rwaked BLQ'!$H83," - عدد ",'[1]Rwaked BLQ'!$G83,"  -  متبقي على الانتهاء  ",'[1]Rwaked BLQ'!$D83," شهر "))</f>
        <v/>
      </c>
    </row>
    <row r="81" spans="1:20" x14ac:dyDescent="0.25">
      <c r="A81">
        <v>1</v>
      </c>
      <c r="D81" s="13" t="str">
        <f t="shared" si="14"/>
        <v/>
      </c>
      <c r="T81" t="str">
        <f>IF('[1]Rwaked BLQ'!$H84="","",CONCATENATE('[1]Rwaked BLQ'!$H84," - عدد ",'[1]Rwaked BLQ'!$G84,"  -  متبقي على الانتهاء  ",'[1]Rwaked BLQ'!$D84," شهر "))</f>
        <v/>
      </c>
    </row>
    <row r="82" spans="1:20" x14ac:dyDescent="0.25">
      <c r="A82">
        <v>1</v>
      </c>
      <c r="T82" t="str">
        <f>IF('[1]Rwaked BLQ'!$H85="","",CONCATENATE('[1]Rwaked BLQ'!$H85," - عدد ",'[1]Rwaked BLQ'!$G85,"  -  متبقي على الانتهاء  ",'[1]Rwaked BLQ'!$D85," شهر "))</f>
        <v/>
      </c>
    </row>
    <row r="83" spans="1:20" ht="20.25" x14ac:dyDescent="0.25">
      <c r="A83">
        <v>1</v>
      </c>
      <c r="D83" s="17" t="s">
        <v>33</v>
      </c>
      <c r="T83" t="str">
        <f>IF('[1]Rwaked BLQ'!$H86="","",CONCATENATE('[1]Rwaked BLQ'!$H86," - عدد ",'[1]Rwaked BLQ'!$G86,"  -  متبقي على الانتهاء  ",'[1]Rwaked BLQ'!$D86," شهر "))</f>
        <v/>
      </c>
    </row>
    <row r="84" spans="1:20" ht="16.5" x14ac:dyDescent="0.25">
      <c r="A84">
        <v>1</v>
      </c>
      <c r="D84" s="18" t="s">
        <v>34</v>
      </c>
      <c r="T84" t="str">
        <f>IF('[1]Rwaked BLQ'!$H87="","",CONCATENATE('[1]Rwaked BLQ'!$H87," - عدد ",'[1]Rwaked BLQ'!$G87,"  -  متبقي على الانتهاء  ",'[1]Rwaked BLQ'!$D87," شهر "))</f>
        <v/>
      </c>
    </row>
    <row r="85" spans="1:20" x14ac:dyDescent="0.25">
      <c r="A85">
        <v>1</v>
      </c>
      <c r="D85" s="12" t="s">
        <v>104</v>
      </c>
      <c r="T85" t="str">
        <f>IF('[1]Rwaked BLQ'!$H88="","",CONCATENATE('[1]Rwaked BLQ'!$H88," - عدد ",'[1]Rwaked BLQ'!$G88,"  -  متبقي على الانتهاء  ",'[1]Rwaked BLQ'!$D88," شهر "))</f>
        <v/>
      </c>
    </row>
    <row r="86" spans="1:20" x14ac:dyDescent="0.25">
      <c r="A86">
        <v>1</v>
      </c>
      <c r="D86" s="12" t="s">
        <v>36</v>
      </c>
      <c r="T86" t="str">
        <f>IF('[1]Rwaked BLQ'!$H89="","",CONCATENATE('[1]Rwaked BLQ'!$H89," - عدد ",'[1]Rwaked BLQ'!$G89,"  -  متبقي على الانتهاء  ",'[1]Rwaked BLQ'!$D89," شهر "))</f>
        <v/>
      </c>
    </row>
    <row r="87" spans="1:20" x14ac:dyDescent="0.25">
      <c r="A87">
        <v>1</v>
      </c>
      <c r="T87" t="str">
        <f>IF('[1]Rwaked BLQ'!$H90="","",CONCATENATE('[1]Rwaked BLQ'!$H90," - عدد ",'[1]Rwaked BLQ'!$G90,"  -  متبقي على الانتهاء  ",'[1]Rwaked BLQ'!$D90," شهر "))</f>
        <v/>
      </c>
    </row>
    <row r="88" spans="1:20" x14ac:dyDescent="0.25">
      <c r="A88">
        <v>1</v>
      </c>
      <c r="T88" t="str">
        <f>IF('[1]Rwaked BLQ'!$H91="","",CONCATENATE('[1]Rwaked BLQ'!$H91," - عدد ",'[1]Rwaked BLQ'!$G91,"  -  متبقي على الانتهاء  ",'[1]Rwaked BLQ'!$D91," شهر "))</f>
        <v/>
      </c>
    </row>
    <row r="89" spans="1:20" x14ac:dyDescent="0.25">
      <c r="A89">
        <v>1</v>
      </c>
      <c r="T89" t="str">
        <f>IF('[1]Rwaked BLQ'!$H92="","",CONCATENATE('[1]Rwaked BLQ'!$H92," - عدد ",'[1]Rwaked BLQ'!$G92,"  -  متبقي على الانتهاء  ",'[1]Rwaked BLQ'!$D92," شهر "))</f>
        <v/>
      </c>
    </row>
    <row r="90" spans="1:20" x14ac:dyDescent="0.25">
      <c r="A90">
        <v>1</v>
      </c>
    </row>
    <row r="91" spans="1:20" x14ac:dyDescent="0.25">
      <c r="A91">
        <v>1</v>
      </c>
    </row>
    <row r="92" spans="1:20" x14ac:dyDescent="0.25">
      <c r="A92">
        <v>1</v>
      </c>
    </row>
    <row r="93" spans="1:20" x14ac:dyDescent="0.25">
      <c r="A93">
        <v>1</v>
      </c>
    </row>
    <row r="94" spans="1:20" x14ac:dyDescent="0.25">
      <c r="A94">
        <v>1</v>
      </c>
    </row>
    <row r="95" spans="1:20" x14ac:dyDescent="0.25">
      <c r="A95">
        <v>1</v>
      </c>
    </row>
    <row r="96" spans="1:20" x14ac:dyDescent="0.25">
      <c r="A96">
        <v>1</v>
      </c>
    </row>
    <row r="97" spans="1:6" x14ac:dyDescent="0.25">
      <c r="A97">
        <v>1</v>
      </c>
    </row>
    <row r="98" spans="1:6" x14ac:dyDescent="0.25">
      <c r="A98">
        <v>1</v>
      </c>
    </row>
    <row r="99" spans="1:6" x14ac:dyDescent="0.25">
      <c r="A99">
        <v>1</v>
      </c>
    </row>
    <row r="100" spans="1:6" x14ac:dyDescent="0.25">
      <c r="A100">
        <v>1</v>
      </c>
    </row>
    <row r="101" spans="1:6" x14ac:dyDescent="0.25">
      <c r="A101">
        <v>1</v>
      </c>
    </row>
    <row r="102" spans="1:6" x14ac:dyDescent="0.25">
      <c r="A102">
        <v>1</v>
      </c>
    </row>
    <row r="103" spans="1:6" x14ac:dyDescent="0.25">
      <c r="A103">
        <v>1</v>
      </c>
      <c r="E103" t="s">
        <v>27</v>
      </c>
    </row>
    <row r="104" spans="1:6" x14ac:dyDescent="0.25">
      <c r="A104">
        <v>1</v>
      </c>
      <c r="E104" t="s">
        <v>27</v>
      </c>
    </row>
    <row r="105" spans="1:6" x14ac:dyDescent="0.25">
      <c r="A105">
        <v>1</v>
      </c>
      <c r="E105" t="s">
        <v>27</v>
      </c>
    </row>
    <row r="106" spans="1:6" x14ac:dyDescent="0.25">
      <c r="A106">
        <v>1</v>
      </c>
    </row>
    <row r="107" spans="1:6" ht="20.25" x14ac:dyDescent="0.25">
      <c r="A107">
        <v>1</v>
      </c>
      <c r="B107" s="9">
        <v>1</v>
      </c>
      <c r="D107" s="17" t="s">
        <v>37</v>
      </c>
    </row>
    <row r="108" spans="1:6" ht="16.5" x14ac:dyDescent="0.25">
      <c r="A108">
        <v>1</v>
      </c>
      <c r="B108" s="9">
        <v>1</v>
      </c>
      <c r="D108" s="18" t="s">
        <v>38</v>
      </c>
    </row>
    <row r="109" spans="1:6" x14ac:dyDescent="0.25">
      <c r="A109">
        <v>1</v>
      </c>
      <c r="B109" s="9">
        <v>1</v>
      </c>
      <c r="C109" s="9">
        <v>1</v>
      </c>
      <c r="D109" s="13" t="str">
        <f t="shared" ref="D109:D126" si="15">IF(C109=0,"",F109)</f>
        <v>بعض المندوبين غير ملتزمين بكتابة تفريدة النقدية . ( الأمر مكرر )</v>
      </c>
      <c r="F109" s="13" t="s">
        <v>39</v>
      </c>
    </row>
    <row r="110" spans="1:6" x14ac:dyDescent="0.25">
      <c r="A110">
        <v>1</v>
      </c>
      <c r="C110" s="9">
        <v>1</v>
      </c>
      <c r="D110" s="13" t="str">
        <f t="shared" si="15"/>
        <v>يوجد تقصير في ارفاق صور فواتير الجملة في بيان متحصلات الجملة . وتم التأكيد على ضرورة طباعة الفواتير كاملة وارفاقها في بيان المتحصلات .</v>
      </c>
      <c r="F110" s="13" t="s">
        <v>40</v>
      </c>
    </row>
    <row r="111" spans="1:6" x14ac:dyDescent="0.25">
      <c r="A111">
        <v>1</v>
      </c>
      <c r="D111" s="13" t="str">
        <f t="shared" si="15"/>
        <v/>
      </c>
      <c r="F111" s="13" t="s">
        <v>41</v>
      </c>
    </row>
    <row r="112" spans="1:6" x14ac:dyDescent="0.25">
      <c r="A112">
        <v>1</v>
      </c>
      <c r="B112" s="9">
        <v>1</v>
      </c>
      <c r="C112" s="9">
        <v>1</v>
      </c>
      <c r="D112" s="13" t="str">
        <f t="shared" si="15"/>
        <v>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v>
      </c>
      <c r="F112" s="13" t="s">
        <v>42</v>
      </c>
    </row>
    <row r="113" spans="1:6" x14ac:dyDescent="0.25">
      <c r="A113">
        <v>1</v>
      </c>
      <c r="B113" s="9">
        <v>1</v>
      </c>
      <c r="C113" s="9">
        <v>1</v>
      </c>
      <c r="D113" s="13" t="str">
        <f t="shared" si="15"/>
        <v>لا يتم تسجيل التحصيلات على فواتير الاجل من المحاسبين .</v>
      </c>
      <c r="F113" s="13" t="s">
        <v>43</v>
      </c>
    </row>
    <row r="114" spans="1:6" x14ac:dyDescent="0.25">
      <c r="A114">
        <v>1</v>
      </c>
      <c r="B114" s="9">
        <v>1</v>
      </c>
      <c r="C114" s="9">
        <v>1</v>
      </c>
      <c r="D114" s="13" t="str">
        <f t="shared" si="15"/>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c r="F114" s="13" t="s">
        <v>44</v>
      </c>
    </row>
    <row r="115" spans="1:6" x14ac:dyDescent="0.25">
      <c r="A115">
        <v>1</v>
      </c>
      <c r="B115" s="9">
        <v>1</v>
      </c>
      <c r="C115" s="9">
        <v>1</v>
      </c>
      <c r="D115" s="13" t="str">
        <f t="shared" si="15"/>
        <v>لا يتم الالتزام  بطباعة مصادقة المديونية للمندوبين وارسالها على الميل .</v>
      </c>
      <c r="F115" s="13" t="s">
        <v>180</v>
      </c>
    </row>
    <row r="116" spans="1:6" x14ac:dyDescent="0.25">
      <c r="A116">
        <v>1</v>
      </c>
      <c r="B116" s="9">
        <v>1</v>
      </c>
      <c r="C116" s="9">
        <v>1</v>
      </c>
      <c r="D116" s="13" t="str">
        <f t="shared" si="15"/>
        <v xml:space="preserve"> تم التأكيد على ضرورة تسجيل رقم إيصال استلام النقدية بدفتر الخزنه وليس رقم الحركة على البرنامج .</v>
      </c>
      <c r="F116" s="13" t="s">
        <v>46</v>
      </c>
    </row>
    <row r="117" spans="1:6" x14ac:dyDescent="0.25">
      <c r="A117">
        <v>1</v>
      </c>
      <c r="B117" s="9">
        <v>1</v>
      </c>
      <c r="C117" s="9">
        <v>1</v>
      </c>
      <c r="D117" s="13" t="str">
        <f t="shared" si="15"/>
        <v xml:space="preserve"> تم التأكيد على ضرورة التفرقة في تسجيل الشيكات عن الايداعات البنكية في الدفتر من خلال الوصف وليس جمعهم على بعضهم البعض .</v>
      </c>
      <c r="F117" s="13" t="s">
        <v>47</v>
      </c>
    </row>
    <row r="118" spans="1:6" x14ac:dyDescent="0.25">
      <c r="A118">
        <v>1</v>
      </c>
      <c r="B118" s="9">
        <v>1</v>
      </c>
      <c r="C118" s="9">
        <v>1</v>
      </c>
      <c r="D118" s="13" t="str">
        <f t="shared" si="15"/>
        <v xml:space="preserve"> عدم استلام أي بيان متحصلات غير مستوفى البيانات ومطابقة تفريدة النقدية للفعلي .</v>
      </c>
      <c r="F118" s="13" t="s">
        <v>48</v>
      </c>
    </row>
    <row r="119" spans="1:6" x14ac:dyDescent="0.25">
      <c r="A119">
        <v>1</v>
      </c>
      <c r="B119" s="9">
        <v>1</v>
      </c>
      <c r="C119" s="9">
        <v>1</v>
      </c>
      <c r="D119" s="13" t="str">
        <f t="shared" si="15"/>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19" s="13" t="s">
        <v>49</v>
      </c>
    </row>
    <row r="120" spans="1:6" x14ac:dyDescent="0.25">
      <c r="A120">
        <v>1</v>
      </c>
      <c r="B120" s="9">
        <v>1</v>
      </c>
      <c r="C120" s="9">
        <v>1</v>
      </c>
      <c r="D120" s="13" t="str">
        <f t="shared" si="15"/>
        <v xml:space="preserve"> التأكيد على استكمال أرشيف الخزنة . وطباعة الجرد اليومي وارفاقه مع الأرشيف . تم الالتزام .</v>
      </c>
      <c r="F120" s="13" t="s">
        <v>50</v>
      </c>
    </row>
    <row r="121" spans="1:6" x14ac:dyDescent="0.25">
      <c r="A121">
        <v>1</v>
      </c>
      <c r="B121" s="9">
        <v>1</v>
      </c>
      <c r="C121" s="9">
        <v>1</v>
      </c>
      <c r="D121" s="13" t="str">
        <f t="shared" si="15"/>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F121" s="13" t="s">
        <v>51</v>
      </c>
    </row>
    <row r="122" spans="1:6" x14ac:dyDescent="0.25">
      <c r="A122">
        <v>1</v>
      </c>
      <c r="B122" s="9">
        <v>1</v>
      </c>
      <c r="C122" s="9">
        <v>1</v>
      </c>
      <c r="D122" s="13" t="str">
        <f t="shared" si="15"/>
        <v xml:space="preserve"> تمت مراجعة وارد عافيه المرسل للتوكيل</v>
      </c>
      <c r="F122" s="13" t="s">
        <v>162</v>
      </c>
    </row>
    <row r="123" spans="1:6" x14ac:dyDescent="0.25">
      <c r="A123">
        <v>1</v>
      </c>
      <c r="B123" s="9">
        <v>1</v>
      </c>
      <c r="C123" s="9">
        <v>1</v>
      </c>
      <c r="D123" s="13" t="str">
        <f t="shared" si="15"/>
        <v xml:space="preserve"> تمت مراجعة وارد الملكة المرسل للتوكيل حتى تاريخه</v>
      </c>
      <c r="F123" s="13" t="s">
        <v>163</v>
      </c>
    </row>
    <row r="124" spans="1:6" x14ac:dyDescent="0.25">
      <c r="A124">
        <v>1</v>
      </c>
      <c r="B124" s="9">
        <v>1</v>
      </c>
      <c r="C124" s="9">
        <v>1</v>
      </c>
      <c r="D124" s="13" t="str">
        <f t="shared" si="15"/>
        <v xml:space="preserve"> تمت مراجعة ايداعات عافيه حتى تاريخه</v>
      </c>
      <c r="F124" s="13" t="s">
        <v>164</v>
      </c>
    </row>
    <row r="125" spans="1:6" x14ac:dyDescent="0.25">
      <c r="A125">
        <v>1</v>
      </c>
      <c r="B125" s="9">
        <v>1</v>
      </c>
      <c r="C125" s="9">
        <v>1</v>
      </c>
      <c r="D125" s="13" t="str">
        <f t="shared" si="15"/>
        <v xml:space="preserve"> تمت مراجعة ايداعات الملكة حتى تاريخه</v>
      </c>
      <c r="F125" s="13" t="s">
        <v>165</v>
      </c>
    </row>
    <row r="126" spans="1:6" x14ac:dyDescent="0.25">
      <c r="A126">
        <v>1</v>
      </c>
      <c r="B126" s="9">
        <v>1</v>
      </c>
      <c r="C126" s="9">
        <v>1</v>
      </c>
      <c r="D126" s="13" t="str">
        <f t="shared" si="15"/>
        <v xml:space="preserve"> تمت مراجعة التحصيل النقدي والتاكد من التوجيه الصحيح للحركات حتى تاريخه</v>
      </c>
      <c r="F126" s="13" t="s">
        <v>166</v>
      </c>
    </row>
    <row r="127" spans="1:6" x14ac:dyDescent="0.25">
      <c r="A127">
        <v>1</v>
      </c>
    </row>
    <row r="128" spans="1:6" ht="20.25" x14ac:dyDescent="0.25">
      <c r="A128">
        <v>1</v>
      </c>
      <c r="B128" s="9">
        <v>1</v>
      </c>
      <c r="D128" s="26" t="s">
        <v>53</v>
      </c>
    </row>
    <row r="129" spans="1:4" ht="16.5" x14ac:dyDescent="0.25">
      <c r="A129">
        <v>1</v>
      </c>
      <c r="B129" s="9">
        <v>1</v>
      </c>
      <c r="D129" s="17" t="s">
        <v>54</v>
      </c>
    </row>
    <row r="130" spans="1:4" ht="15.75" x14ac:dyDescent="0.25">
      <c r="A130">
        <v>1</v>
      </c>
      <c r="B130" s="9">
        <f t="shared" ref="B130:D132" si="16">B4</f>
        <v>0</v>
      </c>
      <c r="C130" s="9">
        <f t="shared" si="16"/>
        <v>0</v>
      </c>
      <c r="D130" s="28" t="str">
        <f t="shared" si="16"/>
        <v>توجد بعض البضاعة المرشحة جاري فرزها للوقوف على عددها</v>
      </c>
    </row>
    <row r="131" spans="1:4" ht="15.75" x14ac:dyDescent="0.25">
      <c r="A131">
        <v>1</v>
      </c>
      <c r="B131" s="9">
        <f t="shared" si="16"/>
        <v>0</v>
      </c>
      <c r="C131" s="9">
        <f t="shared" si="16"/>
        <v>0</v>
      </c>
      <c r="D131" s="28" t="str">
        <f t="shared" si="16"/>
        <v>يوجد بضاعة هالك يتم ارتجاعها على جرار الوارد</v>
      </c>
    </row>
    <row r="132" spans="1:4" ht="15.75" x14ac:dyDescent="0.25">
      <c r="A132">
        <v>1</v>
      </c>
      <c r="B132" s="9">
        <f t="shared" si="16"/>
        <v>1</v>
      </c>
      <c r="C132" s="9">
        <f t="shared" si="16"/>
        <v>2796</v>
      </c>
      <c r="D132" s="28" t="str">
        <f t="shared" si="16"/>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33" spans="1:4" ht="15.75" x14ac:dyDescent="0.25">
      <c r="A133">
        <v>1</v>
      </c>
      <c r="B133" s="9">
        <v>1</v>
      </c>
      <c r="C133" s="9" t="s">
        <v>105</v>
      </c>
      <c r="D133" s="28" t="str">
        <f t="shared" ref="D133:D139" si="17">D151</f>
        <v xml:space="preserve">← وجود أثار فئران بالمخازن نتيجة وجود فتحات في المخازن تسمح بدخول فئران </v>
      </c>
    </row>
    <row r="134" spans="1:4" ht="15.75" x14ac:dyDescent="0.25">
      <c r="A134">
        <v>1</v>
      </c>
      <c r="B134" s="9">
        <v>1</v>
      </c>
      <c r="C134" s="9" t="s">
        <v>105</v>
      </c>
      <c r="D134" s="28" t="str">
        <f t="shared" si="17"/>
        <v>← الأصناف بالمخزنين غير مرتبة وفقا للحجم والنوع وتم التأكيد على سرعة الانتها ء من ترتيب البضاعة وذلك بسبب صغر حجم المخزن مقارنة بالشحن .</v>
      </c>
    </row>
    <row r="135" spans="1:4" ht="15.75" x14ac:dyDescent="0.25">
      <c r="A135">
        <v>1</v>
      </c>
      <c r="B135" s="9">
        <v>1</v>
      </c>
      <c r="C135" s="9" t="s">
        <v>105</v>
      </c>
      <c r="D135" s="28" t="str">
        <f t="shared" si="17"/>
        <v>← ارتفاع درجات الحرارة بالمخزنين مما قد يؤثر سلبا على البضاعة المتواجدة بالمخزن من جهة السوس او الترشيح</v>
      </c>
    </row>
    <row r="136" spans="1:4" ht="15.75" x14ac:dyDescent="0.25">
      <c r="A136">
        <v>1</v>
      </c>
      <c r="B136" s="9">
        <v>1</v>
      </c>
      <c r="C136" s="9" t="s">
        <v>105</v>
      </c>
      <c r="D136" s="28" t="str">
        <f t="shared" si="17"/>
        <v xml:space="preserve">← تم ابعاد البضاعة عن الحائط في المخزنين </v>
      </c>
    </row>
    <row r="137" spans="1:4" ht="15.75" x14ac:dyDescent="0.25">
      <c r="A137">
        <v>1</v>
      </c>
      <c r="B137" s="9">
        <v>1</v>
      </c>
      <c r="C137" s="9" t="s">
        <v>105</v>
      </c>
      <c r="D137" s="28" t="str">
        <f t="shared" si="17"/>
        <v>← لا يوجد شفاطات بالمخزن مما أدى إلى ارتفاع درجات الحرارة</v>
      </c>
    </row>
    <row r="138" spans="1:4" ht="15.75" x14ac:dyDescent="0.25">
      <c r="A138">
        <v>1</v>
      </c>
      <c r="B138" s="9">
        <v>1</v>
      </c>
      <c r="C138" s="9" t="s">
        <v>105</v>
      </c>
      <c r="D138" s="28" t="str">
        <f t="shared" si="17"/>
        <v>← لا توجد طفايات حريق بالمخزنين .</v>
      </c>
    </row>
    <row r="139" spans="1:4" ht="15.75" x14ac:dyDescent="0.25">
      <c r="A139">
        <v>1</v>
      </c>
      <c r="B139" s="9">
        <v>1</v>
      </c>
      <c r="C139" s="9" t="s">
        <v>105</v>
      </c>
      <c r="D139" s="28" t="str">
        <f t="shared" si="17"/>
        <v>← وجود أتربة على بعض المنتجات .</v>
      </c>
    </row>
    <row r="140" spans="1:4" ht="15.75" x14ac:dyDescent="0.25">
      <c r="A140">
        <v>1</v>
      </c>
      <c r="B140" s="9">
        <v>1</v>
      </c>
      <c r="C140" s="9" t="s">
        <v>105</v>
      </c>
      <c r="D140" s="28" t="s">
        <v>167</v>
      </c>
    </row>
    <row r="141" spans="1:4" ht="15.75" x14ac:dyDescent="0.25">
      <c r="A141">
        <v>1</v>
      </c>
      <c r="B141" s="9">
        <v>1</v>
      </c>
      <c r="D141" s="28" t="s">
        <v>168</v>
      </c>
    </row>
    <row r="142" spans="1:4" ht="15.75" x14ac:dyDescent="0.25">
      <c r="A142">
        <v>1</v>
      </c>
      <c r="B142" s="9">
        <v>1</v>
      </c>
      <c r="D142" s="42" t="s">
        <v>169</v>
      </c>
    </row>
    <row r="143" spans="1:4" ht="15.75" x14ac:dyDescent="0.25">
      <c r="A143">
        <v>1</v>
      </c>
      <c r="D143" s="42"/>
    </row>
    <row r="144" spans="1:4" ht="18.75" x14ac:dyDescent="0.35">
      <c r="A144">
        <v>1</v>
      </c>
      <c r="B144" s="9">
        <v>1</v>
      </c>
      <c r="D144" s="29" t="s">
        <v>61</v>
      </c>
    </row>
    <row r="145" spans="1:4" x14ac:dyDescent="0.25">
      <c r="A145">
        <v>1</v>
      </c>
      <c r="D145" s="13" t="str">
        <f>D4</f>
        <v>توجد بعض البضاعة المرشحة جاري فرزها للوقوف على عددها</v>
      </c>
    </row>
    <row r="146" spans="1:4" x14ac:dyDescent="0.25">
      <c r="A146">
        <v>1</v>
      </c>
      <c r="B146" s="9">
        <f>IF(C146&gt;0,1,0)</f>
        <v>0</v>
      </c>
      <c r="C146" s="9">
        <f>C4</f>
        <v>0</v>
      </c>
      <c r="D146" s="13" t="str">
        <f>D5</f>
        <v>يوجد بضاعة هالك يتم ارتجاعها على جرار الوارد</v>
      </c>
    </row>
    <row r="147" spans="1:4" x14ac:dyDescent="0.25">
      <c r="A147">
        <v>1</v>
      </c>
      <c r="B147" s="9">
        <f>IF(C147&gt;0,1,0)</f>
        <v>0</v>
      </c>
      <c r="C147" s="9">
        <f>C5</f>
        <v>0</v>
      </c>
      <c r="D147" s="13" t="str">
        <f>D6</f>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48" spans="1:4" x14ac:dyDescent="0.25">
      <c r="A148">
        <v>1</v>
      </c>
      <c r="B148" s="9">
        <f>IF(C148&gt;0,1,0)</f>
        <v>1</v>
      </c>
      <c r="C148" s="9">
        <f>C6</f>
        <v>2796</v>
      </c>
      <c r="D148" s="13" t="str">
        <f>D7</f>
        <v xml:space="preserve">الملكة شيوي إسباجتي 400 جم - عدد 20  -  متبقي على الانتهاء  2 شهر   ;  الملكة شيوي لسان 400 جم - عدد 340  -  متبقي على الانتهاء  11 شهر   ;  الملكة شيوي خواتم 400 جم - عدد 20  -  متبقي على الانتهاء  12 شهر   ;  الملكة شيوي شعريه 400 جم - عدد 20  -  متبقي على الانتهاء  13 شهر   ;  الملكة شيوي مرمرية 400 جم - عدد 60  -  متبقي على الانتهاء  13 شهر   ;  الملكة شيوي شعريه 400 جم - عدد 4200  -  متبقي على الانتهاء  14 شهر   ;  الملكة شيوي فرن 400 جم - عدد 60  -  متبقي على الانتهاء  14 شهر   ;  الملكة شيوي لسان 400 جم - عدد 2380  -  متبقي على الانتهاء  14 شهر   ;  الملكة شيوي مرمرية 400 جم - عدد 4060  -  متبقي على الانتهاء  14 شهر   ;  الشمس الذهبية أبيض 1.3 كجم *6 برطمان - عدد 1152  -  متبقي على الانتهاء  15 شهر   ;  الشمس الذهبية أبيض 1.45 كجم * 4 باكت - عدد 16  -  متبقي على الانتهاء  15 شهر   ;  الشمس الذهبية أصفر 1.3 كجم *6 برطمان - عدد 204  -  متبقي على الانتهاء  15 شهر   ;  الملكة شيوي فرن 400 جم - عدد 10660  -  متبقي على الانتهاء  15 شهر   ;  الملكة شيوي لسان 400 جم - عدد 960  -  متبقي على الانتهاء  15 شهر   ;  الملكة شيوي هلاليه 400 جم - عدد 5340  -  متبقي على الانتهاء  15 شهر   ;  الشمس الذهبية أبيض 1.3 كجم *6 برطمان - عدد 1794  -  متبقي على الانتهاء  16 شهر   ;  الشمس الذهبية أبيض 1.45 كجم * 4 باكت - عدد 28  -  متبقي على الانتهاء  16 شهر   ;  الشمس الذهبية أصفر 1.3 كجم *6 برطمان - عدد 612  -  متبقي على الانتهاء  16 شهر   ;  الملكة شيوي لسان 400 جم - عدد 1400  -  متبقي على الانتهاء  16 شهر   ;  الشمس الذهبية أبيض 1.45 كجم * 4 باكت - عدد 48  -  متبقي على الانتهاء  17 شهر   ;  الطاهي أبيض 1.3 كجم *6 برطمان - عدد 222  -  متبقي على الانتهاء  17 شهر   ;  الطاهي أصفر 1.3 كجم *6 برطمان - عدد 2838  -  متبقي على الانتهاء  17 شهر   ;  الملكة شيوي خواتم 400 جم - عدد 3200  -  متبقي على الانتهاء  21 شهر </v>
      </c>
    </row>
    <row r="149" spans="1:4" ht="15.75" x14ac:dyDescent="0.25">
      <c r="A149">
        <v>1</v>
      </c>
      <c r="B149" s="9">
        <v>1</v>
      </c>
      <c r="D149" s="42"/>
    </row>
    <row r="150" spans="1:4" ht="15.75" x14ac:dyDescent="0.25">
      <c r="A150">
        <v>1</v>
      </c>
      <c r="B150" s="9">
        <v>1</v>
      </c>
      <c r="D150" s="42"/>
    </row>
    <row r="151" spans="1:4" ht="15.75" x14ac:dyDescent="0.25">
      <c r="A151">
        <v>1</v>
      </c>
      <c r="B151" s="9">
        <v>1</v>
      </c>
      <c r="D151" s="42" t="s">
        <v>205</v>
      </c>
    </row>
    <row r="152" spans="1:4" ht="15.75" x14ac:dyDescent="0.25">
      <c r="A152">
        <v>1</v>
      </c>
      <c r="B152" s="9">
        <v>1</v>
      </c>
      <c r="D152" s="42" t="s">
        <v>109</v>
      </c>
    </row>
    <row r="153" spans="1:4" ht="15.75" x14ac:dyDescent="0.25">
      <c r="A153">
        <v>1</v>
      </c>
      <c r="B153" s="9">
        <v>1</v>
      </c>
      <c r="D153" s="42" t="s">
        <v>110</v>
      </c>
    </row>
    <row r="154" spans="1:4" ht="15.75" x14ac:dyDescent="0.25">
      <c r="A154">
        <v>1</v>
      </c>
      <c r="B154" s="9">
        <v>1</v>
      </c>
      <c r="D154" s="42" t="s">
        <v>111</v>
      </c>
    </row>
    <row r="155" spans="1:4" ht="15.75" x14ac:dyDescent="0.25">
      <c r="A155">
        <v>1</v>
      </c>
      <c r="B155" s="9">
        <v>1</v>
      </c>
      <c r="D155" s="42" t="s">
        <v>112</v>
      </c>
    </row>
    <row r="156" spans="1:4" ht="15.75" x14ac:dyDescent="0.25">
      <c r="A156">
        <v>1</v>
      </c>
      <c r="B156" s="9">
        <v>1</v>
      </c>
      <c r="D156" s="42" t="s">
        <v>113</v>
      </c>
    </row>
    <row r="157" spans="1:4" ht="15.75" x14ac:dyDescent="0.25">
      <c r="A157">
        <v>1</v>
      </c>
      <c r="B157" s="9">
        <v>1</v>
      </c>
      <c r="D157" s="42" t="s">
        <v>114</v>
      </c>
    </row>
    <row r="158" spans="1:4" ht="15.75" x14ac:dyDescent="0.25">
      <c r="A158">
        <v>1</v>
      </c>
      <c r="B158" s="9">
        <v>1</v>
      </c>
      <c r="D158" s="42" t="s">
        <v>169</v>
      </c>
    </row>
    <row r="159" spans="1:4" ht="15.75" x14ac:dyDescent="0.25">
      <c r="A159">
        <v>1</v>
      </c>
      <c r="D159" s="42" t="s">
        <v>206</v>
      </c>
    </row>
    <row r="160" spans="1:4" ht="15.75" x14ac:dyDescent="0.25">
      <c r="A160">
        <v>1</v>
      </c>
      <c r="D160" s="28"/>
    </row>
    <row r="161" spans="1:4" ht="15.75" x14ac:dyDescent="0.25">
      <c r="A161">
        <v>1</v>
      </c>
      <c r="D161" s="28"/>
    </row>
    <row r="162" spans="1:4" ht="15.75" x14ac:dyDescent="0.25">
      <c r="A162">
        <v>1</v>
      </c>
      <c r="D162" s="28"/>
    </row>
    <row r="163" spans="1:4" ht="15.75" x14ac:dyDescent="0.25">
      <c r="A163">
        <v>1</v>
      </c>
      <c r="D163" s="28"/>
    </row>
    <row r="164" spans="1:4" x14ac:dyDescent="0.25">
      <c r="A164">
        <v>1</v>
      </c>
    </row>
    <row r="165" spans="1:4" x14ac:dyDescent="0.25">
      <c r="A165">
        <v>1</v>
      </c>
    </row>
    <row r="166" spans="1:4" x14ac:dyDescent="0.25">
      <c r="A166">
        <v>1</v>
      </c>
    </row>
    <row r="167" spans="1:4" x14ac:dyDescent="0.25">
      <c r="A167">
        <v>1</v>
      </c>
    </row>
    <row r="168" spans="1:4" ht="18.75" x14ac:dyDescent="0.35">
      <c r="A168">
        <v>1</v>
      </c>
      <c r="B168" s="9">
        <v>1</v>
      </c>
      <c r="D168" s="29" t="s">
        <v>62</v>
      </c>
    </row>
    <row r="169" spans="1:4" x14ac:dyDescent="0.25">
      <c r="A169">
        <v>1</v>
      </c>
      <c r="B169" s="9">
        <f>B24</f>
        <v>1</v>
      </c>
      <c r="C169" s="9">
        <f>C24</f>
        <v>675000</v>
      </c>
      <c r="D169" s="13" t="str">
        <f t="shared" ref="D169:D179" si="18">IF(D23=0,"",D23)</f>
        <v xml:space="preserve">← توجد فواتير بدون بعد مالي عافيه بمبلغ  34961.47 لم يتم الانتهاء من حله حتى الان ويتم الارسال بالمشكلة بصفة دورية إلى الادارة </v>
      </c>
    </row>
    <row r="170" spans="1:4" x14ac:dyDescent="0.25">
      <c r="A170">
        <v>1</v>
      </c>
      <c r="B170" s="9">
        <f>B25</f>
        <v>1</v>
      </c>
      <c r="C170" s="9">
        <f>C25</f>
        <v>147058</v>
      </c>
      <c r="D170" s="13" t="str">
        <f t="shared" si="18"/>
        <v>←  يوجد فكة بالتوكيل  بمبلغ   0,675,000.00 سيتم عمل ايداع بها لدى تارجت</v>
      </c>
    </row>
    <row r="171" spans="1:4" x14ac:dyDescent="0.25">
      <c r="A171">
        <v>1</v>
      </c>
      <c r="D171" s="13" t="str">
        <f t="shared" si="18"/>
        <v>← يوجد مبلغ  147058 مصاريف تامينات وضريبة دخل وسولار لم يتم صرفهم على البرنامج حتى الان ..</v>
      </c>
    </row>
    <row r="172" spans="1:4" x14ac:dyDescent="0.25">
      <c r="A172">
        <v>1</v>
      </c>
      <c r="D172" s="13" t="str">
        <f t="shared" si="18"/>
        <v/>
      </c>
    </row>
    <row r="173" spans="1:4" x14ac:dyDescent="0.25">
      <c r="A173">
        <v>1</v>
      </c>
      <c r="B173" s="9">
        <v>1</v>
      </c>
      <c r="D173" s="13" t="str">
        <f t="shared" si="18"/>
        <v/>
      </c>
    </row>
    <row r="174" spans="1:4" x14ac:dyDescent="0.25">
      <c r="A174">
        <v>1</v>
      </c>
      <c r="B174" s="9">
        <v>1</v>
      </c>
      <c r="D174" s="13" t="str">
        <f t="shared" si="18"/>
        <v/>
      </c>
    </row>
    <row r="175" spans="1:4" x14ac:dyDescent="0.25">
      <c r="A175">
        <v>1</v>
      </c>
      <c r="B175" s="9">
        <v>1</v>
      </c>
      <c r="D175" s="13" t="str">
        <f t="shared" si="18"/>
        <v/>
      </c>
    </row>
    <row r="176" spans="1:4" x14ac:dyDescent="0.25">
      <c r="A176">
        <v>1</v>
      </c>
      <c r="B176" s="9">
        <v>1</v>
      </c>
      <c r="D176" s="13" t="str">
        <f t="shared" si="18"/>
        <v/>
      </c>
    </row>
    <row r="177" spans="1:6" x14ac:dyDescent="0.25">
      <c r="A177">
        <v>1</v>
      </c>
      <c r="B177" s="9">
        <v>1</v>
      </c>
      <c r="D177" s="13" t="str">
        <f t="shared" si="18"/>
        <v xml:space="preserve">← تمت مراجعة الايداعات التي تم اثباتها بالمالية حتى اليوم   </v>
      </c>
    </row>
    <row r="178" spans="1:6" x14ac:dyDescent="0.25">
      <c r="A178">
        <v>1</v>
      </c>
      <c r="B178" s="9">
        <v>1</v>
      </c>
      <c r="D178" s="13" t="str">
        <f t="shared" si="18"/>
        <v/>
      </c>
    </row>
    <row r="179" spans="1:6" x14ac:dyDescent="0.25">
      <c r="A179">
        <v>1</v>
      </c>
      <c r="B179" s="9">
        <v>1</v>
      </c>
      <c r="D179" s="13" t="str">
        <f t="shared" si="18"/>
        <v/>
      </c>
    </row>
    <row r="180" spans="1:6" ht="15.75" x14ac:dyDescent="0.25">
      <c r="A180">
        <v>1</v>
      </c>
      <c r="B180" s="9">
        <v>1</v>
      </c>
      <c r="C180" s="9">
        <v>1</v>
      </c>
      <c r="D180" s="13" t="str">
        <f t="shared" ref="D180:D188" si="19">IF(C180=1,F180,"")</f>
        <v>·         تم التأكيد على ضرورة تسجيل رقم إيصال استلام النقدية بدفتر الخزنه وليس رقم الحركة على البرنامج .</v>
      </c>
      <c r="F180" s="34" t="s">
        <v>63</v>
      </c>
    </row>
    <row r="181" spans="1:6" ht="15.75" x14ac:dyDescent="0.25">
      <c r="A181">
        <v>1</v>
      </c>
      <c r="B181" s="9">
        <v>1</v>
      </c>
      <c r="C181" s="9">
        <v>1</v>
      </c>
      <c r="D181" s="13" t="str">
        <f t="shared" si="19"/>
        <v>·         تم التأكيد على ضرورة التفرقة في تسجيل الشيكات عن الايداعات البنكية في الدفتر من خلال الوصف وليس جمعهم على بعضهم البعض .</v>
      </c>
      <c r="F181" s="34" t="s">
        <v>64</v>
      </c>
    </row>
    <row r="182" spans="1:6" ht="15.75" x14ac:dyDescent="0.25">
      <c r="A182">
        <v>1</v>
      </c>
      <c r="C182" s="9">
        <v>1</v>
      </c>
      <c r="D182" s="13" t="str">
        <f t="shared" si="19"/>
        <v>·         عدم استلام أي بيان متحصلات غير مستوفى البيانات ومطابقة تفريدة النقدية للفعلي .</v>
      </c>
      <c r="F182" s="34" t="s">
        <v>65</v>
      </c>
    </row>
    <row r="183" spans="1:6" ht="15.75" x14ac:dyDescent="0.25">
      <c r="A183">
        <v>1</v>
      </c>
      <c r="C183" s="9">
        <v>1</v>
      </c>
      <c r="D183" s="13" t="str">
        <f t="shared" si="19"/>
        <v>·         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83" s="34" t="s">
        <v>66</v>
      </c>
    </row>
    <row r="184" spans="1:6" ht="15.75" x14ac:dyDescent="0.25">
      <c r="A184">
        <v>1</v>
      </c>
      <c r="C184" s="9">
        <v>1</v>
      </c>
      <c r="D184" s="13" t="str">
        <f t="shared" si="19"/>
        <v>·         التأكيد على استكمال أرشيف الخزنة . وطباعة الجرد اليومي وارفاقه مع الأرشيف . تم الالتزام .</v>
      </c>
      <c r="F184" s="34" t="s">
        <v>67</v>
      </c>
    </row>
    <row r="185" spans="1:6" ht="15.75" x14ac:dyDescent="0.25">
      <c r="A185">
        <v>1</v>
      </c>
      <c r="C185" s="9">
        <v>1</v>
      </c>
      <c r="D185" s="13" t="str">
        <f t="shared" si="19"/>
        <v>·         تم التأكيد على ضرورة التسجيل في الدفتر وفقا للتوريد الفعلي للمندوب وعدم استلام أي مبالغ لم يتم توريدها إلى الخزنه .</v>
      </c>
      <c r="F185" s="34" t="s">
        <v>70</v>
      </c>
    </row>
    <row r="186" spans="1:6" ht="15.75" x14ac:dyDescent="0.25">
      <c r="A186">
        <v>1</v>
      </c>
      <c r="C186" s="9">
        <v>1</v>
      </c>
      <c r="D186" s="13" t="str">
        <f t="shared" si="19"/>
        <v>·         يتم استلام بعض النقدية مساءا على البرنامج في حين يتم استلامها فعليا في الخزنه ، وذلك يظهر بوضوح اثناء قيام امين الخزنه بعد مبالغ نقدية من الخزنه صباحا لأول مرة . وذلك بعلم من مدير الإقليم .</v>
      </c>
      <c r="F186" s="34" t="s">
        <v>115</v>
      </c>
    </row>
    <row r="187" spans="1:6" ht="15.75" x14ac:dyDescent="0.25">
      <c r="A187">
        <v>1</v>
      </c>
      <c r="C187" s="9">
        <v>1</v>
      </c>
      <c r="D187" s="13" t="str">
        <f t="shared" si="19"/>
        <v>·         تم شراء  خزنه حديدية بالتوكيل . وفي حالة وجود فلوس كثيرة يتم وضع الفلوس في الدولاب ..</v>
      </c>
      <c r="F187" s="34" t="s">
        <v>181</v>
      </c>
    </row>
    <row r="188" spans="1:6" ht="15.75" x14ac:dyDescent="0.25">
      <c r="A188">
        <v>1</v>
      </c>
      <c r="C188" s="9">
        <v>1</v>
      </c>
      <c r="D188" s="13" t="str">
        <f t="shared" si="19"/>
        <v>·         يتم ترك كامل الخزنة بغرفة امين الخزنه بالتوكيل داخل الخزنه الجديدة ولا يتم تسليمها للموزع بنهاية عمل اليوم . مع العلم ان المنطقة التي بها التوكيل هي منطقة زراعية وبها العديد من التوكيلات التجارية وفي منطقة غير مأهولة بالسكان . مما قد يعرضها للسرقة .</v>
      </c>
      <c r="F188" s="34" t="s">
        <v>175</v>
      </c>
    </row>
    <row r="189" spans="1:6" ht="18.75" x14ac:dyDescent="0.35">
      <c r="A189">
        <v>1</v>
      </c>
      <c r="B189" s="9">
        <v>1</v>
      </c>
      <c r="D189" s="29" t="s">
        <v>73</v>
      </c>
    </row>
    <row r="190" spans="1:6" x14ac:dyDescent="0.25">
      <c r="A190">
        <v>1</v>
      </c>
      <c r="B190" s="9">
        <f t="shared" ref="B190:C200" si="20">B36</f>
        <v>1</v>
      </c>
      <c r="C190" s="9">
        <f t="shared" si="20"/>
        <v>0</v>
      </c>
      <c r="D190" s="12" t="str">
        <f t="shared" ref="D190:D213" si="21">IF(D36=0,"",D36)</f>
        <v>إجمالي مديونية التوكيل مبلغ 32,312,083.97 ج</v>
      </c>
    </row>
    <row r="191" spans="1:6" x14ac:dyDescent="0.25">
      <c r="A191">
        <v>1</v>
      </c>
      <c r="B191" s="9" t="e">
        <f t="shared" si="20"/>
        <v>#N/A</v>
      </c>
      <c r="C191" s="9">
        <f t="shared" si="20"/>
        <v>0</v>
      </c>
      <c r="D191" s="12" t="str">
        <f t="shared" si="21"/>
        <v/>
      </c>
    </row>
    <row r="192" spans="1:6" x14ac:dyDescent="0.25">
      <c r="A192">
        <v>1</v>
      </c>
      <c r="B192" s="9">
        <f t="shared" si="20"/>
        <v>1</v>
      </c>
      <c r="C192" s="9">
        <f t="shared" si="20"/>
        <v>0</v>
      </c>
      <c r="D192" s="12" t="str">
        <f t="shared" si="21"/>
        <v/>
      </c>
    </row>
    <row r="193" spans="1:4" x14ac:dyDescent="0.25">
      <c r="A193">
        <v>1</v>
      </c>
      <c r="B193" s="9">
        <f t="shared" si="20"/>
        <v>1</v>
      </c>
      <c r="C193" s="9">
        <f t="shared" si="20"/>
        <v>0</v>
      </c>
      <c r="D193" s="12" t="str">
        <f t="shared" si="21"/>
        <v>← متاخرات المديونية     مبلغ  28,098,874.75 ج بنسبة 87%</v>
      </c>
    </row>
    <row r="194" spans="1:4" x14ac:dyDescent="0.25">
      <c r="A194">
        <v>1</v>
      </c>
      <c r="B194" s="9">
        <f t="shared" si="20"/>
        <v>0</v>
      </c>
      <c r="C194" s="9">
        <f t="shared" si="20"/>
        <v>0</v>
      </c>
      <c r="D194" s="12" t="str">
        <f t="shared" si="21"/>
        <v/>
      </c>
    </row>
    <row r="195" spans="1:4" x14ac:dyDescent="0.25">
      <c r="A195">
        <v>1</v>
      </c>
      <c r="B195" s="9">
        <f t="shared" si="20"/>
        <v>1</v>
      </c>
      <c r="C195" s="9">
        <f t="shared" si="20"/>
        <v>0</v>
      </c>
      <c r="D195" s="12" t="str">
        <f t="shared" si="21"/>
        <v>← 61 : 120 Days     مبلغ  21,753,857.78 ج بنسبة 67%</v>
      </c>
    </row>
    <row r="196" spans="1:4" x14ac:dyDescent="0.25">
      <c r="A196">
        <v>1</v>
      </c>
      <c r="B196" s="9">
        <f t="shared" si="20"/>
        <v>1</v>
      </c>
      <c r="C196" s="9">
        <f t="shared" si="20"/>
        <v>0</v>
      </c>
      <c r="D196" s="12" t="str">
        <f t="shared" si="21"/>
        <v>← 31 : 60 Days     مبلغ  1,499,783.86 ج بنسبة 5%</v>
      </c>
    </row>
    <row r="197" spans="1:4" x14ac:dyDescent="0.25">
      <c r="A197">
        <v>1</v>
      </c>
      <c r="B197" s="9">
        <f t="shared" si="20"/>
        <v>1</v>
      </c>
      <c r="C197" s="9">
        <f t="shared" si="20"/>
        <v>0</v>
      </c>
      <c r="D197" s="12" t="str">
        <f t="shared" si="21"/>
        <v>← 21 : 30 Days     مبلغ  0,039,835.00 ج بنسبة 0%</v>
      </c>
    </row>
    <row r="198" spans="1:4" x14ac:dyDescent="0.25">
      <c r="A198">
        <v>1</v>
      </c>
      <c r="B198" s="9">
        <f t="shared" si="20"/>
        <v>1</v>
      </c>
      <c r="C198" s="9">
        <f t="shared" si="20"/>
        <v>0</v>
      </c>
      <c r="D198" s="12" t="str">
        <f t="shared" si="21"/>
        <v>← 11 : 20 Days     مبلغ  0,891,089.00 ج بنسبة 3%</v>
      </c>
    </row>
    <row r="199" spans="1:4" x14ac:dyDescent="0.25">
      <c r="A199">
        <v>1</v>
      </c>
      <c r="B199" s="9">
        <f t="shared" si="20"/>
        <v>1</v>
      </c>
      <c r="C199" s="9">
        <f t="shared" si="20"/>
        <v>0</v>
      </c>
      <c r="D199" s="12" t="str">
        <f t="shared" si="21"/>
        <v>← 1 : 10 Days     مبلغ  3,914,309.11 ج بنسبة 12%</v>
      </c>
    </row>
    <row r="200" spans="1:4" x14ac:dyDescent="0.25">
      <c r="A200">
        <v>1</v>
      </c>
      <c r="B200" s="9">
        <f t="shared" si="20"/>
        <v>0</v>
      </c>
      <c r="C200" s="9">
        <f t="shared" si="20"/>
        <v>0</v>
      </c>
      <c r="D200" s="12" t="str">
        <f t="shared" si="21"/>
        <v>← Not Due     مبلغ  10,386,991.92 ج بنسبة 32%</v>
      </c>
    </row>
    <row r="201" spans="1:4" x14ac:dyDescent="0.25">
      <c r="A201">
        <v>1</v>
      </c>
      <c r="B201" s="9">
        <f t="shared" ref="B201:C209" si="22">B54</f>
        <v>0</v>
      </c>
      <c r="C201" s="9">
        <f t="shared" si="22"/>
        <v>0</v>
      </c>
      <c r="D201" s="12" t="str">
        <f t="shared" si="21"/>
        <v/>
      </c>
    </row>
    <row r="202" spans="1:4" x14ac:dyDescent="0.25">
      <c r="A202">
        <v>1</v>
      </c>
      <c r="B202" s="9">
        <f t="shared" si="22"/>
        <v>0</v>
      </c>
      <c r="C202" s="9">
        <f t="shared" si="22"/>
        <v>0</v>
      </c>
      <c r="D202" s="12" t="str">
        <f t="shared" si="21"/>
        <v/>
      </c>
    </row>
    <row r="203" spans="1:4" x14ac:dyDescent="0.25">
      <c r="A203">
        <v>1</v>
      </c>
      <c r="B203" s="9">
        <f t="shared" si="22"/>
        <v>0</v>
      </c>
      <c r="C203" s="9">
        <f t="shared" si="22"/>
        <v>0</v>
      </c>
      <c r="D203" s="12" t="str">
        <f t="shared" si="21"/>
        <v/>
      </c>
    </row>
    <row r="204" spans="1:4" x14ac:dyDescent="0.25">
      <c r="A204">
        <v>1</v>
      </c>
      <c r="B204" s="9">
        <f t="shared" si="22"/>
        <v>0</v>
      </c>
      <c r="C204" s="9">
        <f t="shared" si="22"/>
        <v>0</v>
      </c>
      <c r="D204" s="12" t="str">
        <f t="shared" si="21"/>
        <v/>
      </c>
    </row>
    <row r="205" spans="1:4" x14ac:dyDescent="0.25">
      <c r="A205">
        <v>1</v>
      </c>
      <c r="B205" s="9">
        <f t="shared" si="22"/>
        <v>0</v>
      </c>
      <c r="C205" s="9">
        <f t="shared" si="22"/>
        <v>0</v>
      </c>
      <c r="D205" s="12" t="str">
        <f t="shared" si="21"/>
        <v/>
      </c>
    </row>
    <row r="206" spans="1:4" x14ac:dyDescent="0.25">
      <c r="A206">
        <v>1</v>
      </c>
      <c r="B206" s="9">
        <f t="shared" si="22"/>
        <v>0</v>
      </c>
      <c r="C206" s="9">
        <f t="shared" si="22"/>
        <v>0</v>
      </c>
      <c r="D206" s="12" t="str">
        <f t="shared" si="21"/>
        <v/>
      </c>
    </row>
    <row r="207" spans="1:4" x14ac:dyDescent="0.25">
      <c r="A207">
        <v>1</v>
      </c>
      <c r="B207" s="9">
        <f t="shared" si="22"/>
        <v>0</v>
      </c>
      <c r="C207" s="9">
        <f t="shared" si="22"/>
        <v>0</v>
      </c>
      <c r="D207" s="12" t="str">
        <f t="shared" si="21"/>
        <v/>
      </c>
    </row>
    <row r="208" spans="1:4" x14ac:dyDescent="0.25">
      <c r="A208">
        <v>1</v>
      </c>
      <c r="B208" s="9">
        <f t="shared" si="22"/>
        <v>1</v>
      </c>
      <c r="C208" s="9">
        <f t="shared" si="22"/>
        <v>0</v>
      </c>
      <c r="D208" s="12" t="str">
        <f t="shared" si="21"/>
        <v/>
      </c>
    </row>
    <row r="209" spans="1:4" x14ac:dyDescent="0.25">
      <c r="A209">
        <v>1</v>
      </c>
      <c r="B209" s="9">
        <f t="shared" si="22"/>
        <v>0</v>
      </c>
      <c r="C209" s="9">
        <f t="shared" si="22"/>
        <v>0</v>
      </c>
      <c r="D209" s="12" t="str">
        <f t="shared" si="21"/>
        <v xml:space="preserve"> - يتم ارسال ميل يومي بمديونية الموزع ومتأخراتها للمتابعة مع مدير الاقليم</v>
      </c>
    </row>
    <row r="210" spans="1:4" x14ac:dyDescent="0.25">
      <c r="A210">
        <v>1</v>
      </c>
      <c r="D210" s="12" t="str">
        <f t="shared" si="21"/>
        <v/>
      </c>
    </row>
    <row r="211" spans="1:4" x14ac:dyDescent="0.25">
      <c r="A211">
        <v>1</v>
      </c>
      <c r="D211" s="12" t="str">
        <f t="shared" si="21"/>
        <v/>
      </c>
    </row>
    <row r="212" spans="1:4" x14ac:dyDescent="0.25">
      <c r="A212">
        <v>1</v>
      </c>
      <c r="D212" s="12" t="str">
        <f t="shared" si="21"/>
        <v/>
      </c>
    </row>
    <row r="213" spans="1:4" x14ac:dyDescent="0.25">
      <c r="A213">
        <v>1</v>
      </c>
      <c r="D213" s="12" t="str">
        <f t="shared" si="21"/>
        <v/>
      </c>
    </row>
    <row r="214" spans="1:4" ht="18.75" x14ac:dyDescent="0.35">
      <c r="A214">
        <v>1</v>
      </c>
      <c r="B214" s="9">
        <v>1</v>
      </c>
      <c r="D214" s="29" t="s">
        <v>74</v>
      </c>
    </row>
    <row r="215" spans="1:4" x14ac:dyDescent="0.25">
      <c r="A215">
        <v>1</v>
      </c>
      <c r="B215" s="9">
        <v>1</v>
      </c>
      <c r="D215" s="12" t="str">
        <f t="shared" ref="D215:D231" si="23">IF(D85=0,"",D85)</f>
        <v>←  الحوافز المتواجدة عبارة عن كوبونات واشعارات منها ما هو موقع ومنها ما هو مختوم</v>
      </c>
    </row>
    <row r="216" spans="1:4" x14ac:dyDescent="0.25">
      <c r="A216">
        <v>1</v>
      </c>
      <c r="D216" s="12" t="str">
        <f t="shared" si="23"/>
        <v>←  توجد حوافز منتهية تم صرفها بموافقة من التسويق التجاري</v>
      </c>
    </row>
    <row r="217" spans="1:4" x14ac:dyDescent="0.25">
      <c r="A217">
        <v>1</v>
      </c>
      <c r="D217" s="12" t="str">
        <f t="shared" si="23"/>
        <v/>
      </c>
    </row>
    <row r="218" spans="1:4" x14ac:dyDescent="0.25">
      <c r="A218">
        <v>1</v>
      </c>
      <c r="D218" s="12" t="str">
        <f t="shared" si="23"/>
        <v/>
      </c>
    </row>
    <row r="219" spans="1:4" x14ac:dyDescent="0.25">
      <c r="A219">
        <v>1</v>
      </c>
      <c r="D219" s="12" t="str">
        <f t="shared" si="23"/>
        <v/>
      </c>
    </row>
    <row r="220" spans="1:4" x14ac:dyDescent="0.25">
      <c r="A220">
        <v>1</v>
      </c>
      <c r="D220" s="12" t="str">
        <f t="shared" si="23"/>
        <v/>
      </c>
    </row>
    <row r="221" spans="1:4" x14ac:dyDescent="0.25">
      <c r="A221">
        <v>1</v>
      </c>
      <c r="D221" s="12" t="str">
        <f t="shared" si="23"/>
        <v/>
      </c>
    </row>
    <row r="222" spans="1:4" x14ac:dyDescent="0.25">
      <c r="A222">
        <v>1</v>
      </c>
      <c r="D222" s="12" t="str">
        <f t="shared" si="23"/>
        <v/>
      </c>
    </row>
    <row r="223" spans="1:4" x14ac:dyDescent="0.25">
      <c r="A223">
        <v>1</v>
      </c>
      <c r="D223" s="12" t="str">
        <f t="shared" si="23"/>
        <v/>
      </c>
    </row>
    <row r="224" spans="1:4" x14ac:dyDescent="0.25">
      <c r="A224">
        <v>1</v>
      </c>
      <c r="D224" s="12" t="str">
        <f t="shared" si="23"/>
        <v/>
      </c>
    </row>
    <row r="225" spans="1:4" x14ac:dyDescent="0.25">
      <c r="A225">
        <v>1</v>
      </c>
      <c r="D225" s="12" t="str">
        <f t="shared" si="23"/>
        <v/>
      </c>
    </row>
    <row r="226" spans="1:4" x14ac:dyDescent="0.25">
      <c r="A226">
        <v>1</v>
      </c>
      <c r="D226" s="12" t="str">
        <f t="shared" si="23"/>
        <v/>
      </c>
    </row>
    <row r="227" spans="1:4" x14ac:dyDescent="0.25">
      <c r="A227">
        <v>1</v>
      </c>
      <c r="D227" s="12" t="str">
        <f t="shared" si="23"/>
        <v/>
      </c>
    </row>
    <row r="228" spans="1:4" x14ac:dyDescent="0.25">
      <c r="A228">
        <v>1</v>
      </c>
      <c r="D228" s="12" t="str">
        <f t="shared" si="23"/>
        <v/>
      </c>
    </row>
    <row r="229" spans="1:4" x14ac:dyDescent="0.25">
      <c r="A229">
        <v>1</v>
      </c>
      <c r="D229" s="12" t="str">
        <f t="shared" si="23"/>
        <v/>
      </c>
    </row>
    <row r="230" spans="1:4" x14ac:dyDescent="0.25">
      <c r="A230">
        <v>1</v>
      </c>
      <c r="D230" s="12" t="str">
        <f t="shared" si="23"/>
        <v/>
      </c>
    </row>
    <row r="231" spans="1:4" x14ac:dyDescent="0.25">
      <c r="A231">
        <v>1</v>
      </c>
      <c r="D231" s="12" t="str">
        <f t="shared" si="23"/>
        <v/>
      </c>
    </row>
    <row r="232" spans="1:4" ht="18.75" x14ac:dyDescent="0.35">
      <c r="A232">
        <v>1</v>
      </c>
      <c r="B232" s="9">
        <v>1</v>
      </c>
      <c r="D232" s="29" t="s">
        <v>75</v>
      </c>
    </row>
    <row r="233" spans="1:4" x14ac:dyDescent="0.25">
      <c r="A233">
        <v>1</v>
      </c>
      <c r="D233" s="13" t="str">
        <f t="shared" ref="D233:D250" si="24">D109</f>
        <v>بعض المندوبين غير ملتزمين بكتابة تفريدة النقدية . ( الأمر مكرر )</v>
      </c>
    </row>
    <row r="234" spans="1:4" x14ac:dyDescent="0.25">
      <c r="A234">
        <v>1</v>
      </c>
      <c r="D234" s="13" t="str">
        <f t="shared" si="24"/>
        <v>يوجد تقصير في ارفاق صور فواتير الجملة في بيان متحصلات الجملة . وتم التأكيد على ضرورة طباعة الفواتير كاملة وارفاقها في بيان المتحصلات .</v>
      </c>
    </row>
    <row r="235" spans="1:4" x14ac:dyDescent="0.25">
      <c r="A235">
        <v>1</v>
      </c>
      <c r="D235" s="13" t="str">
        <f t="shared" si="24"/>
        <v/>
      </c>
    </row>
    <row r="236" spans="1:4" x14ac:dyDescent="0.25">
      <c r="A236">
        <v>1</v>
      </c>
      <c r="D236" s="13" t="str">
        <f t="shared" si="24"/>
        <v>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v>
      </c>
    </row>
    <row r="237" spans="1:4" x14ac:dyDescent="0.25">
      <c r="A237">
        <v>1</v>
      </c>
      <c r="D237" s="13" t="str">
        <f t="shared" si="24"/>
        <v>لا يتم تسجيل التحصيلات على فواتير الاجل من المحاسبين .</v>
      </c>
    </row>
    <row r="238" spans="1:4" x14ac:dyDescent="0.25">
      <c r="A238">
        <v>1</v>
      </c>
      <c r="D238" s="13" t="str">
        <f t="shared" si="24"/>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row>
    <row r="239" spans="1:4" x14ac:dyDescent="0.25">
      <c r="A239">
        <v>1</v>
      </c>
      <c r="D239" s="13" t="str">
        <f t="shared" si="24"/>
        <v>لا يتم الالتزام  بطباعة مصادقة المديونية للمندوبين وارسالها على الميل .</v>
      </c>
    </row>
    <row r="240" spans="1:4" x14ac:dyDescent="0.25">
      <c r="A240">
        <v>1</v>
      </c>
      <c r="D240" s="13" t="str">
        <f t="shared" si="24"/>
        <v xml:space="preserve"> تم التأكيد على ضرورة تسجيل رقم إيصال استلام النقدية بدفتر الخزنه وليس رقم الحركة على البرنامج .</v>
      </c>
    </row>
    <row r="241" spans="1:5" x14ac:dyDescent="0.25">
      <c r="A241">
        <v>1</v>
      </c>
      <c r="D241" s="13" t="str">
        <f t="shared" si="24"/>
        <v xml:space="preserve"> تم التأكيد على ضرورة التفرقة في تسجيل الشيكات عن الايداعات البنكية في الدفتر من خلال الوصف وليس جمعهم على بعضهم البعض .</v>
      </c>
    </row>
    <row r="242" spans="1:5" x14ac:dyDescent="0.25">
      <c r="A242">
        <v>1</v>
      </c>
      <c r="D242" s="13" t="str">
        <f t="shared" si="24"/>
        <v xml:space="preserve"> عدم استلام أي بيان متحصلات غير مستوفى البيانات ومطابقة تفريدة النقدية للفعلي .</v>
      </c>
    </row>
    <row r="243" spans="1:5" x14ac:dyDescent="0.25">
      <c r="A243">
        <v>1</v>
      </c>
      <c r="D243" s="13" t="str">
        <f t="shared" si="24"/>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E243" s="43" t="e">
        <v>#N/A</v>
      </c>
    </row>
    <row r="244" spans="1:5" x14ac:dyDescent="0.25">
      <c r="A244">
        <v>1</v>
      </c>
      <c r="D244" s="13" t="str">
        <f t="shared" si="24"/>
        <v xml:space="preserve"> التأكيد على استكمال أرشيف الخزنة . وطباعة الجرد اليومي وارفاقه مع الأرشيف . تم الالتزام .</v>
      </c>
      <c r="E244" s="43" t="e">
        <v>#N/A</v>
      </c>
    </row>
    <row r="245" spans="1:5" x14ac:dyDescent="0.25">
      <c r="A245">
        <v>1</v>
      </c>
      <c r="D245" s="13" t="str">
        <f t="shared" si="24"/>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E245" s="43" t="e">
        <v>#N/A</v>
      </c>
    </row>
    <row r="246" spans="1:5" x14ac:dyDescent="0.25">
      <c r="A246">
        <v>1</v>
      </c>
      <c r="D246" s="13" t="str">
        <f t="shared" si="24"/>
        <v xml:space="preserve"> تمت مراجعة وارد عافيه المرسل للتوكيل</v>
      </c>
      <c r="E246" s="43"/>
    </row>
    <row r="247" spans="1:5" x14ac:dyDescent="0.25">
      <c r="A247">
        <v>1</v>
      </c>
      <c r="D247" s="13" t="str">
        <f t="shared" si="24"/>
        <v xml:space="preserve"> تمت مراجعة وارد الملكة المرسل للتوكيل حتى تاريخه</v>
      </c>
      <c r="E247" s="43"/>
    </row>
    <row r="248" spans="1:5" x14ac:dyDescent="0.25">
      <c r="A248">
        <v>1</v>
      </c>
      <c r="D248" s="13" t="str">
        <f t="shared" si="24"/>
        <v xml:space="preserve"> تمت مراجعة ايداعات عافيه حتى تاريخه</v>
      </c>
      <c r="E248" s="43"/>
    </row>
    <row r="249" spans="1:5" x14ac:dyDescent="0.25">
      <c r="A249">
        <v>1</v>
      </c>
      <c r="D249" s="13" t="str">
        <f t="shared" si="24"/>
        <v xml:space="preserve"> تمت مراجعة ايداعات الملكة حتى تاريخه</v>
      </c>
      <c r="E249" s="43"/>
    </row>
    <row r="250" spans="1:5" x14ac:dyDescent="0.25">
      <c r="A250">
        <v>1</v>
      </c>
      <c r="D250" s="13" t="str">
        <f t="shared" si="24"/>
        <v xml:space="preserve"> تمت مراجعة التحصيل النقدي والتاكد من التوجيه الصحيح للحركات حتى تاريخه</v>
      </c>
      <c r="E250" s="43"/>
    </row>
    <row r="251" spans="1:5" ht="18.75" x14ac:dyDescent="0.35">
      <c r="A251">
        <v>1</v>
      </c>
      <c r="D251" s="29" t="s">
        <v>133</v>
      </c>
      <c r="E251" s="43"/>
    </row>
    <row r="252" spans="1:5" x14ac:dyDescent="0.25">
      <c r="A252">
        <v>1</v>
      </c>
      <c r="D252" s="13" t="str">
        <f>IF(D71=0,"",D71)</f>
        <v>- تمت الموافقة على المصاريف المرفوعة على البرنامج</v>
      </c>
      <c r="E252" s="43"/>
    </row>
    <row r="253" spans="1:5" x14ac:dyDescent="0.25">
      <c r="A253">
        <v>1</v>
      </c>
      <c r="D253" s="13" t="str">
        <f t="shared" ref="D253:D263" si="25">IF(D72=0,"",D72)</f>
        <v xml:space="preserve"> توجد مصاريف تخص التامينات الاجتماعية وضريبة الدخل لم يستطع الموزع حتى الان باحضار برنت تاميني لصرفها</v>
      </c>
      <c r="E253" s="43"/>
    </row>
    <row r="254" spans="1:5" x14ac:dyDescent="0.25">
      <c r="A254">
        <v>1</v>
      </c>
      <c r="D254" s="13" t="str">
        <f t="shared" si="25"/>
        <v>← يوجد مبلغ  147058 مصاريف تامينات وضريبة دخل وسولار لم يتم صرفهم على البرنامج حتى الان ..</v>
      </c>
      <c r="E254" s="43"/>
    </row>
    <row r="255" spans="1:5" x14ac:dyDescent="0.25">
      <c r="A255">
        <v>1</v>
      </c>
      <c r="D255" s="13" t="str">
        <f t="shared" si="25"/>
        <v/>
      </c>
      <c r="E255" s="43"/>
    </row>
    <row r="256" spans="1:5" x14ac:dyDescent="0.25">
      <c r="A256">
        <v>1</v>
      </c>
      <c r="D256" s="13" t="str">
        <f t="shared" si="25"/>
        <v/>
      </c>
      <c r="E256" s="43"/>
    </row>
    <row r="257" spans="1:5" x14ac:dyDescent="0.25">
      <c r="A257">
        <v>1</v>
      </c>
      <c r="D257" s="13" t="str">
        <f t="shared" si="25"/>
        <v/>
      </c>
      <c r="E257" s="43"/>
    </row>
    <row r="258" spans="1:5" x14ac:dyDescent="0.25">
      <c r="A258">
        <v>1</v>
      </c>
      <c r="D258" s="13" t="str">
        <f t="shared" si="25"/>
        <v/>
      </c>
      <c r="E258" s="43"/>
    </row>
    <row r="259" spans="1:5" x14ac:dyDescent="0.25">
      <c r="A259">
        <v>1</v>
      </c>
      <c r="D259" s="13" t="str">
        <f t="shared" si="25"/>
        <v/>
      </c>
      <c r="E259" s="43"/>
    </row>
    <row r="260" spans="1:5" x14ac:dyDescent="0.25">
      <c r="A260">
        <v>1</v>
      </c>
      <c r="D260" s="13" t="str">
        <f t="shared" si="25"/>
        <v xml:space="preserve">← تمت مراجعة الايداعات التي تم اثباتها بالمالية حتى اليوم   </v>
      </c>
      <c r="E260" s="43"/>
    </row>
    <row r="261" spans="1:5" x14ac:dyDescent="0.25">
      <c r="A261">
        <v>1</v>
      </c>
      <c r="D261" s="13" t="str">
        <f t="shared" si="25"/>
        <v/>
      </c>
      <c r="E261" s="43"/>
    </row>
    <row r="262" spans="1:5" x14ac:dyDescent="0.25">
      <c r="A262">
        <v>1</v>
      </c>
      <c r="D262" s="13" t="str">
        <f t="shared" si="25"/>
        <v/>
      </c>
      <c r="E262" s="43"/>
    </row>
    <row r="263" spans="1:5" x14ac:dyDescent="0.25">
      <c r="A263">
        <v>1</v>
      </c>
      <c r="D263" s="13" t="str">
        <f t="shared" si="25"/>
        <v/>
      </c>
      <c r="E263" s="43"/>
    </row>
    <row r="264" spans="1:5" x14ac:dyDescent="0.25">
      <c r="A264">
        <v>1</v>
      </c>
      <c r="E264" s="43"/>
    </row>
    <row r="265" spans="1:5" ht="18.75" x14ac:dyDescent="0.35">
      <c r="A265">
        <v>1</v>
      </c>
      <c r="B265" s="9">
        <v>1</v>
      </c>
      <c r="D265" s="29" t="s">
        <v>76</v>
      </c>
    </row>
    <row r="266" spans="1:5" x14ac:dyDescent="0.25">
      <c r="A266">
        <v>1</v>
      </c>
      <c r="B266" s="13">
        <f t="shared" ref="B266:C268" si="26">B130</f>
        <v>0</v>
      </c>
      <c r="C266" s="13">
        <f t="shared" si="26"/>
        <v>0</v>
      </c>
      <c r="D266" s="13" t="str">
        <f>IF(D130=0,"",D130)</f>
        <v>توجد بعض البضاعة المرشحة جاري فرزها للوقوف على عددها</v>
      </c>
    </row>
    <row r="267" spans="1:5" x14ac:dyDescent="0.25">
      <c r="A267">
        <v>1</v>
      </c>
      <c r="B267" s="13">
        <f t="shared" si="26"/>
        <v>0</v>
      </c>
      <c r="C267" s="13">
        <f t="shared" si="26"/>
        <v>0</v>
      </c>
      <c r="D267" s="13" t="str">
        <f t="shared" ref="D267:D279" si="27">IF(D131=0,"",D131)</f>
        <v>يوجد بضاعة هالك يتم ارتجاعها على جرار الوارد</v>
      </c>
    </row>
    <row r="268" spans="1:5" ht="15.75" customHeight="1" x14ac:dyDescent="0.25">
      <c r="A268">
        <v>1</v>
      </c>
      <c r="B268" s="13">
        <f t="shared" si="26"/>
        <v>1</v>
      </c>
      <c r="C268" s="13">
        <f t="shared" si="26"/>
        <v>2796</v>
      </c>
      <c r="D268" s="13" t="str">
        <f t="shared" si="27"/>
        <v>← يوجد رواكد بالتوكيل بكمية  2796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269" spans="1:5" x14ac:dyDescent="0.25">
      <c r="A269">
        <v>1</v>
      </c>
      <c r="B269" s="9">
        <v>1</v>
      </c>
      <c r="D269" s="13" t="str">
        <f t="shared" si="27"/>
        <v xml:space="preserve">← وجود أثار فئران بالمخازن نتيجة وجود فتحات في المخازن تسمح بدخول فئران </v>
      </c>
    </row>
    <row r="270" spans="1:5" x14ac:dyDescent="0.25">
      <c r="A270">
        <v>1</v>
      </c>
      <c r="B270" s="9">
        <v>1</v>
      </c>
      <c r="D270" s="13" t="str">
        <f t="shared" si="27"/>
        <v>← الأصناف بالمخزنين غير مرتبة وفقا للحجم والنوع وتم التأكيد على سرعة الانتها ء من ترتيب البضاعة وذلك بسبب صغر حجم المخزن مقارنة بالشحن .</v>
      </c>
    </row>
    <row r="271" spans="1:5" x14ac:dyDescent="0.25">
      <c r="A271">
        <v>1</v>
      </c>
      <c r="B271" s="9">
        <v>1</v>
      </c>
      <c r="D271" s="13" t="str">
        <f t="shared" si="27"/>
        <v>← ارتفاع درجات الحرارة بالمخزنين مما قد يؤثر سلبا على البضاعة المتواجدة بالمخزن من جهة السوس او الترشيح</v>
      </c>
    </row>
    <row r="272" spans="1:5" x14ac:dyDescent="0.25">
      <c r="A272">
        <v>1</v>
      </c>
      <c r="B272" s="9">
        <v>1</v>
      </c>
      <c r="D272" s="13" t="str">
        <f t="shared" si="27"/>
        <v xml:space="preserve">← تم ابعاد البضاعة عن الحائط في المخزنين </v>
      </c>
    </row>
    <row r="273" spans="1:4" x14ac:dyDescent="0.25">
      <c r="A273">
        <v>1</v>
      </c>
      <c r="B273" s="9">
        <v>1</v>
      </c>
      <c r="D273" s="13" t="str">
        <f t="shared" si="27"/>
        <v>← لا يوجد شفاطات بالمخزن مما أدى إلى ارتفاع درجات الحرارة</v>
      </c>
    </row>
    <row r="274" spans="1:4" x14ac:dyDescent="0.25">
      <c r="A274">
        <v>1</v>
      </c>
      <c r="B274" s="9">
        <v>1</v>
      </c>
      <c r="D274" s="13" t="str">
        <f t="shared" si="27"/>
        <v>← لا توجد طفايات حريق بالمخزنين .</v>
      </c>
    </row>
    <row r="275" spans="1:4" x14ac:dyDescent="0.25">
      <c r="A275">
        <v>1</v>
      </c>
      <c r="B275" s="9">
        <v>1</v>
      </c>
      <c r="D275" s="13" t="str">
        <f t="shared" si="27"/>
        <v>← وجود أتربة على بعض المنتجات .</v>
      </c>
    </row>
    <row r="276" spans="1:4" x14ac:dyDescent="0.25">
      <c r="A276">
        <v>1</v>
      </c>
      <c r="B276" s="9">
        <v>1</v>
      </c>
      <c r="D276" s="13" t="str">
        <f t="shared" si="27"/>
        <v>توجد بعض البالتات مكسرة بالتوكيل</v>
      </c>
    </row>
    <row r="277" spans="1:4" x14ac:dyDescent="0.25">
      <c r="A277">
        <v>1</v>
      </c>
      <c r="B277" s="9">
        <v>1</v>
      </c>
      <c r="D277" s="13" t="str">
        <f t="shared" si="27"/>
        <v xml:space="preserve"> لا يتم فصل الزيت عن السمنة</v>
      </c>
    </row>
    <row r="278" spans="1:4" x14ac:dyDescent="0.25">
      <c r="A278">
        <v>1</v>
      </c>
      <c r="B278" s="9">
        <v>1</v>
      </c>
      <c r="D278" s="13" t="str">
        <f t="shared" si="27"/>
        <v>← لا يوجد ممرات بين البضاعة بسبب صغر حجم المخزن</v>
      </c>
    </row>
    <row r="279" spans="1:4" x14ac:dyDescent="0.25">
      <c r="A279">
        <v>1</v>
      </c>
      <c r="D279" s="13" t="str">
        <f t="shared" si="27"/>
        <v/>
      </c>
    </row>
  </sheetData>
  <autoFilter ref="A3:L279" xr:uid="{B84DCCA6-BB15-4880-A06F-C8F86FB1E594}"/>
  <pageMargins left="0.7" right="0.7" top="0.75" bottom="0.75" header="0.3" footer="0.3"/>
  <drawing r:id="rId1"/>
  <legacyDrawing r:id="rId2"/>
  <controls>
    <mc:AlternateContent xmlns:mc="http://schemas.openxmlformats.org/markup-compatibility/2006">
      <mc:Choice Requires="x14">
        <control shapeId="16385" r:id="rId3" name="Control 1">
          <controlPr defaultSize="0" r:id="rId4">
            <anchor moveWithCells="1">
              <from>
                <xdr:col>16383</xdr:col>
                <xdr:colOff>419100</xdr:colOff>
                <xdr:row>119</xdr:row>
                <xdr:rowOff>57150</xdr:rowOff>
              </from>
              <to>
                <xdr:col>16383</xdr:col>
                <xdr:colOff>609600</xdr:colOff>
                <xdr:row>120</xdr:row>
                <xdr:rowOff>57150</xdr:rowOff>
              </to>
            </anchor>
          </controlPr>
        </control>
      </mc:Choice>
      <mc:Fallback>
        <control shapeId="16385" r:id="rId3" name="Control 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DCCA6-BB15-4880-A06F-C8F86FB1E594}">
  <sheetPr codeName="Sheet2"/>
  <dimension ref="A1:T279"/>
  <sheetViews>
    <sheetView rightToLeft="1" topLeftCell="A193" zoomScale="85" zoomScaleNormal="85" workbookViewId="0">
      <selection activeCell="D207" sqref="D207"/>
    </sheetView>
  </sheetViews>
  <sheetFormatPr defaultRowHeight="15" x14ac:dyDescent="0.25"/>
  <cols>
    <col min="2" max="2" width="9.140625" style="9"/>
    <col min="3" max="3" width="13.28515625" style="9" bestFit="1" customWidth="1"/>
    <col min="4" max="4" width="109.140625" style="13" customWidth="1"/>
    <col min="5" max="5" width="31.42578125" bestFit="1" customWidth="1"/>
    <col min="6" max="6" width="31.7109375" style="9" customWidth="1"/>
    <col min="7" max="8" width="9.140625" style="10"/>
    <col min="12" max="12" width="14.28515625" bestFit="1" customWidth="1"/>
  </cols>
  <sheetData>
    <row r="1" spans="1:20" ht="26.25" x14ac:dyDescent="0.25">
      <c r="D1" s="8" t="s">
        <v>92</v>
      </c>
    </row>
    <row r="2" spans="1:20" ht="16.5" x14ac:dyDescent="0.25">
      <c r="B2" s="9">
        <v>1</v>
      </c>
      <c r="D2" s="11" t="s">
        <v>1</v>
      </c>
      <c r="T2" t="str">
        <f>IF('[1]Rwaked AGA'!$H5="","",CONCATENATE('[1]Rwaked AGA'!$H5," - عدد ",'[1]Rwaked AGA'!$G5,"  -  متبقي على الانتهاء  ",'[1]Rwaked AGA'!$D5," شهر "))</f>
        <v xml:space="preserve">الملكة شيوي لسان 400 جم - عدد 640  -  متبقي على الانتهاء  11 شهر </v>
      </c>
    </row>
    <row r="3" spans="1:20" ht="16.5" x14ac:dyDescent="0.25">
      <c r="B3" s="9" t="s">
        <v>2</v>
      </c>
      <c r="D3" s="11" t="s">
        <v>3</v>
      </c>
      <c r="T3" t="str">
        <f>IF('[1]Rwaked AGA'!$H6="","",CONCATENATE('[1]Rwaked AGA'!$H6," - عدد ",'[1]Rwaked AGA'!$G6,"  -  متبقي على الانتهاء  ",'[1]Rwaked AGA'!$D6," شهر "))</f>
        <v xml:space="preserve">الملكة شيوي إسباجتي 400 جم - عدد 510  -  متبقي على الانتهاء  13 شهر </v>
      </c>
    </row>
    <row r="4" spans="1:20" x14ac:dyDescent="0.25">
      <c r="A4">
        <v>1</v>
      </c>
      <c r="B4" s="9">
        <f>IF(C4&gt;0,1,0)</f>
        <v>0</v>
      </c>
      <c r="C4" s="15">
        <v>0</v>
      </c>
      <c r="D4" s="13" t="str">
        <f>IF(C4=0,"توجد بعض البضاعة المرشحة جاري فرزها للوقوف على عددها",F4)</f>
        <v>توجد بعض البضاعة المرشحة جاري فرزها للوقوف على عددها</v>
      </c>
      <c r="F4" s="12" t="str">
        <f>"← يوجد بضاعة مرشحة بكمية "&amp;" "&amp;C4&amp;" "&amp;"كرتونة بيانها بمحضر الجرد وتم ارسال ميل بها"</f>
        <v>← يوجد بضاعة مرشحة بكمية  0 كرتونة بيانها بمحضر الجرد وتم ارسال ميل بها</v>
      </c>
      <c r="T4" t="str">
        <f>IF('[1]Rwaked AGA'!$H7="","",CONCATENATE('[1]Rwaked AGA'!$H7," - عدد ",'[1]Rwaked AGA'!$G7,"  -  متبقي على الانتهاء  ",'[1]Rwaked AGA'!$D7," شهر "))</f>
        <v xml:space="preserve">الملكة شيوي شعريه 400 جم - عدد 2720  -  متبقي على الانتهاء  13 شهر </v>
      </c>
    </row>
    <row r="5" spans="1:20" x14ac:dyDescent="0.25">
      <c r="A5">
        <v>1</v>
      </c>
      <c r="B5" s="9">
        <f t="shared" ref="B5:B15" si="0">IF(C5&gt;0,1,0)</f>
        <v>0</v>
      </c>
      <c r="C5" s="15">
        <v>0</v>
      </c>
      <c r="D5" s="13" t="str">
        <f>IF(C5=0,"يوجد بضاعة هالك يتم ارتجاعها على جرار الوارد",F5)</f>
        <v>يوجد بضاعة هالك يتم ارتجاعها على جرار الوارد</v>
      </c>
      <c r="F5" s="12" t="str">
        <f>"← يوجد بضاعة هالك ملكة بكمية "&amp;" "&amp;C5&amp;" "&amp;"كرتونة بيانها بمحضر الجرد ويتم الانتهاء منها مع اول وارد للتوكيل"</f>
        <v>← يوجد بضاعة هالك ملكة بكمية  0 كرتونة بيانها بمحضر الجرد ويتم الانتهاء منها مع اول وارد للتوكيل</v>
      </c>
      <c r="T5" t="str">
        <f>IF('[1]Rwaked AGA'!$H8="","",CONCATENATE('[1]Rwaked AGA'!$H8," - عدد ",'[1]Rwaked AGA'!$G8,"  -  متبقي على الانتهاء  ",'[1]Rwaked AGA'!$D8," شهر "))</f>
        <v xml:space="preserve">الملكة شيوي فرن 400 جم - عدد 2100  -  متبقي على الانتهاء  13 شهر </v>
      </c>
    </row>
    <row r="6" spans="1:20" x14ac:dyDescent="0.25">
      <c r="A6">
        <v>1</v>
      </c>
      <c r="B6" s="9">
        <f t="shared" si="0"/>
        <v>1</v>
      </c>
      <c r="C6" s="15">
        <f>'[1]Rwaked AGA'!$B$4</f>
        <v>5677.375</v>
      </c>
      <c r="D6" s="13" t="str">
        <f>IF(C6=0,"لا يوجد رواكد بالتوكيل",F6)</f>
        <v>← يوجد رواكد بالتوكيل بكمية  5677.375 كرتونة وتم ارسال ميل بها لمدير الاقليم للقيام بعمل التحويلات اللازمة للاقاليم الاخرى للانتهاء منها</v>
      </c>
      <c r="F6" s="12" t="str">
        <f>"← يوجد رواكد بالتوكيل بكمية "&amp;" "&amp;C6&amp;" "&amp;"كرتونة وتم ارسال ميل بها لمدير الاقليم للقيام بعمل التحويلات اللازمة للاقاليم الاخرى للانتهاء منها"</f>
        <v>← يوجد رواكد بالتوكيل بكمية  5677.375 كرتونة وتم ارسال ميل بها لمدير الاقليم للقيام بعمل التحويلات اللازمة للاقاليم الاخرى للانتهاء منها</v>
      </c>
      <c r="T6" t="str">
        <f>IF('[1]Rwaked AGA'!$H9="","",CONCATENATE('[1]Rwaked AGA'!$H9," - عدد ",'[1]Rwaked AGA'!$G9,"  -  متبقي على الانتهاء  ",'[1]Rwaked AGA'!$D9," شهر "))</f>
        <v xml:space="preserve">جنة 11 كجم صفيح  شكل جديد (ال س.ب.م/ كجم ) - عدد 28  -  متبقي على الانتهاء  13 شهر </v>
      </c>
    </row>
    <row r="7" spans="1:20" x14ac:dyDescent="0.25">
      <c r="A7">
        <v>1</v>
      </c>
      <c r="B7" s="9">
        <f t="shared" si="0"/>
        <v>1</v>
      </c>
      <c r="C7" s="15">
        <f>C6</f>
        <v>5677.375</v>
      </c>
      <c r="D7" s="13" t="str">
        <f>_xlfn.TEXTJOIN("  ;  ",TRUE,T2:T50)</f>
        <v xml:space="preserve">الملكة شيوي لسان 400 جم - عدد 640  -  متبقي على الانتهاء  11 شهر   ;  الملكة شيوي إسباجتي 400 جم - عدد 510  -  متبقي على الانتهاء  13 شهر   ;  الملكة شيوي شعريه 400 جم - عدد 2720  -  متبقي على الانتهاء  13 شهر   ;  الملكة شيوي فرن 400 جم - عدد 2100  -  متبقي على الانتهاء  13 شهر   ;  جنة 11 كجم صفيح  شكل جديد (ال س.ب.م/ كجم ) - عدد 28  -  متبقي على الانتهاء  13 شهر   ;  الملكة شيوي إسباجتي 400 جم - عدد 1520  -  متبقي على الانتهاء  14 شهر   ;  الملكة شيوي شعريه 400 جم - عدد 580  -  متبقي على الانتهاء  14 شهر   ;  الملكة شيوي فرن 400 جم - عدد 3900  -  متبقي على الانتهاء  14 شهر   ;  الملكة شيوي لسان 400 جم - عدد 2040  -  متبقي على الانتهاء  14 شهر   ;  الملكة شيوي مرمرية 400 جم - عدد 600  -  متبقي على الانتهاء  14 شهر   ;  الملكة شيوي هلاليه 400 جم - عدد 3260  -  متبقي على الانتهاء  14 شهر   ;  جنة 2.5 كجم * 4 - سهلة الفتح - عدد 12  -  متبقي على الانتهاء  15 شهر   ;  روابى 11 كجم صفيح - شكل جديد (ال س.ب.م/ كجم) - عدد 35  -  متبقي على الانتهاء  15 شهر   ;  الشمس الذهبية أبيض 1.3 كجم *6 برطمان - عدد 2442  -  متبقي على الانتهاء  16 شهر   ;  الشمس الذهبية أصفر 1.3 كجم *6 برطمان - عدد 1080  -  متبقي على الانتهاء  16 شهر   ;  جنة 4.25 كجم صفيح  - شكل جديد - عدد 213  -  متبقي على الانتهاء  16 شهر   ;  الشمس الذهبية أصفر 1.45 كجم * 4 باكت - عدد 4  -  متبقي على الانتهاء  17 شهر   ;  الطاهي أبيض 1.3 كجم *6 برطمان - عدد 762  -  متبقي على الانتهاء  17 شهر   ;  الطاهي أصفر 1.3 كجم *6 برطمان - عدد 2844  -  متبقي على الانتهاء  17 شهر   ;  جنة 1.5 كجم *4 - شكل جَديدُ - عدد 324  -  متبقي على الانتهاء  17 شهر   ;  جنة 4.25 كجم صفيح  - شكل جديد - عدد 99  -  متبقي على الانتهاء  18 شهر   ;  روابى 0.700 كجم *8 - جديد - عدد 2688  -  متبقي على الانتهاء  18 شهر   ;  روابى ظرف 50 جم *32 كيس - شكل جديد - عدد 224  -  متبقي على الانتهاء  18 شهر   ;  روابي 1.5 كجم *4 - شكل جَديدُ - عدد 28  -  متبقي على الانتهاء  18 شهر   ;  جنة 0.700 كجم *8 - المِرملة  - جديد - عدد 328  -  متبقي على الانتهاء  19 شهر   ;  روابى 0.700 كجم *8 - جديد - عدد 1424  -  متبقي على الانتهاء  19 شهر   ;  روابى 11 كجم صفيح - شكل جديد (ال س.ب.م/ كجم) - عدد 463  -  متبقي على الانتهاء  19 شهر   ;  روابى ظرف 50 جم *32 كيس - شكل جديد - عدد 3200  -  متبقي على الانتهاء  19 شهر   ;  روابي 1.5 كجم *4 - شكل جَديدُ - عدد 2044  -  متبقي على الانتهاء  19 شهر   ;  عافية تونة قطعة واحدة في زيت عباد الشمس 185جم * 48 - عدد 4046.000016  -  متبقي على الانتهاء  19 شهر   ;  عافية تونة قطع في زيت عباد الشمس 185جم * 48 - عدد 4539.999984  -  متبقي على الانتهاء  19 شهر   ;  الملكة شيوي خواتم 400 جم - عدد 1340  -  متبقي على الانتهاء  20 شهر   ;  جنة 11 كجم صفيح  شكل جديد (ال س.ب.م/ كجم ) - عدد 1025  -  متبقي على الانتهاء  20 شهر   ;  جنة 1.5 كجم * 4 -المِرملة شكل جديد - عدد 156  -  متبقي على الانتهاء  20 شهر   ;  روابي 1.5 كجم *4 - شكل جَديدُ - عدد 384  -  متبقي على الانتهاء  20 شهر   ;  روابى 2.5 كجم * 4 - سهلة الفتح - عدد 348  -  متبقي على الانتهاء  21 شهر </v>
      </c>
      <c r="F7" s="12" t="s">
        <v>147</v>
      </c>
      <c r="T7" t="str">
        <f>IF('[1]Rwaked AGA'!$H10="","",CONCATENATE('[1]Rwaked AGA'!$H10," - عدد ",'[1]Rwaked AGA'!$G10,"  -  متبقي على الانتهاء  ",'[1]Rwaked AGA'!$D10," شهر "))</f>
        <v xml:space="preserve">الملكة شيوي إسباجتي 400 جم - عدد 1520  -  متبقي على الانتهاء  14 شهر </v>
      </c>
    </row>
    <row r="8" spans="1:20" x14ac:dyDescent="0.25">
      <c r="A8">
        <v>1</v>
      </c>
      <c r="B8" s="9">
        <f t="shared" si="0"/>
        <v>0</v>
      </c>
      <c r="C8" s="15"/>
      <c r="D8" s="13" t="str">
        <f t="shared" ref="D8:D15" si="1">IF(C8=0,"",F8)</f>
        <v/>
      </c>
      <c r="F8" s="12" t="s">
        <v>154</v>
      </c>
      <c r="T8" t="str">
        <f>IF('[1]Rwaked AGA'!$H11="","",CONCATENATE('[1]Rwaked AGA'!$H11," - عدد ",'[1]Rwaked AGA'!$G11,"  -  متبقي على الانتهاء  ",'[1]Rwaked AGA'!$D11," شهر "))</f>
        <v xml:space="preserve">الملكة شيوي شعريه 400 جم - عدد 580  -  متبقي على الانتهاء  14 شهر </v>
      </c>
    </row>
    <row r="9" spans="1:20" x14ac:dyDescent="0.25">
      <c r="A9">
        <v>1</v>
      </c>
      <c r="B9" s="9">
        <f t="shared" si="0"/>
        <v>0</v>
      </c>
      <c r="C9" s="15"/>
      <c r="D9" s="13" t="str">
        <f t="shared" si="1"/>
        <v/>
      </c>
      <c r="F9" s="12" t="s">
        <v>148</v>
      </c>
      <c r="T9" t="str">
        <f>IF('[1]Rwaked AGA'!$H12="","",CONCATENATE('[1]Rwaked AGA'!$H12," - عدد ",'[1]Rwaked AGA'!$G12,"  -  متبقي على الانتهاء  ",'[1]Rwaked AGA'!$D12," شهر "))</f>
        <v xml:space="preserve">الملكة شيوي فرن 400 جم - عدد 3900  -  متبقي على الانتهاء  14 شهر </v>
      </c>
    </row>
    <row r="10" spans="1:20" x14ac:dyDescent="0.25">
      <c r="A10">
        <v>1</v>
      </c>
      <c r="B10" s="9">
        <f t="shared" si="0"/>
        <v>0</v>
      </c>
      <c r="C10" s="15"/>
      <c r="D10" s="13" t="str">
        <f t="shared" si="1"/>
        <v/>
      </c>
      <c r="F10" s="12" t="s">
        <v>149</v>
      </c>
      <c r="T10" t="str">
        <f>IF('[1]Rwaked AGA'!$H13="","",CONCATENATE('[1]Rwaked AGA'!$H13," - عدد ",'[1]Rwaked AGA'!$G13,"  -  متبقي على الانتهاء  ",'[1]Rwaked AGA'!$D13," شهر "))</f>
        <v xml:space="preserve">الملكة شيوي لسان 400 جم - عدد 2040  -  متبقي على الانتهاء  14 شهر </v>
      </c>
    </row>
    <row r="11" spans="1:20" x14ac:dyDescent="0.25">
      <c r="A11">
        <v>1</v>
      </c>
      <c r="B11" s="9">
        <f t="shared" si="0"/>
        <v>0</v>
      </c>
      <c r="C11" s="15"/>
      <c r="D11" s="13" t="str">
        <f t="shared" si="1"/>
        <v/>
      </c>
      <c r="F11" s="24" t="s">
        <v>150</v>
      </c>
      <c r="T11" t="str">
        <f>IF('[1]Rwaked AGA'!$H14="","",CONCATENATE('[1]Rwaked AGA'!$H14," - عدد ",'[1]Rwaked AGA'!$G14,"  -  متبقي على الانتهاء  ",'[1]Rwaked AGA'!$D14," شهر "))</f>
        <v xml:space="preserve">الملكة شيوي مرمرية 400 جم - عدد 600  -  متبقي على الانتهاء  14 شهر </v>
      </c>
    </row>
    <row r="12" spans="1:20" x14ac:dyDescent="0.25">
      <c r="A12">
        <v>1</v>
      </c>
      <c r="B12" s="9">
        <f t="shared" si="0"/>
        <v>0</v>
      </c>
      <c r="C12" s="15"/>
      <c r="D12" s="13" t="str">
        <f t="shared" si="1"/>
        <v/>
      </c>
      <c r="F12" s="12" t="s">
        <v>151</v>
      </c>
      <c r="T12" t="str">
        <f>IF('[1]Rwaked AGA'!$H15="","",CONCATENATE('[1]Rwaked AGA'!$H15," - عدد ",'[1]Rwaked AGA'!$G15,"  -  متبقي على الانتهاء  ",'[1]Rwaked AGA'!$D15," شهر "))</f>
        <v xml:space="preserve">الملكة شيوي هلاليه 400 جم - عدد 3260  -  متبقي على الانتهاء  14 شهر </v>
      </c>
    </row>
    <row r="13" spans="1:20" x14ac:dyDescent="0.25">
      <c r="A13">
        <v>1</v>
      </c>
      <c r="B13" s="9">
        <f t="shared" si="0"/>
        <v>0</v>
      </c>
      <c r="C13" s="15"/>
      <c r="D13" s="13" t="str">
        <f t="shared" si="1"/>
        <v/>
      </c>
      <c r="F13" s="12" t="s">
        <v>152</v>
      </c>
      <c r="T13" t="str">
        <f>IF('[1]Rwaked AGA'!$H16="","",CONCATENATE('[1]Rwaked AGA'!$H16," - عدد ",'[1]Rwaked AGA'!$G16,"  -  متبقي على الانتهاء  ",'[1]Rwaked AGA'!$D16," شهر "))</f>
        <v xml:space="preserve">جنة 2.5 كجم * 4 - سهلة الفتح - عدد 12  -  متبقي على الانتهاء  15 شهر </v>
      </c>
    </row>
    <row r="14" spans="1:20" x14ac:dyDescent="0.25">
      <c r="A14">
        <v>1</v>
      </c>
      <c r="B14" s="9">
        <f t="shared" si="0"/>
        <v>0</v>
      </c>
      <c r="C14" s="15"/>
      <c r="D14" s="13" t="str">
        <f t="shared" si="1"/>
        <v/>
      </c>
      <c r="F14" s="12" t="s">
        <v>153</v>
      </c>
      <c r="T14" t="str">
        <f>IF('[1]Rwaked AGA'!$H17="","",CONCATENATE('[1]Rwaked AGA'!$H17," - عدد ",'[1]Rwaked AGA'!$G17,"  -  متبقي على الانتهاء  ",'[1]Rwaked AGA'!$D17," شهر "))</f>
        <v xml:space="preserve">روابى 11 كجم صفيح - شكل جديد (ال س.ب.م/ كجم) - عدد 35  -  متبقي على الانتهاء  15 شهر </v>
      </c>
    </row>
    <row r="15" spans="1:20" x14ac:dyDescent="0.25">
      <c r="A15">
        <v>1</v>
      </c>
      <c r="B15" s="9">
        <f t="shared" si="0"/>
        <v>0</v>
      </c>
      <c r="C15" s="15">
        <f>_xlfn.XLOOKUP("Dakahlia Aga – Al Yasmine",[2]Summary!$B$34:$B$40,[2]Summary!$D$34:$D$40,0)</f>
        <v>0</v>
      </c>
      <c r="D15" s="13" t="str">
        <f t="shared" si="1"/>
        <v/>
      </c>
      <c r="F15" s="12" t="str">
        <f>"← يوجد بضاعة أمانات بكمية "&amp;" "&amp;C15&amp;" "&amp;"كرتونة بيانها بمحضر الجرد وتم ارسال ميل بها"</f>
        <v>← يوجد بضاعة أمانات بكمية  0 كرتونة بيانها بمحضر الجرد وتم ارسال ميل بها</v>
      </c>
      <c r="T15" t="str">
        <f>IF('[1]Rwaked AGA'!$H18="","",CONCATENATE('[1]Rwaked AGA'!$H18," - عدد ",'[1]Rwaked AGA'!$G18,"  -  متبقي على الانتهاء  ",'[1]Rwaked AGA'!$D18," شهر "))</f>
        <v xml:space="preserve">الشمس الذهبية أبيض 1.3 كجم *6 برطمان - عدد 2442  -  متبقي على الانتهاء  16 شهر </v>
      </c>
    </row>
    <row r="16" spans="1:20" x14ac:dyDescent="0.25">
      <c r="A16">
        <v>1</v>
      </c>
      <c r="B16" s="9">
        <v>1</v>
      </c>
      <c r="C16" s="15"/>
      <c r="D16" s="12" t="str">
        <f>"← تمت مراجعة الوارد المرسل من المصنع إلى التوكيل حتى اليوم "</f>
        <v xml:space="preserve">← تمت مراجعة الوارد المرسل من المصنع إلى التوكيل حتى اليوم </v>
      </c>
      <c r="T16" t="str">
        <f>IF('[1]Rwaked AGA'!$H19="","",CONCATENATE('[1]Rwaked AGA'!$H19," - عدد ",'[1]Rwaked AGA'!$G19,"  -  متبقي على الانتهاء  ",'[1]Rwaked AGA'!$D19," شهر "))</f>
        <v xml:space="preserve">الشمس الذهبية أصفر 1.3 كجم *6 برطمان - عدد 1080  -  متبقي على الانتهاء  16 شهر </v>
      </c>
    </row>
    <row r="17" spans="1:20" x14ac:dyDescent="0.25">
      <c r="A17">
        <v>1</v>
      </c>
      <c r="C17" s="15"/>
      <c r="D17" s="12"/>
      <c r="T17" t="str">
        <f>IF('[1]Rwaked AGA'!$H20="","",CONCATENATE('[1]Rwaked AGA'!$H20," - عدد ",'[1]Rwaked AGA'!$G20,"  -  متبقي على الانتهاء  ",'[1]Rwaked AGA'!$D20," شهر "))</f>
        <v xml:space="preserve">جنة 4.25 كجم صفيح  - شكل جديد - عدد 213  -  متبقي على الانتهاء  16 شهر </v>
      </c>
    </row>
    <row r="18" spans="1:20" x14ac:dyDescent="0.25">
      <c r="A18">
        <v>1</v>
      </c>
      <c r="T18" t="str">
        <f>IF('[1]Rwaked AGA'!$H21="","",CONCATENATE('[1]Rwaked AGA'!$H21," - عدد ",'[1]Rwaked AGA'!$G21,"  -  متبقي على الانتهاء  ",'[1]Rwaked AGA'!$D21," شهر "))</f>
        <v xml:space="preserve">الشمس الذهبية أصفر 1.45 كجم * 4 باكت - عدد 4  -  متبقي على الانتهاء  17 شهر </v>
      </c>
    </row>
    <row r="19" spans="1:20" x14ac:dyDescent="0.25">
      <c r="A19">
        <v>1</v>
      </c>
      <c r="T19" t="str">
        <f>IF('[1]Rwaked AGA'!$H22="","",CONCATENATE('[1]Rwaked AGA'!$H22," - عدد ",'[1]Rwaked AGA'!$G22,"  -  متبقي على الانتهاء  ",'[1]Rwaked AGA'!$D22," شهر "))</f>
        <v xml:space="preserve">الطاهي أبيض 1.3 كجم *6 برطمان - عدد 762  -  متبقي على الانتهاء  17 شهر </v>
      </c>
    </row>
    <row r="20" spans="1:20" x14ac:dyDescent="0.25">
      <c r="A20">
        <v>1</v>
      </c>
      <c r="T20" t="str">
        <f>IF('[1]Rwaked AGA'!$H23="","",CONCATENATE('[1]Rwaked AGA'!$H23," - عدد ",'[1]Rwaked AGA'!$G23,"  -  متبقي على الانتهاء  ",'[1]Rwaked AGA'!$D23," شهر "))</f>
        <v xml:space="preserve">الطاهي أصفر 1.3 كجم *6 برطمان - عدد 2844  -  متبقي على الانتهاء  17 شهر </v>
      </c>
    </row>
    <row r="21" spans="1:20" ht="20.25" x14ac:dyDescent="0.25">
      <c r="A21">
        <v>1</v>
      </c>
      <c r="B21" s="9">
        <v>1</v>
      </c>
      <c r="D21" s="11" t="s">
        <v>5</v>
      </c>
      <c r="T21" t="str">
        <f>IF('[1]Rwaked AGA'!$H24="","",CONCATENATE('[1]Rwaked AGA'!$H24," - عدد ",'[1]Rwaked AGA'!$G24,"  -  متبقي على الانتهاء  ",'[1]Rwaked AGA'!$D24," شهر "))</f>
        <v xml:space="preserve">جنة 1.5 كجم *4 - شكل جَديدُ - عدد 324  -  متبقي على الانتهاء  17 شهر </v>
      </c>
    </row>
    <row r="22" spans="1:20" ht="16.5" x14ac:dyDescent="0.25">
      <c r="A22">
        <v>1</v>
      </c>
      <c r="B22" s="9">
        <v>1</v>
      </c>
      <c r="D22" s="14" t="s">
        <v>6</v>
      </c>
      <c r="T22" t="str">
        <f>IF('[1]Rwaked AGA'!$H25="","",CONCATENATE('[1]Rwaked AGA'!$H25," - عدد ",'[1]Rwaked AGA'!$G25,"  -  متبقي على الانتهاء  ",'[1]Rwaked AGA'!$D25," شهر "))</f>
        <v xml:space="preserve">جنة 4.25 كجم صفيح  - شكل جديد - عدد 99  -  متبقي على الانتهاء  18 شهر </v>
      </c>
    </row>
    <row r="23" spans="1:20" x14ac:dyDescent="0.25">
      <c r="A23">
        <v>1</v>
      </c>
      <c r="B23" s="9">
        <f>IF(C23&gt;0,1,0)</f>
        <v>0</v>
      </c>
      <c r="C23" s="15">
        <v>0</v>
      </c>
      <c r="D23" s="13" t="s">
        <v>183</v>
      </c>
      <c r="E23" t="s">
        <v>8</v>
      </c>
      <c r="F23" s="9" t="s">
        <v>9</v>
      </c>
      <c r="G23" s="39" t="str">
        <f>E23&amp;" "&amp;C23&amp;" "&amp;F23</f>
        <v xml:space="preserve">← توجد فواتير بدون بعد مالي عافيه بمبلغ  0 لم يتم الانتهاء من حله حتى الان ويتم الارسال بالمشكلة بصفة دورية إلى الادارة </v>
      </c>
      <c r="T23" t="str">
        <f>IF('[1]Rwaked AGA'!$H26="","",CONCATENATE('[1]Rwaked AGA'!$H26," - عدد ",'[1]Rwaked AGA'!$G26,"  -  متبقي على الانتهاء  ",'[1]Rwaked AGA'!$D26," شهر "))</f>
        <v xml:space="preserve">روابى 0.700 كجم *8 - جديد - عدد 2688  -  متبقي على الانتهاء  18 شهر </v>
      </c>
    </row>
    <row r="24" spans="1:20" x14ac:dyDescent="0.25">
      <c r="A24">
        <v>1</v>
      </c>
      <c r="B24" s="9">
        <f t="shared" ref="B24:B30" si="2">IF(C24&gt;0,1,0)</f>
        <v>0</v>
      </c>
      <c r="C24" s="15">
        <v>0</v>
      </c>
      <c r="D24" s="13" t="str">
        <f t="shared" ref="D24:D30" si="3">IF(C24=0,"",G24)</f>
        <v/>
      </c>
      <c r="E24" t="s">
        <v>10</v>
      </c>
      <c r="F24" s="9" t="s">
        <v>156</v>
      </c>
      <c r="G24" s="16" t="str">
        <f>E24&amp;" "&amp;TEXT(C24,"0,000,000.00"&amp;" "&amp;F24)</f>
        <v>←  يوجد فكة بالتوكيل  بمبلغ   0,000,000.00 سيتم عمل ايداع بها لدى تارجت</v>
      </c>
      <c r="T24" t="str">
        <f>IF('[1]Rwaked AGA'!$H27="","",CONCATENATE('[1]Rwaked AGA'!$H27," - عدد ",'[1]Rwaked AGA'!$G27,"  -  متبقي على الانتهاء  ",'[1]Rwaked AGA'!$D27," شهر "))</f>
        <v xml:space="preserve">روابى ظرف 50 جم *32 كيس - شكل جديد - عدد 224  -  متبقي على الانتهاء  18 شهر </v>
      </c>
    </row>
    <row r="25" spans="1:20" x14ac:dyDescent="0.25">
      <c r="A25">
        <v>1</v>
      </c>
      <c r="B25" s="9">
        <f t="shared" si="2"/>
        <v>0</v>
      </c>
      <c r="C25" s="15">
        <v>0</v>
      </c>
      <c r="D25" s="13" t="str">
        <f t="shared" si="3"/>
        <v/>
      </c>
      <c r="E25" t="s">
        <v>12</v>
      </c>
      <c r="F25" s="9" t="s">
        <v>158</v>
      </c>
      <c r="G25" s="16" t="str">
        <f>E25&amp;" "&amp;C25&amp;" "&amp;F25</f>
        <v>← يوجد مبلغ  0 مصاريف تامينات وضريبة دخل وسولار لم يتم صرفهم على البرنامج حتى الان ..</v>
      </c>
      <c r="T25" t="str">
        <f>IF('[1]Rwaked AGA'!$H28="","",CONCATENATE('[1]Rwaked AGA'!$H28," - عدد ",'[1]Rwaked AGA'!$G28,"  -  متبقي على الانتهاء  ",'[1]Rwaked AGA'!$D28," شهر "))</f>
        <v xml:space="preserve">روابي 1.5 كجم *4 - شكل جَديدُ - عدد 28  -  متبقي على الانتهاء  18 شهر </v>
      </c>
    </row>
    <row r="26" spans="1:20" x14ac:dyDescent="0.25">
      <c r="A26">
        <v>1</v>
      </c>
      <c r="B26" s="9">
        <f t="shared" si="2"/>
        <v>0</v>
      </c>
      <c r="C26" s="15">
        <v>0</v>
      </c>
      <c r="D26" s="13" t="str">
        <f t="shared" si="3"/>
        <v/>
      </c>
      <c r="E26" t="s">
        <v>12</v>
      </c>
      <c r="F26" s="9" t="s">
        <v>93</v>
      </c>
      <c r="G26" s="39" t="str">
        <f>E26&amp;" "&amp;C26&amp;" "&amp;F26</f>
        <v>← يوجد مبلغ  0 قيمة فواتير اجل تم ظهورها في المديونية نتيجة مشكلة في الهاند هيلد وليست في المديونية وقيمتها موجودة بخزينة الشركة بالزيادة</v>
      </c>
      <c r="T26" t="str">
        <f>IF('[1]Rwaked AGA'!$H29="","",CONCATENATE('[1]Rwaked AGA'!$H29," - عدد ",'[1]Rwaked AGA'!$G29,"  -  متبقي على الانتهاء  ",'[1]Rwaked AGA'!$D29," شهر "))</f>
        <v xml:space="preserve">جنة 0.700 كجم *8 - المِرملة  - جديد - عدد 328  -  متبقي على الانتهاء  19 شهر </v>
      </c>
    </row>
    <row r="27" spans="1:20" x14ac:dyDescent="0.25">
      <c r="A27">
        <v>1</v>
      </c>
      <c r="B27" s="9">
        <f t="shared" si="2"/>
        <v>0</v>
      </c>
      <c r="C27" s="15"/>
      <c r="D27" s="13" t="str">
        <f t="shared" si="3"/>
        <v/>
      </c>
      <c r="E27" t="s">
        <v>12</v>
      </c>
      <c r="F27" s="9" t="s">
        <v>94</v>
      </c>
      <c r="G27" s="39" t="str">
        <f>E27&amp;" "&amp;C27&amp;" "&amp;F27</f>
        <v>← يوجد مبلغ   راتب السائق عبدالله شطا لم يتم استلامه حتى الان من خلال السائق</v>
      </c>
      <c r="T27" t="str">
        <f>IF('[1]Rwaked AGA'!$H30="","",CONCATENATE('[1]Rwaked AGA'!$H30," - عدد ",'[1]Rwaked AGA'!$G30,"  -  متبقي على الانتهاء  ",'[1]Rwaked AGA'!$D30," شهر "))</f>
        <v xml:space="preserve">روابى 0.700 كجم *8 - جديد - عدد 1424  -  متبقي على الانتهاء  19 شهر </v>
      </c>
    </row>
    <row r="28" spans="1:20" x14ac:dyDescent="0.25">
      <c r="A28">
        <v>1</v>
      </c>
      <c r="B28" s="9">
        <f>IF(C28&gt;0,1,0)</f>
        <v>0</v>
      </c>
      <c r="C28" s="15"/>
      <c r="D28" s="13" t="str">
        <f t="shared" si="3"/>
        <v/>
      </c>
      <c r="E28" t="s">
        <v>12</v>
      </c>
      <c r="G28" s="39" t="str">
        <f>E28&amp;" "&amp;C28&amp;" "&amp;F28</f>
        <v xml:space="preserve">← يوجد مبلغ   </v>
      </c>
      <c r="T28" t="str">
        <f>IF('[1]Rwaked AGA'!$H31="","",CONCATENATE('[1]Rwaked AGA'!$H31," - عدد ",'[1]Rwaked AGA'!$G31,"  -  متبقي على الانتهاء  ",'[1]Rwaked AGA'!$D31," شهر "))</f>
        <v xml:space="preserve">روابى 11 كجم صفيح - شكل جديد (ال س.ب.م/ كجم) - عدد 463  -  متبقي على الانتهاء  19 شهر </v>
      </c>
    </row>
    <row r="29" spans="1:20" x14ac:dyDescent="0.25">
      <c r="A29">
        <v>1</v>
      </c>
      <c r="B29" s="9">
        <f t="shared" si="2"/>
        <v>0</v>
      </c>
      <c r="C29" s="15"/>
      <c r="D29" s="13" t="str">
        <f t="shared" si="3"/>
        <v/>
      </c>
      <c r="E29" t="s">
        <v>12</v>
      </c>
      <c r="G29" s="39" t="str">
        <f>E29&amp;" "&amp;C29&amp;" "&amp;F29</f>
        <v xml:space="preserve">← يوجد مبلغ   </v>
      </c>
      <c r="T29" t="str">
        <f>IF('[1]Rwaked AGA'!$H32="","",CONCATENATE('[1]Rwaked AGA'!$H32," - عدد ",'[1]Rwaked AGA'!$G32,"  -  متبقي على الانتهاء  ",'[1]Rwaked AGA'!$D32," شهر "))</f>
        <v xml:space="preserve">روابى ظرف 50 جم *32 كيس - شكل جديد - عدد 3200  -  متبقي على الانتهاء  19 شهر </v>
      </c>
    </row>
    <row r="30" spans="1:20" x14ac:dyDescent="0.25">
      <c r="A30">
        <v>1</v>
      </c>
      <c r="B30" s="9">
        <f t="shared" si="2"/>
        <v>0</v>
      </c>
      <c r="C30" s="15"/>
      <c r="D30" s="13" t="str">
        <f t="shared" si="3"/>
        <v/>
      </c>
      <c r="G30" s="39" t="s">
        <v>95</v>
      </c>
      <c r="T30" t="str">
        <f>IF('[1]Rwaked AGA'!$H33="","",CONCATENATE('[1]Rwaked AGA'!$H33," - عدد ",'[1]Rwaked AGA'!$G33,"  -  متبقي على الانتهاء  ",'[1]Rwaked AGA'!$D33," شهر "))</f>
        <v xml:space="preserve">روابي 1.5 كجم *4 - شكل جَديدُ - عدد 2044  -  متبقي على الانتهاء  19 شهر </v>
      </c>
    </row>
    <row r="31" spans="1:20" x14ac:dyDescent="0.25">
      <c r="A31">
        <v>1</v>
      </c>
      <c r="B31" s="9">
        <v>1</v>
      </c>
      <c r="D31" s="39" t="str">
        <f>E31&amp;" "&amp;C31&amp;" "&amp;F31</f>
        <v xml:space="preserve">← تمت مراجعة الايداعات التي تم اثباتها بالمالية حتى اليوم   </v>
      </c>
      <c r="E31" t="s">
        <v>174</v>
      </c>
      <c r="T31" t="str">
        <f>IF('[1]Rwaked AGA'!$H34="","",CONCATENATE('[1]Rwaked AGA'!$H34," - عدد ",'[1]Rwaked AGA'!$G34,"  -  متبقي على الانتهاء  ",'[1]Rwaked AGA'!$D34," شهر "))</f>
        <v xml:space="preserve">عافية تونة قطعة واحدة في زيت عباد الشمس 185جم * 48 - عدد 4046.000016  -  متبقي على الانتهاء  19 شهر </v>
      </c>
    </row>
    <row r="32" spans="1:20" x14ac:dyDescent="0.25">
      <c r="A32">
        <v>1</v>
      </c>
      <c r="T32" t="str">
        <f>IF('[1]Rwaked AGA'!$H35="","",CONCATENATE('[1]Rwaked AGA'!$H35," - عدد ",'[1]Rwaked AGA'!$G35,"  -  متبقي على الانتهاء  ",'[1]Rwaked AGA'!$D35," شهر "))</f>
        <v xml:space="preserve">عافية تونة قطع في زيت عباد الشمس 185جم * 48 - عدد 4539.999984  -  متبقي على الانتهاء  19 شهر </v>
      </c>
    </row>
    <row r="33" spans="1:20" x14ac:dyDescent="0.25">
      <c r="A33">
        <v>1</v>
      </c>
      <c r="T33" t="str">
        <f>IF('[1]Rwaked AGA'!$H36="","",CONCATENATE('[1]Rwaked AGA'!$H36," - عدد ",'[1]Rwaked AGA'!$G36,"  -  متبقي على الانتهاء  ",'[1]Rwaked AGA'!$D36," شهر "))</f>
        <v xml:space="preserve">الملكة شيوي خواتم 400 جم - عدد 1340  -  متبقي على الانتهاء  20 شهر </v>
      </c>
    </row>
    <row r="34" spans="1:20" ht="20.25" x14ac:dyDescent="0.25">
      <c r="A34">
        <v>1</v>
      </c>
      <c r="B34" s="9">
        <v>1</v>
      </c>
      <c r="D34" s="17" t="s">
        <v>17</v>
      </c>
      <c r="E34" s="44" t="s">
        <v>88</v>
      </c>
      <c r="T34" t="str">
        <f>IF('[1]Rwaked AGA'!$H37="","",CONCATENATE('[1]Rwaked AGA'!$H37," - عدد ",'[1]Rwaked AGA'!$G37,"  -  متبقي على الانتهاء  ",'[1]Rwaked AGA'!$D37," شهر "))</f>
        <v xml:space="preserve">جنة 11 كجم صفيح  شكل جديد (ال س.ب.م/ كجم ) - عدد 1025  -  متبقي على الانتهاء  20 شهر </v>
      </c>
    </row>
    <row r="35" spans="1:20" ht="16.5" x14ac:dyDescent="0.25">
      <c r="A35">
        <v>1</v>
      </c>
      <c r="B35" s="9">
        <v>1</v>
      </c>
      <c r="D35" s="18" t="s">
        <v>19</v>
      </c>
      <c r="T35" t="str">
        <f>IF('[1]Rwaked AGA'!$H38="","",CONCATENATE('[1]Rwaked AGA'!$H38," - عدد ",'[1]Rwaked AGA'!$G38,"  -  متبقي على الانتهاء  ",'[1]Rwaked AGA'!$D38," شهر "))</f>
        <v xml:space="preserve">جنة 1.5 كجم * 4 -المِرملة شكل جديد - عدد 156  -  متبقي على الانتهاء  20 شهر </v>
      </c>
    </row>
    <row r="36" spans="1:20" x14ac:dyDescent="0.25">
      <c r="A36">
        <v>1</v>
      </c>
      <c r="B36" s="9">
        <v>1</v>
      </c>
      <c r="D36" s="13" t="str">
        <f>E36&amp;" "&amp;TEXT(F36,"0,000,000.00")&amp;" ج"</f>
        <v>إجمالي مديونية التوكيل مبلغ 12,142,707.75 ج</v>
      </c>
      <c r="E36" t="s">
        <v>20</v>
      </c>
      <c r="F36" s="9">
        <f>SUMIF(M.C!B:B,E34,M.C!J:J)</f>
        <v>12142707.749999998</v>
      </c>
      <c r="G36" s="9">
        <v>0</v>
      </c>
      <c r="H36" s="10">
        <v>0</v>
      </c>
      <c r="T36" t="str">
        <f>IF('[1]Rwaked AGA'!$H39="","",CONCATENATE('[1]Rwaked AGA'!$H39," - عدد ",'[1]Rwaked AGA'!$G39,"  -  متبقي على الانتهاء  ",'[1]Rwaked AGA'!$D39," شهر "))</f>
        <v xml:space="preserve">روابي 1.5 كجم *4 - شكل جَديدُ - عدد 384  -  متبقي على الانتهاء  20 شهر </v>
      </c>
    </row>
    <row r="37" spans="1:20" x14ac:dyDescent="0.25">
      <c r="A37">
        <v>1</v>
      </c>
      <c r="B37" s="9" t="e">
        <f>IF(F37&gt;0,1,0)</f>
        <v>#N/A</v>
      </c>
      <c r="D37" s="40" t="str">
        <f>IFERROR(E37&amp;" "&amp;TEXT(F37,"00%"),"")</f>
        <v/>
      </c>
      <c r="E37" t="s">
        <v>21</v>
      </c>
      <c r="F37" s="20" t="e">
        <f>_xlfn.XLOOKUP(E34,M.C!Q:Q,M.C!AF:AF)</f>
        <v>#N/A</v>
      </c>
      <c r="G37" s="21" t="e">
        <f>_xlfn.XLOOKUP(E34,M.C!Q:Q,M.C!AF:AF)</f>
        <v>#N/A</v>
      </c>
      <c r="T37" t="str">
        <f>IF('[1]Rwaked AGA'!$H40="","",CONCATENATE('[1]Rwaked AGA'!$H40," - عدد ",'[1]Rwaked AGA'!$G40,"  -  متبقي على الانتهاء  ",'[1]Rwaked AGA'!$D40," شهر "))</f>
        <v xml:space="preserve">روابى 2.5 كجم * 4 - سهلة الفتح - عدد 348  -  متبقي على الانتهاء  21 شهر </v>
      </c>
    </row>
    <row r="38" spans="1:20" x14ac:dyDescent="0.25">
      <c r="A38">
        <v>1</v>
      </c>
      <c r="B38" s="9">
        <v>1</v>
      </c>
      <c r="D38" s="19" t="str">
        <f>IFERROR(E38&amp;" "&amp;TEXT(F38,"00%"),"")</f>
        <v/>
      </c>
      <c r="E38" s="12" t="s">
        <v>139</v>
      </c>
      <c r="F38" s="20" t="e">
        <f>_xlfn.XLOOKUP(E34,M.C!Q:Q,M.C!AG:AG)</f>
        <v>#N/A</v>
      </c>
      <c r="G38" s="21" t="e">
        <f>_xlfn.XLOOKUP(E34,M.C!Q:Q,M.C!AG:AG)</f>
        <v>#N/A</v>
      </c>
      <c r="T38" t="str">
        <f>IF('[1]Rwaked AGA'!$H41="","",CONCATENATE('[1]Rwaked AGA'!$H41," - عدد ",'[1]Rwaked AGA'!$G41,"  -  متبقي على الانتهاء  ",'[1]Rwaked AGA'!$D41," شهر "))</f>
        <v/>
      </c>
    </row>
    <row r="39" spans="1:20" x14ac:dyDescent="0.25">
      <c r="A39">
        <v>1</v>
      </c>
      <c r="B39" s="9">
        <v>1</v>
      </c>
      <c r="D39" s="19" t="str">
        <f t="shared" ref="D39" si="4">E39&amp;" "&amp;TEXT(F39,"0,000,000.00")&amp;" ج" &amp;" "&amp;G39&amp;" "&amp;TEXT(H39,"0%")</f>
        <v>← متاخرات المديونية     مبلغ  9,982,431.81 ج بنسبة 82%</v>
      </c>
      <c r="E39" s="12" t="s">
        <v>140</v>
      </c>
      <c r="F39" s="9">
        <f>F36-SUMIFS(M.C!J:J,M.C!B:B,E34,M.C!L:L,"Not Due")</f>
        <v>9982431.8099999987</v>
      </c>
      <c r="G39" s="9" t="s">
        <v>24</v>
      </c>
      <c r="H39" s="10">
        <f>F39/$F$36</f>
        <v>0.82209273380560444</v>
      </c>
      <c r="T39" t="str">
        <f>IF('[1]Rwaked AGA'!$H42="","",CONCATENATE('[1]Rwaked AGA'!$H42," - عدد ",'[1]Rwaked AGA'!$G42,"  -  متبقي على الانتهاء  ",'[1]Rwaked AGA'!$D42," شهر "))</f>
        <v/>
      </c>
    </row>
    <row r="40" spans="1:20" x14ac:dyDescent="0.25">
      <c r="A40">
        <v>1</v>
      </c>
      <c r="B40" s="9">
        <f>IF(F40&gt;0,1,0)</f>
        <v>0</v>
      </c>
      <c r="D40" s="12" t="str">
        <f>IF(C40=F40,"",M40)</f>
        <v/>
      </c>
      <c r="E40" s="12" t="str">
        <f>"←"&amp;" "&amp;K40 &amp; "     "&amp; "مبلغ "</f>
        <v xml:space="preserve">← &gt; 120 Days     مبلغ </v>
      </c>
      <c r="F40" s="9">
        <f>L40</f>
        <v>0</v>
      </c>
      <c r="G40" s="9" t="s">
        <v>24</v>
      </c>
      <c r="H40" s="10">
        <f t="shared" ref="H40:H46" si="5">F40/$F$36</f>
        <v>0</v>
      </c>
      <c r="J40" t="str">
        <f>$E$34&amp;K40</f>
        <v>Dakahlia Aga – Al Yasmine&gt; 120 Days</v>
      </c>
      <c r="K40" s="22" t="s">
        <v>173</v>
      </c>
      <c r="L40" s="9">
        <f>_xlfn.XLOOKUP(J40,مديونية!D:D,مديونية!C:C,0)</f>
        <v>0</v>
      </c>
      <c r="M40" s="40" t="str">
        <f t="shared" ref="M40:M47" si="6">E40&amp;" "&amp;TEXT(F40,"0,000,000.00")&amp;" ج" &amp;" "&amp;G40&amp;" "&amp;TEXT(H40,"0%")</f>
        <v>← &gt; 120 Days     مبلغ  0,000,000.00 ج بنسبة 0%</v>
      </c>
      <c r="T40" t="str">
        <f>IF('[1]Rwaked AGA'!$H43="","",CONCATENATE('[1]Rwaked AGA'!$H43," - عدد ",'[1]Rwaked AGA'!$G43,"  -  متبقي على الانتهاء  ",'[1]Rwaked AGA'!$D43," شهر "))</f>
        <v/>
      </c>
    </row>
    <row r="41" spans="1:20" x14ac:dyDescent="0.25">
      <c r="A41">
        <v>1</v>
      </c>
      <c r="B41" s="9">
        <f t="shared" ref="B41:B45" si="7">IF(F41&gt;0,1,0)</f>
        <v>1</v>
      </c>
      <c r="D41" s="12" t="str">
        <f t="shared" ref="D41:D48" si="8">IF(C41=F41,"",M41)</f>
        <v>← 61 : 120 Days     مبلغ  2,853,804.20 ج بنسبة 24%</v>
      </c>
      <c r="E41" s="12" t="str">
        <f>"←"&amp;" "&amp;K41 &amp;"     "&amp; "مبلغ "</f>
        <v xml:space="preserve">← 61 : 120 Days     مبلغ </v>
      </c>
      <c r="F41" s="9">
        <f t="shared" ref="F41:F45" si="9">L41</f>
        <v>2853804.2</v>
      </c>
      <c r="G41" s="9" t="s">
        <v>24</v>
      </c>
      <c r="H41" s="10">
        <f t="shared" si="5"/>
        <v>0.23502206087435487</v>
      </c>
      <c r="J41" t="str">
        <f t="shared" ref="J41:J54" si="10">$E$34&amp;K41</f>
        <v>Dakahlia Aga – Al Yasmine61 : 120 Days</v>
      </c>
      <c r="K41" s="22" t="s">
        <v>172</v>
      </c>
      <c r="L41" s="9">
        <f>_xlfn.XLOOKUP(J41,مديونية!D:D,مديونية!C:C,0)</f>
        <v>2853804.2</v>
      </c>
      <c r="M41" s="40" t="str">
        <f t="shared" si="6"/>
        <v>← 61 : 120 Days     مبلغ  2,853,804.20 ج بنسبة 24%</v>
      </c>
      <c r="T41" t="str">
        <f>IF('[1]Rwaked AGA'!$H44="","",CONCATENATE('[1]Rwaked AGA'!$H44," - عدد ",'[1]Rwaked AGA'!$G44,"  -  متبقي على الانتهاء  ",'[1]Rwaked AGA'!$D44," شهر "))</f>
        <v/>
      </c>
    </row>
    <row r="42" spans="1:20" x14ac:dyDescent="0.25">
      <c r="A42">
        <v>1</v>
      </c>
      <c r="B42" s="9">
        <f t="shared" si="7"/>
        <v>1</v>
      </c>
      <c r="D42" s="12" t="str">
        <f t="shared" si="8"/>
        <v>← 31 : 60 Days     مبلغ  2,172,584.00 ج بنسبة 18%</v>
      </c>
      <c r="E42" s="12" t="str">
        <f t="shared" ref="E42:E46" si="11">"←"&amp;" "&amp;K42 &amp;"     "&amp; "مبلغ "</f>
        <v xml:space="preserve">← 31 : 60 Days     مبلغ </v>
      </c>
      <c r="F42" s="9">
        <f t="shared" si="9"/>
        <v>2172584</v>
      </c>
      <c r="G42" s="9" t="s">
        <v>24</v>
      </c>
      <c r="H42" s="10">
        <f t="shared" si="5"/>
        <v>0.17892088360604746</v>
      </c>
      <c r="J42" t="str">
        <f t="shared" si="10"/>
        <v>Dakahlia Aga – Al Yasmine31 : 60 Days</v>
      </c>
      <c r="K42" s="22" t="s">
        <v>170</v>
      </c>
      <c r="L42" s="9">
        <f>_xlfn.XLOOKUP(J42,مديونية!D:D,مديونية!C:C,0)</f>
        <v>2172584</v>
      </c>
      <c r="M42" s="40" t="str">
        <f t="shared" si="6"/>
        <v>← 31 : 60 Days     مبلغ  2,172,584.00 ج بنسبة 18%</v>
      </c>
      <c r="T42" t="str">
        <f>IF('[1]Rwaked AGA'!$H45="","",CONCATENATE('[1]Rwaked AGA'!$H45," - عدد ",'[1]Rwaked AGA'!$G45,"  -  متبقي على الانتهاء  ",'[1]Rwaked AGA'!$D45," شهر "))</f>
        <v/>
      </c>
    </row>
    <row r="43" spans="1:20" x14ac:dyDescent="0.25">
      <c r="A43">
        <v>1</v>
      </c>
      <c r="B43" s="9">
        <f t="shared" si="7"/>
        <v>1</v>
      </c>
      <c r="D43" s="12" t="str">
        <f t="shared" si="8"/>
        <v>← 21 : 30 Days     مبلغ  0,824,000.00 ج بنسبة 7%</v>
      </c>
      <c r="E43" s="12" t="str">
        <f t="shared" si="11"/>
        <v xml:space="preserve">← 21 : 30 Days     مبلغ </v>
      </c>
      <c r="F43" s="9">
        <f t="shared" si="9"/>
        <v>824000</v>
      </c>
      <c r="G43" s="9" t="s">
        <v>24</v>
      </c>
      <c r="H43" s="10">
        <f t="shared" si="5"/>
        <v>6.7859658402797354E-2</v>
      </c>
      <c r="J43" t="str">
        <f t="shared" si="10"/>
        <v>Dakahlia Aga – Al Yasmine21 : 30 Days</v>
      </c>
      <c r="K43" s="22" t="s">
        <v>80</v>
      </c>
      <c r="L43" s="9">
        <f>_xlfn.XLOOKUP(J43,مديونية!D:D,مديونية!C:C,0)</f>
        <v>824000</v>
      </c>
      <c r="M43" s="40" t="str">
        <f t="shared" si="6"/>
        <v>← 21 : 30 Days     مبلغ  0,824,000.00 ج بنسبة 7%</v>
      </c>
      <c r="T43" t="str">
        <f>IF('[1]Rwaked AGA'!$H46="","",CONCATENATE('[1]Rwaked AGA'!$H46," - عدد ",'[1]Rwaked AGA'!$G46,"  -  متبقي على الانتهاء  ",'[1]Rwaked AGA'!$D46," شهر "))</f>
        <v/>
      </c>
    </row>
    <row r="44" spans="1:20" x14ac:dyDescent="0.25">
      <c r="A44">
        <v>1</v>
      </c>
      <c r="B44" s="9">
        <f t="shared" si="7"/>
        <v>1</v>
      </c>
      <c r="D44" s="12" t="str">
        <f t="shared" si="8"/>
        <v>← 11 : 20 Days     مبلغ  1,894,008.54 ج بنسبة 16%</v>
      </c>
      <c r="E44" s="12" t="str">
        <f t="shared" si="11"/>
        <v xml:space="preserve">← 11 : 20 Days     مبلغ </v>
      </c>
      <c r="F44" s="9">
        <f t="shared" si="9"/>
        <v>1894008.54</v>
      </c>
      <c r="G44" s="9" t="s">
        <v>24</v>
      </c>
      <c r="H44" s="10">
        <f t="shared" si="5"/>
        <v>0.15597909288395748</v>
      </c>
      <c r="J44" t="str">
        <f t="shared" si="10"/>
        <v>Dakahlia Aga – Al Yasmine11 : 20 Days</v>
      </c>
      <c r="K44" s="22" t="s">
        <v>81</v>
      </c>
      <c r="L44" s="9">
        <f>_xlfn.XLOOKUP(J44,مديونية!D:D,مديونية!C:C,0)</f>
        <v>1894008.54</v>
      </c>
      <c r="M44" s="40" t="str">
        <f t="shared" si="6"/>
        <v>← 11 : 20 Days     مبلغ  1,894,008.54 ج بنسبة 16%</v>
      </c>
      <c r="T44" t="str">
        <f>IF('[1]Rwaked AGA'!$H47="","",CONCATENATE('[1]Rwaked AGA'!$H47," - عدد ",'[1]Rwaked AGA'!$G47,"  -  متبقي على الانتهاء  ",'[1]Rwaked AGA'!$D47," شهر "))</f>
        <v/>
      </c>
    </row>
    <row r="45" spans="1:20" x14ac:dyDescent="0.25">
      <c r="A45">
        <v>1</v>
      </c>
      <c r="B45" s="9">
        <f t="shared" si="7"/>
        <v>1</v>
      </c>
      <c r="D45" s="12" t="str">
        <f t="shared" si="8"/>
        <v>← 1 : 10 Days     مبلغ  2,238,035.07 ج بنسبة 18%</v>
      </c>
      <c r="E45" s="12" t="str">
        <f t="shared" si="11"/>
        <v xml:space="preserve">← 1 : 10 Days     مبلغ </v>
      </c>
      <c r="F45" s="9">
        <f t="shared" si="9"/>
        <v>2238035.0699999998</v>
      </c>
      <c r="G45" s="9" t="s">
        <v>24</v>
      </c>
      <c r="H45" s="10">
        <f t="shared" si="5"/>
        <v>0.18431103803844742</v>
      </c>
      <c r="J45" t="str">
        <f t="shared" si="10"/>
        <v>Dakahlia Aga – Al Yasmine1 : 10 Days</v>
      </c>
      <c r="K45" s="22" t="s">
        <v>171</v>
      </c>
      <c r="L45" s="9">
        <f>_xlfn.XLOOKUP(J45,مديونية!D:D,مديونية!C:C,0)</f>
        <v>2238035.0699999998</v>
      </c>
      <c r="M45" s="40" t="str">
        <f t="shared" si="6"/>
        <v>← 1 : 10 Days     مبلغ  2,238,035.07 ج بنسبة 18%</v>
      </c>
      <c r="T45" t="str">
        <f>IF('[1]Rwaked AGA'!$H48="","",CONCATENATE('[1]Rwaked AGA'!$H48," - عدد ",'[1]Rwaked AGA'!$G48,"  -  متبقي على الانتهاء  ",'[1]Rwaked AGA'!$D48," شهر "))</f>
        <v/>
      </c>
    </row>
    <row r="46" spans="1:20" x14ac:dyDescent="0.25">
      <c r="A46">
        <v>1</v>
      </c>
      <c r="D46" s="12" t="str">
        <f t="shared" si="8"/>
        <v>← Not Due     مبلغ  10,386,991.92 ج بنسبة 86%</v>
      </c>
      <c r="E46" s="12" t="str">
        <f t="shared" si="11"/>
        <v xml:space="preserve">← Not Due     مبلغ </v>
      </c>
      <c r="F46" s="9">
        <v>10386991.92</v>
      </c>
      <c r="G46" s="9" t="s">
        <v>24</v>
      </c>
      <c r="H46" s="10">
        <f t="shared" si="5"/>
        <v>0.85540985864540808</v>
      </c>
      <c r="J46" t="str">
        <f t="shared" si="10"/>
        <v>Dakahlia Aga – Al YasmineNot Due</v>
      </c>
      <c r="K46" t="s">
        <v>82</v>
      </c>
      <c r="L46" s="9">
        <f>_xlfn.XLOOKUP(J46,مديونية!D:D,مديونية!C:C,0)</f>
        <v>2160275.94</v>
      </c>
      <c r="M46" s="19" t="str">
        <f t="shared" si="6"/>
        <v>← Not Due     مبلغ  10,386,991.92 ج بنسبة 86%</v>
      </c>
      <c r="T46" t="str">
        <f>IF('[1]Rwaked AGA'!$H49="","",CONCATENATE('[1]Rwaked AGA'!$H49," - عدد ",'[1]Rwaked AGA'!$G49,"  -  متبقي على الانتهاء  ",'[1]Rwaked AGA'!$D49," شهر "))</f>
        <v/>
      </c>
    </row>
    <row r="47" spans="1:20" x14ac:dyDescent="0.25">
      <c r="A47">
        <v>1</v>
      </c>
      <c r="B47" s="9">
        <f>IF(F47&gt;0,1,0)</f>
        <v>0</v>
      </c>
      <c r="D47" s="12" t="str">
        <f t="shared" si="8"/>
        <v/>
      </c>
      <c r="E47" s="12" t="str">
        <f>"←"&amp;" "&amp;K47 &amp; "     "&amp; "مبلغ "</f>
        <v xml:space="preserve">← Grand Total     مبلغ </v>
      </c>
      <c r="F47" s="9">
        <f>L47</f>
        <v>0</v>
      </c>
      <c r="G47" s="9" t="s">
        <v>24</v>
      </c>
      <c r="H47" s="10">
        <f t="shared" ref="H47:H53" si="12">F47/$F$36</f>
        <v>0</v>
      </c>
      <c r="J47" t="str">
        <f>$E$34&amp;K47</f>
        <v>Dakahlia Aga – Al YasmineGrand Total</v>
      </c>
      <c r="K47" s="22" t="s">
        <v>83</v>
      </c>
      <c r="L47" s="9">
        <f>_xlfn.XLOOKUP(J47,مديونية!D:D,مديونية!C:C,0)</f>
        <v>0</v>
      </c>
      <c r="M47" s="40" t="str">
        <f t="shared" si="6"/>
        <v>← Grand Total     مبلغ  0,000,000.00 ج بنسبة 0%</v>
      </c>
      <c r="T47" t="str">
        <f>IF('[1]Rwaked AGA'!$H50="","",CONCATENATE('[1]Rwaked AGA'!$H50," - عدد ",'[1]Rwaked AGA'!$G50,"  -  متبقي على الانتهاء  ",'[1]Rwaked AGA'!$D50," شهر "))</f>
        <v/>
      </c>
    </row>
    <row r="48" spans="1:20" x14ac:dyDescent="0.25">
      <c r="A48">
        <v>1</v>
      </c>
      <c r="B48" s="9">
        <f t="shared" ref="B48:B55" si="13">IF(F48&gt;0,1,0)</f>
        <v>0</v>
      </c>
      <c r="D48" s="12" t="str">
        <f t="shared" si="8"/>
        <v/>
      </c>
      <c r="E48" s="12" t="str">
        <f>"←"&amp;" "&amp;K48 &amp;"     "&amp; "مبلغ "</f>
        <v xml:space="preserve">←      مبلغ </v>
      </c>
      <c r="F48" s="9">
        <f t="shared" ref="F48:F55" si="14">L48</f>
        <v>0</v>
      </c>
      <c r="G48" s="9" t="s">
        <v>24</v>
      </c>
      <c r="H48" s="10">
        <f t="shared" si="12"/>
        <v>0</v>
      </c>
      <c r="J48" t="str">
        <f t="shared" ref="J48:J53" si="15">$E$34&amp;K48</f>
        <v>Dakahlia Aga – Al Yasmine</v>
      </c>
      <c r="K48" s="22"/>
      <c r="L48" s="9">
        <f>_xlfn.XLOOKUP(J48,مديونية!D:D,مديونية!C:C,0)</f>
        <v>0</v>
      </c>
      <c r="T48" t="str">
        <f>IF('[1]Rwaked AGA'!$H51="","",CONCATENATE('[1]Rwaked AGA'!$H51," - عدد ",'[1]Rwaked AGA'!$G51,"  -  متبقي على الانتهاء  ",'[1]Rwaked AGA'!$D51," شهر "))</f>
        <v/>
      </c>
    </row>
    <row r="49" spans="1:12" x14ac:dyDescent="0.25">
      <c r="A49">
        <v>1</v>
      </c>
      <c r="B49" s="9">
        <f t="shared" si="13"/>
        <v>0</v>
      </c>
      <c r="D49" s="13" t="str">
        <f t="shared" ref="D49" si="16">IF(C49=F49,"",K49)</f>
        <v/>
      </c>
      <c r="E49" s="12" t="str">
        <f t="shared" ref="E49:E53" si="17">"←"&amp;" "&amp;K49 &amp;"     "&amp; "مبلغ "</f>
        <v xml:space="preserve">←      مبلغ </v>
      </c>
      <c r="F49" s="9">
        <f t="shared" si="14"/>
        <v>0</v>
      </c>
      <c r="G49" s="9" t="s">
        <v>24</v>
      </c>
      <c r="H49" s="10">
        <f t="shared" si="12"/>
        <v>0</v>
      </c>
      <c r="J49" t="str">
        <f t="shared" si="15"/>
        <v>Dakahlia Aga – Al Yasmine</v>
      </c>
      <c r="K49" s="22"/>
      <c r="L49" s="9">
        <f>_xlfn.XLOOKUP(J49,مديونية!D:D,مديونية!C:C,0)</f>
        <v>0</v>
      </c>
    </row>
    <row r="50" spans="1:12" x14ac:dyDescent="0.25">
      <c r="A50">
        <v>1</v>
      </c>
      <c r="B50" s="9">
        <f t="shared" si="13"/>
        <v>0</v>
      </c>
      <c r="D50" s="40"/>
      <c r="E50" s="12" t="str">
        <f t="shared" si="17"/>
        <v xml:space="preserve">←      مبلغ </v>
      </c>
      <c r="F50" s="9">
        <f t="shared" si="14"/>
        <v>0</v>
      </c>
      <c r="G50" s="9" t="s">
        <v>24</v>
      </c>
      <c r="H50" s="10">
        <f t="shared" si="12"/>
        <v>0</v>
      </c>
      <c r="J50" t="str">
        <f t="shared" si="15"/>
        <v>Dakahlia Aga – Al Yasmine</v>
      </c>
      <c r="K50" s="22"/>
      <c r="L50" s="9">
        <f>_xlfn.XLOOKUP(J50,مديونية!D:D,مديونية!C:C,0)</f>
        <v>0</v>
      </c>
    </row>
    <row r="51" spans="1:12" x14ac:dyDescent="0.25">
      <c r="A51">
        <v>1</v>
      </c>
      <c r="B51" s="9">
        <f t="shared" si="13"/>
        <v>0</v>
      </c>
      <c r="D51" s="40"/>
      <c r="E51" s="12" t="str">
        <f t="shared" si="17"/>
        <v xml:space="preserve">←      مبلغ </v>
      </c>
      <c r="F51" s="9">
        <f t="shared" si="14"/>
        <v>0</v>
      </c>
      <c r="G51" s="9" t="s">
        <v>24</v>
      </c>
      <c r="H51" s="10">
        <f t="shared" si="12"/>
        <v>0</v>
      </c>
      <c r="J51" t="str">
        <f t="shared" si="15"/>
        <v>Dakahlia Aga – Al Yasmine</v>
      </c>
      <c r="K51" s="22"/>
      <c r="L51" s="9">
        <f>_xlfn.XLOOKUP(J51,مديونية!D:D,مديونية!C:C,0)</f>
        <v>0</v>
      </c>
    </row>
    <row r="52" spans="1:12" x14ac:dyDescent="0.25">
      <c r="A52">
        <v>1</v>
      </c>
      <c r="B52" s="9">
        <f t="shared" si="13"/>
        <v>0</v>
      </c>
      <c r="D52" s="40"/>
      <c r="E52" s="12" t="str">
        <f t="shared" si="17"/>
        <v xml:space="preserve">←      مبلغ </v>
      </c>
      <c r="F52" s="9">
        <f t="shared" si="14"/>
        <v>0</v>
      </c>
      <c r="G52" s="9" t="s">
        <v>24</v>
      </c>
      <c r="H52" s="10">
        <f t="shared" si="12"/>
        <v>0</v>
      </c>
      <c r="J52" t="str">
        <f t="shared" si="15"/>
        <v>Dakahlia Aga – Al Yasmine</v>
      </c>
      <c r="K52" s="22"/>
      <c r="L52" s="9">
        <f>_xlfn.XLOOKUP(J52,مديونية!D:D,مديونية!C:C,0)</f>
        <v>0</v>
      </c>
    </row>
    <row r="53" spans="1:12" x14ac:dyDescent="0.25">
      <c r="A53">
        <v>1</v>
      </c>
      <c r="B53" s="9">
        <f t="shared" si="13"/>
        <v>0</v>
      </c>
      <c r="D53" s="19"/>
      <c r="E53" s="12" t="str">
        <f t="shared" si="17"/>
        <v xml:space="preserve">←      مبلغ </v>
      </c>
      <c r="F53" s="9">
        <f t="shared" si="14"/>
        <v>0</v>
      </c>
      <c r="G53" s="9" t="s">
        <v>24</v>
      </c>
      <c r="H53" s="10">
        <f t="shared" si="12"/>
        <v>0</v>
      </c>
      <c r="J53" t="str">
        <f t="shared" si="15"/>
        <v>Dakahlia Aga – Al Yasmine</v>
      </c>
      <c r="L53" s="9">
        <f>_xlfn.XLOOKUP(J53,مديونية!D:D,مديونية!C:C,0)</f>
        <v>0</v>
      </c>
    </row>
    <row r="54" spans="1:12" x14ac:dyDescent="0.25">
      <c r="A54">
        <v>1</v>
      </c>
      <c r="B54" s="9">
        <f t="shared" si="13"/>
        <v>0</v>
      </c>
      <c r="D54" s="41"/>
      <c r="E54" s="12" t="s">
        <v>141</v>
      </c>
      <c r="F54" s="9">
        <f t="shared" si="14"/>
        <v>0</v>
      </c>
      <c r="G54" s="9">
        <v>0</v>
      </c>
      <c r="H54" s="10">
        <v>0</v>
      </c>
      <c r="J54" t="str">
        <f t="shared" si="10"/>
        <v>Dakahlia Aga – Al Yasmine</v>
      </c>
      <c r="L54" s="9">
        <f>_xlfn.XLOOKUP(J54,مديونية!D:D,مديونية!C:C,0)</f>
        <v>0</v>
      </c>
    </row>
    <row r="55" spans="1:12" x14ac:dyDescent="0.25">
      <c r="A55">
        <v>1</v>
      </c>
      <c r="B55" s="9">
        <f t="shared" si="13"/>
        <v>0</v>
      </c>
      <c r="D55" s="12" t="s">
        <v>26</v>
      </c>
      <c r="F55" s="9">
        <f t="shared" si="14"/>
        <v>0</v>
      </c>
    </row>
    <row r="56" spans="1:12" x14ac:dyDescent="0.25">
      <c r="A56">
        <v>1</v>
      </c>
      <c r="D56" s="24"/>
      <c r="E56" t="s">
        <v>27</v>
      </c>
      <c r="G56" s="10" t="s">
        <v>24</v>
      </c>
    </row>
    <row r="57" spans="1:12" x14ac:dyDescent="0.25">
      <c r="A57">
        <v>1</v>
      </c>
      <c r="D57" s="24"/>
      <c r="E57" t="s">
        <v>27</v>
      </c>
    </row>
    <row r="58" spans="1:12" x14ac:dyDescent="0.25">
      <c r="A58">
        <v>1</v>
      </c>
      <c r="D58" s="24"/>
      <c r="E58" t="s">
        <v>27</v>
      </c>
      <c r="G58" s="10" t="s">
        <v>24</v>
      </c>
    </row>
    <row r="59" spans="1:12" x14ac:dyDescent="0.25">
      <c r="A59">
        <v>1</v>
      </c>
      <c r="D59" s="24"/>
      <c r="E59" t="s">
        <v>27</v>
      </c>
    </row>
    <row r="60" spans="1:12" x14ac:dyDescent="0.25">
      <c r="A60">
        <v>1</v>
      </c>
      <c r="E60" t="s">
        <v>27</v>
      </c>
    </row>
    <row r="61" spans="1:12" x14ac:dyDescent="0.25">
      <c r="A61">
        <v>1</v>
      </c>
      <c r="B61" s="15">
        <v>1</v>
      </c>
      <c r="C61" s="15"/>
      <c r="D61" s="13" t="s">
        <v>97</v>
      </c>
      <c r="E61" t="s">
        <v>27</v>
      </c>
    </row>
    <row r="62" spans="1:12" x14ac:dyDescent="0.25">
      <c r="A62">
        <v>1</v>
      </c>
      <c r="B62" s="15"/>
      <c r="C62" s="15"/>
      <c r="E62" t="str">
        <f>"←"&amp;" "&amp;"تبلغ عدد فواتير الاجل بالتوكيل "&amp;C62&amp;" منها مختوم عدد "&amp;B62&amp;"ومنها موقع عدد "&amp;A62</f>
        <v>← تبلغ عدد فواتير الاجل بالتوكيل  منها مختوم عدد ومنها موقع عدد 1</v>
      </c>
      <c r="G62" s="13" t="str">
        <f>"←"&amp;" "&amp;"تبلغ عدد فواتير الاجل بالتوكيل "&amp;C62&amp;" منها مختوم عدد "&amp;B62&amp;"ومنها موقع عدد "&amp;A62</f>
        <v>← تبلغ عدد فواتير الاجل بالتوكيل  منها مختوم عدد ومنها موقع عدد 1</v>
      </c>
    </row>
    <row r="63" spans="1:12" x14ac:dyDescent="0.25">
      <c r="A63">
        <v>1</v>
      </c>
      <c r="B63" s="15"/>
      <c r="C63" s="15"/>
    </row>
    <row r="64" spans="1:12" x14ac:dyDescent="0.25">
      <c r="A64">
        <v>1</v>
      </c>
      <c r="B64" s="15"/>
      <c r="C64" s="15"/>
    </row>
    <row r="65" spans="1:6" x14ac:dyDescent="0.25">
      <c r="A65">
        <v>1</v>
      </c>
      <c r="B65" s="15"/>
      <c r="C65" s="15"/>
    </row>
    <row r="66" spans="1:6" x14ac:dyDescent="0.25">
      <c r="A66">
        <v>1</v>
      </c>
      <c r="B66" s="15"/>
      <c r="C66" s="15"/>
    </row>
    <row r="67" spans="1:6" x14ac:dyDescent="0.25">
      <c r="A67">
        <v>1</v>
      </c>
      <c r="B67" s="15"/>
      <c r="C67" s="15"/>
      <c r="F67" s="9" t="s">
        <v>98</v>
      </c>
    </row>
    <row r="68" spans="1:6" x14ac:dyDescent="0.25">
      <c r="A68">
        <v>1</v>
      </c>
      <c r="F68" s="9" t="s">
        <v>99</v>
      </c>
    </row>
    <row r="69" spans="1:6" ht="20.25" x14ac:dyDescent="0.25">
      <c r="A69">
        <v>1</v>
      </c>
      <c r="B69" s="9">
        <v>1</v>
      </c>
      <c r="D69" s="17" t="s">
        <v>29</v>
      </c>
      <c r="F69" s="9" t="s">
        <v>100</v>
      </c>
    </row>
    <row r="70" spans="1:6" ht="16.5" x14ac:dyDescent="0.25">
      <c r="A70">
        <v>1</v>
      </c>
      <c r="B70" s="9">
        <v>1</v>
      </c>
      <c r="D70" s="18" t="s">
        <v>30</v>
      </c>
      <c r="F70" s="9" t="s">
        <v>101</v>
      </c>
    </row>
    <row r="71" spans="1:6" x14ac:dyDescent="0.25">
      <c r="A71">
        <v>1</v>
      </c>
      <c r="D71" s="12" t="str">
        <f>"- " &amp; "تمت الموافقة على المصاريف المرفوعة على البرنامج"</f>
        <v>- تمت الموافقة على المصاريف المرفوعة على البرنامج</v>
      </c>
      <c r="F71" s="9" t="s">
        <v>102</v>
      </c>
    </row>
    <row r="72" spans="1:6" x14ac:dyDescent="0.25">
      <c r="A72">
        <v>1</v>
      </c>
      <c r="D72" s="13" t="s">
        <v>182</v>
      </c>
      <c r="F72" s="9" t="s">
        <v>103</v>
      </c>
    </row>
    <row r="73" spans="1:6" x14ac:dyDescent="0.25">
      <c r="A73">
        <v>1</v>
      </c>
      <c r="B73" s="9">
        <v>1</v>
      </c>
      <c r="C73" s="9" t="s">
        <v>105</v>
      </c>
      <c r="D73" s="13" t="str">
        <f>$D$25</f>
        <v/>
      </c>
    </row>
    <row r="74" spans="1:6" x14ac:dyDescent="0.25">
      <c r="A74">
        <v>1</v>
      </c>
    </row>
    <row r="75" spans="1:6" x14ac:dyDescent="0.25">
      <c r="A75">
        <v>1</v>
      </c>
      <c r="B75" s="9">
        <f t="shared" ref="B75:B76" si="18">IF(C75&gt;0,1,0)</f>
        <v>0</v>
      </c>
      <c r="C75" s="9">
        <f>C25</f>
        <v>0</v>
      </c>
      <c r="F75" s="13"/>
    </row>
    <row r="76" spans="1:6" x14ac:dyDescent="0.25">
      <c r="A76">
        <v>1</v>
      </c>
      <c r="B76" s="9">
        <f t="shared" si="18"/>
        <v>0</v>
      </c>
    </row>
    <row r="77" spans="1:6" x14ac:dyDescent="0.25">
      <c r="A77">
        <v>1</v>
      </c>
    </row>
    <row r="78" spans="1:6" x14ac:dyDescent="0.25">
      <c r="A78">
        <v>1</v>
      </c>
    </row>
    <row r="79" spans="1:6" x14ac:dyDescent="0.25">
      <c r="A79">
        <v>1</v>
      </c>
    </row>
    <row r="80" spans="1:6" x14ac:dyDescent="0.25">
      <c r="A80">
        <v>1</v>
      </c>
    </row>
    <row r="81" spans="1:4" x14ac:dyDescent="0.25">
      <c r="A81">
        <v>1</v>
      </c>
    </row>
    <row r="82" spans="1:4" x14ac:dyDescent="0.25">
      <c r="A82">
        <v>1</v>
      </c>
    </row>
    <row r="83" spans="1:4" ht="20.25" x14ac:dyDescent="0.25">
      <c r="A83">
        <v>1</v>
      </c>
      <c r="D83" s="17" t="s">
        <v>33</v>
      </c>
    </row>
    <row r="84" spans="1:4" ht="16.5" x14ac:dyDescent="0.25">
      <c r="A84">
        <v>1</v>
      </c>
      <c r="D84" s="18" t="s">
        <v>34</v>
      </c>
    </row>
    <row r="85" spans="1:4" x14ac:dyDescent="0.25">
      <c r="A85">
        <v>1</v>
      </c>
      <c r="D85" s="12" t="s">
        <v>104</v>
      </c>
    </row>
    <row r="86" spans="1:4" x14ac:dyDescent="0.25">
      <c r="A86">
        <v>1</v>
      </c>
      <c r="D86" s="12" t="s">
        <v>36</v>
      </c>
    </row>
    <row r="87" spans="1:4" x14ac:dyDescent="0.25">
      <c r="A87">
        <v>1</v>
      </c>
    </row>
    <row r="88" spans="1:4" x14ac:dyDescent="0.25">
      <c r="A88">
        <v>1</v>
      </c>
    </row>
    <row r="89" spans="1:4" x14ac:dyDescent="0.25">
      <c r="A89">
        <v>1</v>
      </c>
    </row>
    <row r="90" spans="1:4" x14ac:dyDescent="0.25">
      <c r="A90">
        <v>1</v>
      </c>
    </row>
    <row r="91" spans="1:4" x14ac:dyDescent="0.25">
      <c r="A91">
        <v>1</v>
      </c>
    </row>
    <row r="92" spans="1:4" x14ac:dyDescent="0.25">
      <c r="A92">
        <v>1</v>
      </c>
    </row>
    <row r="93" spans="1:4" x14ac:dyDescent="0.25">
      <c r="A93">
        <v>1</v>
      </c>
    </row>
    <row r="94" spans="1:4" x14ac:dyDescent="0.25">
      <c r="A94">
        <v>1</v>
      </c>
    </row>
    <row r="95" spans="1:4" x14ac:dyDescent="0.25">
      <c r="A95">
        <v>1</v>
      </c>
    </row>
    <row r="96" spans="1:4" x14ac:dyDescent="0.25">
      <c r="A96">
        <v>1</v>
      </c>
    </row>
    <row r="97" spans="1:6" x14ac:dyDescent="0.25">
      <c r="A97">
        <v>1</v>
      </c>
    </row>
    <row r="98" spans="1:6" x14ac:dyDescent="0.25">
      <c r="A98">
        <v>1</v>
      </c>
    </row>
    <row r="99" spans="1:6" x14ac:dyDescent="0.25">
      <c r="A99">
        <v>1</v>
      </c>
    </row>
    <row r="100" spans="1:6" x14ac:dyDescent="0.25">
      <c r="A100">
        <v>1</v>
      </c>
    </row>
    <row r="101" spans="1:6" x14ac:dyDescent="0.25">
      <c r="A101">
        <v>1</v>
      </c>
    </row>
    <row r="102" spans="1:6" x14ac:dyDescent="0.25">
      <c r="A102">
        <v>1</v>
      </c>
    </row>
    <row r="103" spans="1:6" x14ac:dyDescent="0.25">
      <c r="A103">
        <v>1</v>
      </c>
      <c r="E103" t="s">
        <v>27</v>
      </c>
    </row>
    <row r="104" spans="1:6" x14ac:dyDescent="0.25">
      <c r="A104">
        <v>1</v>
      </c>
      <c r="E104" t="s">
        <v>27</v>
      </c>
    </row>
    <row r="105" spans="1:6" x14ac:dyDescent="0.25">
      <c r="A105">
        <v>1</v>
      </c>
      <c r="E105" t="s">
        <v>27</v>
      </c>
    </row>
    <row r="106" spans="1:6" x14ac:dyDescent="0.25">
      <c r="A106">
        <v>1</v>
      </c>
    </row>
    <row r="107" spans="1:6" ht="20.25" x14ac:dyDescent="0.25">
      <c r="A107">
        <v>1</v>
      </c>
      <c r="B107" s="9">
        <v>1</v>
      </c>
      <c r="D107" s="17" t="s">
        <v>37</v>
      </c>
    </row>
    <row r="108" spans="1:6" ht="16.5" x14ac:dyDescent="0.25">
      <c r="A108">
        <v>1</v>
      </c>
      <c r="B108" s="9">
        <v>1</v>
      </c>
      <c r="D108" s="18" t="s">
        <v>38</v>
      </c>
    </row>
    <row r="109" spans="1:6" x14ac:dyDescent="0.25">
      <c r="A109">
        <v>1</v>
      </c>
      <c r="B109" s="9">
        <v>1</v>
      </c>
      <c r="C109" s="9">
        <v>1</v>
      </c>
      <c r="D109" s="13" t="str">
        <f>IF(C109=0,"",F109)</f>
        <v>بعض المندوبين غير ملتزمين بكتابة تفريدة النقدية . ( الأمر مكرر )</v>
      </c>
      <c r="F109" s="13" t="s">
        <v>39</v>
      </c>
    </row>
    <row r="110" spans="1:6" x14ac:dyDescent="0.25">
      <c r="A110">
        <v>1</v>
      </c>
      <c r="C110" s="9">
        <v>1</v>
      </c>
      <c r="D110" s="13" t="str">
        <f t="shared" ref="D110:D126" si="19">IF(C110=0,"",F110)</f>
        <v>يوجد تقصير في ارفاق صور فواتير الجملة في بيان متحصلات الجملة . وتم التأكيد على ضرورة طباعة الفواتير كاملة وارفاقها في بيان المتحصلات .</v>
      </c>
      <c r="F110" s="13" t="s">
        <v>40</v>
      </c>
    </row>
    <row r="111" spans="1:6" x14ac:dyDescent="0.25">
      <c r="A111">
        <v>1</v>
      </c>
      <c r="D111" s="13" t="str">
        <f t="shared" si="19"/>
        <v/>
      </c>
      <c r="F111" s="13" t="s">
        <v>41</v>
      </c>
    </row>
    <row r="112" spans="1:6" x14ac:dyDescent="0.25">
      <c r="A112">
        <v>1</v>
      </c>
      <c r="B112" s="9">
        <v>1</v>
      </c>
      <c r="C112" s="9">
        <v>1</v>
      </c>
      <c r="D112" s="13" t="str">
        <f t="shared" si="19"/>
        <v>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v>
      </c>
      <c r="F112" s="13" t="s">
        <v>42</v>
      </c>
    </row>
    <row r="113" spans="1:6" x14ac:dyDescent="0.25">
      <c r="A113">
        <v>1</v>
      </c>
      <c r="B113" s="9">
        <v>1</v>
      </c>
      <c r="C113" s="9">
        <v>1</v>
      </c>
      <c r="D113" s="13" t="str">
        <f t="shared" si="19"/>
        <v>لا يتم تسجيل التحصيلات على فواتير الاجل من المحاسبين .</v>
      </c>
      <c r="F113" s="13" t="s">
        <v>43</v>
      </c>
    </row>
    <row r="114" spans="1:6" x14ac:dyDescent="0.25">
      <c r="A114">
        <v>1</v>
      </c>
      <c r="B114" s="9">
        <v>1</v>
      </c>
      <c r="C114" s="9">
        <v>1</v>
      </c>
      <c r="D114" s="13" t="str">
        <f t="shared" si="19"/>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c r="F114" s="13" t="s">
        <v>44</v>
      </c>
    </row>
    <row r="115" spans="1:6" x14ac:dyDescent="0.25">
      <c r="A115">
        <v>1</v>
      </c>
      <c r="B115" s="9">
        <v>1</v>
      </c>
      <c r="C115" s="9">
        <v>1</v>
      </c>
      <c r="D115" s="13" t="str">
        <f t="shared" si="19"/>
        <v>لا يتم الالتزام  بطباعة مصادقة المديونية للمندوبين وارسالها على الميل .</v>
      </c>
      <c r="F115" s="13" t="s">
        <v>180</v>
      </c>
    </row>
    <row r="116" spans="1:6" x14ac:dyDescent="0.25">
      <c r="A116">
        <v>1</v>
      </c>
      <c r="B116" s="9">
        <v>1</v>
      </c>
      <c r="C116" s="9">
        <v>1</v>
      </c>
      <c r="D116" s="13" t="str">
        <f t="shared" si="19"/>
        <v xml:space="preserve"> تم التأكيد على ضرورة تسجيل رقم إيصال استلام النقدية بدفتر الخزنه وليس رقم الحركة على البرنامج .</v>
      </c>
      <c r="F116" s="13" t="s">
        <v>46</v>
      </c>
    </row>
    <row r="117" spans="1:6" x14ac:dyDescent="0.25">
      <c r="A117">
        <v>1</v>
      </c>
      <c r="B117" s="9">
        <v>1</v>
      </c>
      <c r="C117" s="9">
        <v>1</v>
      </c>
      <c r="D117" s="13" t="str">
        <f t="shared" si="19"/>
        <v xml:space="preserve"> تم التأكيد على ضرورة التفرقة في تسجيل الشيكات عن الايداعات البنكية في الدفتر من خلال الوصف وليس جمعهم على بعضهم البعض .</v>
      </c>
      <c r="F117" s="13" t="s">
        <v>47</v>
      </c>
    </row>
    <row r="118" spans="1:6" x14ac:dyDescent="0.25">
      <c r="A118">
        <v>1</v>
      </c>
      <c r="B118" s="9">
        <v>1</v>
      </c>
      <c r="C118" s="9">
        <v>1</v>
      </c>
      <c r="D118" s="13" t="str">
        <f t="shared" si="19"/>
        <v xml:space="preserve"> عدم استلام أي بيان متحصلات غير مستوفى البيانات ومطابقة تفريدة النقدية للفعلي .</v>
      </c>
      <c r="F118" s="13" t="s">
        <v>48</v>
      </c>
    </row>
    <row r="119" spans="1:6" x14ac:dyDescent="0.25">
      <c r="A119">
        <v>1</v>
      </c>
      <c r="B119" s="9">
        <v>1</v>
      </c>
      <c r="C119" s="9">
        <v>1</v>
      </c>
      <c r="D119" s="13" t="str">
        <f t="shared" si="19"/>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19" s="13" t="s">
        <v>49</v>
      </c>
    </row>
    <row r="120" spans="1:6" x14ac:dyDescent="0.25">
      <c r="A120">
        <v>1</v>
      </c>
      <c r="B120" s="9">
        <v>1</v>
      </c>
      <c r="C120" s="9">
        <v>1</v>
      </c>
      <c r="D120" s="13" t="str">
        <f t="shared" si="19"/>
        <v xml:space="preserve"> التأكيد على استكمال أرشيف الخزنة . وطباعة الجرد اليومي وارفاقه مع الأرشيف . تم الالتزام .</v>
      </c>
      <c r="F120" s="13" t="s">
        <v>50</v>
      </c>
    </row>
    <row r="121" spans="1:6" x14ac:dyDescent="0.25">
      <c r="A121">
        <v>1</v>
      </c>
      <c r="B121" s="9">
        <v>1</v>
      </c>
      <c r="C121" s="9">
        <v>1</v>
      </c>
      <c r="D121" s="13" t="str">
        <f t="shared" si="19"/>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F121" s="13" t="s">
        <v>51</v>
      </c>
    </row>
    <row r="122" spans="1:6" x14ac:dyDescent="0.25">
      <c r="A122">
        <v>1</v>
      </c>
      <c r="B122" s="9">
        <v>1</v>
      </c>
      <c r="C122" s="9">
        <v>1</v>
      </c>
      <c r="D122" s="13" t="str">
        <f t="shared" si="19"/>
        <v xml:space="preserve"> تمت مراجعة وارد عافيه المرسل للتوكيل</v>
      </c>
      <c r="F122" s="13" t="s">
        <v>162</v>
      </c>
    </row>
    <row r="123" spans="1:6" x14ac:dyDescent="0.25">
      <c r="A123">
        <v>1</v>
      </c>
      <c r="B123" s="9">
        <v>1</v>
      </c>
      <c r="C123" s="9">
        <v>1</v>
      </c>
      <c r="D123" s="13" t="str">
        <f t="shared" si="19"/>
        <v xml:space="preserve"> تمت مراجعة وارد الملكة المرسل للتوكيل حتى تاريخه</v>
      </c>
      <c r="F123" s="13" t="s">
        <v>163</v>
      </c>
    </row>
    <row r="124" spans="1:6" x14ac:dyDescent="0.25">
      <c r="A124">
        <v>1</v>
      </c>
      <c r="B124" s="9">
        <v>1</v>
      </c>
      <c r="C124" s="9">
        <v>1</v>
      </c>
      <c r="D124" s="13" t="str">
        <f t="shared" si="19"/>
        <v xml:space="preserve"> تمت مراجعة ايداعات عافيه حتى تاريخه</v>
      </c>
      <c r="F124" s="13" t="s">
        <v>164</v>
      </c>
    </row>
    <row r="125" spans="1:6" x14ac:dyDescent="0.25">
      <c r="A125">
        <v>1</v>
      </c>
      <c r="B125" s="9">
        <v>1</v>
      </c>
      <c r="C125" s="9">
        <v>1</v>
      </c>
      <c r="D125" s="13" t="str">
        <f t="shared" si="19"/>
        <v xml:space="preserve"> تمت مراجعة ايداعات الملكة حتى تاريخه</v>
      </c>
      <c r="F125" s="13" t="s">
        <v>165</v>
      </c>
    </row>
    <row r="126" spans="1:6" x14ac:dyDescent="0.25">
      <c r="A126">
        <v>1</v>
      </c>
      <c r="B126" s="9">
        <v>1</v>
      </c>
      <c r="C126" s="9">
        <v>1</v>
      </c>
      <c r="D126" s="13" t="str">
        <f t="shared" si="19"/>
        <v xml:space="preserve"> تمت مراجعة التحصيل النقدي والتاكد من التوجيه الصحيح للحركات حتى تاريخه</v>
      </c>
      <c r="F126" s="13" t="s">
        <v>166</v>
      </c>
    </row>
    <row r="127" spans="1:6" x14ac:dyDescent="0.25">
      <c r="A127">
        <v>1</v>
      </c>
    </row>
    <row r="128" spans="1:6" ht="20.25" x14ac:dyDescent="0.25">
      <c r="A128">
        <v>1</v>
      </c>
      <c r="B128" s="9">
        <v>1</v>
      </c>
      <c r="D128" s="26" t="s">
        <v>53</v>
      </c>
    </row>
    <row r="129" spans="1:4" ht="16.5" x14ac:dyDescent="0.25">
      <c r="A129">
        <v>1</v>
      </c>
      <c r="B129" s="9">
        <v>1</v>
      </c>
      <c r="D129" s="17" t="s">
        <v>54</v>
      </c>
    </row>
    <row r="130" spans="1:4" ht="15.75" x14ac:dyDescent="0.25">
      <c r="A130">
        <v>1</v>
      </c>
      <c r="B130" s="9">
        <f t="shared" ref="B130:C130" si="20">B4</f>
        <v>0</v>
      </c>
      <c r="C130" s="9">
        <f t="shared" si="20"/>
        <v>0</v>
      </c>
      <c r="D130" s="28" t="str">
        <f>D4</f>
        <v>توجد بعض البضاعة المرشحة جاري فرزها للوقوف على عددها</v>
      </c>
    </row>
    <row r="131" spans="1:4" ht="15.75" x14ac:dyDescent="0.25">
      <c r="A131">
        <v>1</v>
      </c>
      <c r="B131" s="9">
        <f t="shared" ref="B131:D131" si="21">B5</f>
        <v>0</v>
      </c>
      <c r="C131" s="9">
        <f t="shared" si="21"/>
        <v>0</v>
      </c>
      <c r="D131" s="28" t="str">
        <f t="shared" si="21"/>
        <v>يوجد بضاعة هالك يتم ارتجاعها على جرار الوارد</v>
      </c>
    </row>
    <row r="132" spans="1:4" ht="15.75" x14ac:dyDescent="0.25">
      <c r="A132">
        <v>1</v>
      </c>
      <c r="B132" s="9">
        <f>B6</f>
        <v>1</v>
      </c>
      <c r="C132" s="9">
        <f>C6</f>
        <v>5677.375</v>
      </c>
      <c r="D132" s="28" t="str">
        <f t="shared" ref="D132" si="22">D6</f>
        <v>← يوجد رواكد بالتوكيل بكمية  5677.375 كرتونة وتم ارسال ميل بها لمدير الاقليم للقيام بعمل التحويلات اللازمة للاقاليم الاخرى للانتهاء منها</v>
      </c>
    </row>
    <row r="133" spans="1:4" ht="15.75" x14ac:dyDescent="0.25">
      <c r="A133">
        <v>1</v>
      </c>
      <c r="B133" s="9">
        <v>1</v>
      </c>
      <c r="C133" s="9" t="s">
        <v>105</v>
      </c>
      <c r="D133" s="28" t="str">
        <f t="shared" ref="D133:D139" si="23">D151</f>
        <v>← مساحة المخزن لا تكفي لحجم اعمال التوكيل ويتم رص بضاعة للعافيه بمخزن الملكة لعدم وجود مساحة كافية.</v>
      </c>
    </row>
    <row r="134" spans="1:4" ht="15.75" x14ac:dyDescent="0.25">
      <c r="A134">
        <v>1</v>
      </c>
      <c r="B134" s="9">
        <v>1</v>
      </c>
      <c r="C134" s="9" t="s">
        <v>105</v>
      </c>
      <c r="D134" s="28" t="str">
        <f t="shared" si="23"/>
        <v>← الأصناف بالمخزنين غير مرتبة وفقا للحجم والنوع وتم التأكيد على سرعة الانتها ء من ترتيب البضاعة وذلك بسبب صغر حجم المخزن مقارنة بالشحن .</v>
      </c>
    </row>
    <row r="135" spans="1:4" ht="15.75" x14ac:dyDescent="0.25">
      <c r="A135">
        <v>1</v>
      </c>
      <c r="B135" s="9">
        <v>1</v>
      </c>
      <c r="C135" s="9" t="s">
        <v>105</v>
      </c>
      <c r="D135" s="28" t="str">
        <f t="shared" si="23"/>
        <v>← ارتفاع درجات الحرارة بالمخزنين مما قد يؤثر سلبا على البضاعة المتواجدة بالمخزن من جهة السوس او الترشيح</v>
      </c>
    </row>
    <row r="136" spans="1:4" ht="15.75" x14ac:dyDescent="0.25">
      <c r="A136">
        <v>1</v>
      </c>
      <c r="B136" s="9">
        <v>1</v>
      </c>
      <c r="C136" s="9" t="s">
        <v>105</v>
      </c>
      <c r="D136" s="28" t="str">
        <f t="shared" si="23"/>
        <v xml:space="preserve">← تم ابعاد البضاعة عن الحائط في المخزنين </v>
      </c>
    </row>
    <row r="137" spans="1:4" ht="15.75" x14ac:dyDescent="0.25">
      <c r="A137">
        <v>1</v>
      </c>
      <c r="B137" s="9">
        <v>1</v>
      </c>
      <c r="C137" s="9" t="s">
        <v>105</v>
      </c>
      <c r="D137" s="28" t="str">
        <f t="shared" si="23"/>
        <v>← لا يوجد شفاطات بالمخزن مما أدى إلى ارتفاع درجات الحرارة</v>
      </c>
    </row>
    <row r="138" spans="1:4" ht="15.75" x14ac:dyDescent="0.25">
      <c r="A138">
        <v>1</v>
      </c>
      <c r="B138" s="9">
        <v>1</v>
      </c>
      <c r="C138" s="9" t="s">
        <v>105</v>
      </c>
      <c r="D138" s="28" t="str">
        <f t="shared" si="23"/>
        <v>← لا توجد طفايات حريق بالمخزنين .</v>
      </c>
    </row>
    <row r="139" spans="1:4" ht="15.75" x14ac:dyDescent="0.25">
      <c r="A139">
        <v>1</v>
      </c>
      <c r="B139" s="9">
        <v>1</v>
      </c>
      <c r="C139" s="9" t="s">
        <v>105</v>
      </c>
      <c r="D139" s="28" t="str">
        <f t="shared" si="23"/>
        <v>← وجود أتربة على بعض المنتجات .</v>
      </c>
    </row>
    <row r="140" spans="1:4" ht="15.75" x14ac:dyDescent="0.25">
      <c r="A140">
        <v>1</v>
      </c>
      <c r="B140" s="9">
        <v>1</v>
      </c>
      <c r="C140" s="9" t="s">
        <v>105</v>
      </c>
      <c r="D140" s="28" t="s">
        <v>167</v>
      </c>
    </row>
    <row r="141" spans="1:4" ht="15.75" x14ac:dyDescent="0.25">
      <c r="A141">
        <v>1</v>
      </c>
      <c r="B141" s="9">
        <v>1</v>
      </c>
      <c r="D141" s="28" t="s">
        <v>168</v>
      </c>
    </row>
    <row r="142" spans="1:4" ht="15.75" x14ac:dyDescent="0.25">
      <c r="A142">
        <v>1</v>
      </c>
      <c r="B142" s="9">
        <v>1</v>
      </c>
      <c r="D142" s="42" t="s">
        <v>169</v>
      </c>
    </row>
    <row r="143" spans="1:4" ht="15.75" x14ac:dyDescent="0.25">
      <c r="A143">
        <v>1</v>
      </c>
      <c r="D143" s="42"/>
    </row>
    <row r="144" spans="1:4" ht="18.75" x14ac:dyDescent="0.35">
      <c r="A144">
        <v>1</v>
      </c>
      <c r="B144" s="9">
        <v>1</v>
      </c>
      <c r="D144" s="29" t="s">
        <v>61</v>
      </c>
    </row>
    <row r="145" spans="1:4" x14ac:dyDescent="0.25">
      <c r="A145">
        <v>1</v>
      </c>
      <c r="D145" s="13" t="str">
        <f>D4</f>
        <v>توجد بعض البضاعة المرشحة جاري فرزها للوقوف على عددها</v>
      </c>
    </row>
    <row r="146" spans="1:4" x14ac:dyDescent="0.25">
      <c r="A146">
        <v>1</v>
      </c>
      <c r="B146" s="9">
        <f t="shared" ref="B146" si="24">IF(C146&gt;0,1,0)</f>
        <v>0</v>
      </c>
      <c r="C146" s="9">
        <f t="shared" ref="C146" si="25">C4</f>
        <v>0</v>
      </c>
      <c r="D146" s="13" t="str">
        <f t="shared" ref="D146:D148" si="26">D5</f>
        <v>يوجد بضاعة هالك يتم ارتجاعها على جرار الوارد</v>
      </c>
    </row>
    <row r="147" spans="1:4" x14ac:dyDescent="0.25">
      <c r="A147">
        <v>1</v>
      </c>
      <c r="B147" s="9">
        <f t="shared" ref="B147" si="27">IF(C147&gt;0,1,0)</f>
        <v>0</v>
      </c>
      <c r="C147" s="9">
        <f>C5</f>
        <v>0</v>
      </c>
      <c r="D147" s="13" t="str">
        <f t="shared" si="26"/>
        <v>← يوجد رواكد بالتوكيل بكمية  5677.375 كرتونة وتم ارسال ميل بها لمدير الاقليم للقيام بعمل التحويلات اللازمة للاقاليم الاخرى للانتهاء منها</v>
      </c>
    </row>
    <row r="148" spans="1:4" x14ac:dyDescent="0.25">
      <c r="A148">
        <v>1</v>
      </c>
      <c r="B148" s="9">
        <f t="shared" ref="B148" si="28">IF(C148&gt;0,1,0)</f>
        <v>1</v>
      </c>
      <c r="C148" s="9">
        <f t="shared" ref="C148" si="29">C6</f>
        <v>5677.375</v>
      </c>
      <c r="D148" s="13" t="str">
        <f t="shared" si="26"/>
        <v xml:space="preserve">الملكة شيوي لسان 400 جم - عدد 640  -  متبقي على الانتهاء  11 شهر   ;  الملكة شيوي إسباجتي 400 جم - عدد 510  -  متبقي على الانتهاء  13 شهر   ;  الملكة شيوي شعريه 400 جم - عدد 2720  -  متبقي على الانتهاء  13 شهر   ;  الملكة شيوي فرن 400 جم - عدد 2100  -  متبقي على الانتهاء  13 شهر   ;  جنة 11 كجم صفيح  شكل جديد (ال س.ب.م/ كجم ) - عدد 28  -  متبقي على الانتهاء  13 شهر   ;  الملكة شيوي إسباجتي 400 جم - عدد 1520  -  متبقي على الانتهاء  14 شهر   ;  الملكة شيوي شعريه 400 جم - عدد 580  -  متبقي على الانتهاء  14 شهر   ;  الملكة شيوي فرن 400 جم - عدد 3900  -  متبقي على الانتهاء  14 شهر   ;  الملكة شيوي لسان 400 جم - عدد 2040  -  متبقي على الانتهاء  14 شهر   ;  الملكة شيوي مرمرية 400 جم - عدد 600  -  متبقي على الانتهاء  14 شهر   ;  الملكة شيوي هلاليه 400 جم - عدد 3260  -  متبقي على الانتهاء  14 شهر   ;  جنة 2.5 كجم * 4 - سهلة الفتح - عدد 12  -  متبقي على الانتهاء  15 شهر   ;  روابى 11 كجم صفيح - شكل جديد (ال س.ب.م/ كجم) - عدد 35  -  متبقي على الانتهاء  15 شهر   ;  الشمس الذهبية أبيض 1.3 كجم *6 برطمان - عدد 2442  -  متبقي على الانتهاء  16 شهر   ;  الشمس الذهبية أصفر 1.3 كجم *6 برطمان - عدد 1080  -  متبقي على الانتهاء  16 شهر   ;  جنة 4.25 كجم صفيح  - شكل جديد - عدد 213  -  متبقي على الانتهاء  16 شهر   ;  الشمس الذهبية أصفر 1.45 كجم * 4 باكت - عدد 4  -  متبقي على الانتهاء  17 شهر   ;  الطاهي أبيض 1.3 كجم *6 برطمان - عدد 762  -  متبقي على الانتهاء  17 شهر   ;  الطاهي أصفر 1.3 كجم *6 برطمان - عدد 2844  -  متبقي على الانتهاء  17 شهر   ;  جنة 1.5 كجم *4 - شكل جَديدُ - عدد 324  -  متبقي على الانتهاء  17 شهر   ;  جنة 4.25 كجم صفيح  - شكل جديد - عدد 99  -  متبقي على الانتهاء  18 شهر   ;  روابى 0.700 كجم *8 - جديد - عدد 2688  -  متبقي على الانتهاء  18 شهر   ;  روابى ظرف 50 جم *32 كيس - شكل جديد - عدد 224  -  متبقي على الانتهاء  18 شهر   ;  روابي 1.5 كجم *4 - شكل جَديدُ - عدد 28  -  متبقي على الانتهاء  18 شهر   ;  جنة 0.700 كجم *8 - المِرملة  - جديد - عدد 328  -  متبقي على الانتهاء  19 شهر   ;  روابى 0.700 كجم *8 - جديد - عدد 1424  -  متبقي على الانتهاء  19 شهر   ;  روابى 11 كجم صفيح - شكل جديد (ال س.ب.م/ كجم) - عدد 463  -  متبقي على الانتهاء  19 شهر   ;  روابى ظرف 50 جم *32 كيس - شكل جديد - عدد 3200  -  متبقي على الانتهاء  19 شهر   ;  روابي 1.5 كجم *4 - شكل جَديدُ - عدد 2044  -  متبقي على الانتهاء  19 شهر   ;  عافية تونة قطعة واحدة في زيت عباد الشمس 185جم * 48 - عدد 4046.000016  -  متبقي على الانتهاء  19 شهر   ;  عافية تونة قطع في زيت عباد الشمس 185جم * 48 - عدد 4539.999984  -  متبقي على الانتهاء  19 شهر   ;  الملكة شيوي خواتم 400 جم - عدد 1340  -  متبقي على الانتهاء  20 شهر   ;  جنة 11 كجم صفيح  شكل جديد (ال س.ب.م/ كجم ) - عدد 1025  -  متبقي على الانتهاء  20 شهر   ;  جنة 1.5 كجم * 4 -المِرملة شكل جديد - عدد 156  -  متبقي على الانتهاء  20 شهر   ;  روابي 1.5 كجم *4 - شكل جَديدُ - عدد 384  -  متبقي على الانتهاء  20 شهر   ;  روابى 2.5 كجم * 4 - سهلة الفتح - عدد 348  -  متبقي على الانتهاء  21 شهر </v>
      </c>
    </row>
    <row r="149" spans="1:4" ht="15.75" x14ac:dyDescent="0.25">
      <c r="A149">
        <v>1</v>
      </c>
      <c r="B149" s="9">
        <v>1</v>
      </c>
      <c r="D149" s="42" t="s">
        <v>106</v>
      </c>
    </row>
    <row r="150" spans="1:4" ht="15.75" x14ac:dyDescent="0.25">
      <c r="A150">
        <v>1</v>
      </c>
      <c r="B150" s="9">
        <v>1</v>
      </c>
      <c r="D150" s="42" t="s">
        <v>107</v>
      </c>
    </row>
    <row r="151" spans="1:4" ht="15.75" x14ac:dyDescent="0.25">
      <c r="A151">
        <v>1</v>
      </c>
      <c r="B151" s="9">
        <v>1</v>
      </c>
      <c r="D151" s="42" t="s">
        <v>108</v>
      </c>
    </row>
    <row r="152" spans="1:4" ht="15.75" x14ac:dyDescent="0.25">
      <c r="A152">
        <v>1</v>
      </c>
      <c r="B152" s="9">
        <v>1</v>
      </c>
      <c r="D152" s="42" t="s">
        <v>109</v>
      </c>
    </row>
    <row r="153" spans="1:4" ht="15.75" x14ac:dyDescent="0.25">
      <c r="A153">
        <v>1</v>
      </c>
      <c r="B153" s="9">
        <v>1</v>
      </c>
      <c r="D153" s="42" t="s">
        <v>110</v>
      </c>
    </row>
    <row r="154" spans="1:4" ht="15.75" x14ac:dyDescent="0.25">
      <c r="A154">
        <v>1</v>
      </c>
      <c r="B154" s="9">
        <v>1</v>
      </c>
      <c r="D154" s="42" t="s">
        <v>111</v>
      </c>
    </row>
    <row r="155" spans="1:4" ht="15.75" x14ac:dyDescent="0.25">
      <c r="A155">
        <v>1</v>
      </c>
      <c r="B155" s="9">
        <v>1</v>
      </c>
      <c r="D155" s="42" t="s">
        <v>112</v>
      </c>
    </row>
    <row r="156" spans="1:4" ht="15.75" x14ac:dyDescent="0.25">
      <c r="A156">
        <v>1</v>
      </c>
      <c r="B156" s="9">
        <v>1</v>
      </c>
      <c r="D156" s="42" t="s">
        <v>113</v>
      </c>
    </row>
    <row r="157" spans="1:4" ht="15.75" x14ac:dyDescent="0.25">
      <c r="A157">
        <v>1</v>
      </c>
      <c r="B157" s="9">
        <v>1</v>
      </c>
      <c r="D157" s="42" t="s">
        <v>114</v>
      </c>
    </row>
    <row r="158" spans="1:4" ht="15.75" x14ac:dyDescent="0.25">
      <c r="A158">
        <v>1</v>
      </c>
      <c r="B158" s="9">
        <v>1</v>
      </c>
      <c r="D158" s="42" t="s">
        <v>169</v>
      </c>
    </row>
    <row r="159" spans="1:4" ht="15.75" x14ac:dyDescent="0.25">
      <c r="A159">
        <v>1</v>
      </c>
      <c r="D159" s="28"/>
    </row>
    <row r="160" spans="1:4" ht="15.75" x14ac:dyDescent="0.25">
      <c r="A160">
        <v>1</v>
      </c>
      <c r="D160" s="28"/>
    </row>
    <row r="161" spans="1:4" ht="15.75" x14ac:dyDescent="0.25">
      <c r="A161">
        <v>1</v>
      </c>
      <c r="D161" s="28"/>
    </row>
    <row r="162" spans="1:4" ht="15.75" x14ac:dyDescent="0.25">
      <c r="A162">
        <v>1</v>
      </c>
      <c r="D162" s="28"/>
    </row>
    <row r="163" spans="1:4" ht="15.75" x14ac:dyDescent="0.25">
      <c r="A163">
        <v>1</v>
      </c>
      <c r="D163" s="28"/>
    </row>
    <row r="164" spans="1:4" x14ac:dyDescent="0.25">
      <c r="A164">
        <v>1</v>
      </c>
    </row>
    <row r="165" spans="1:4" x14ac:dyDescent="0.25">
      <c r="A165">
        <v>1</v>
      </c>
    </row>
    <row r="166" spans="1:4" x14ac:dyDescent="0.25">
      <c r="A166">
        <v>1</v>
      </c>
    </row>
    <row r="167" spans="1:4" x14ac:dyDescent="0.25">
      <c r="A167">
        <v>1</v>
      </c>
    </row>
    <row r="168" spans="1:4" ht="18.75" x14ac:dyDescent="0.35">
      <c r="A168">
        <v>1</v>
      </c>
      <c r="B168" s="9">
        <v>1</v>
      </c>
      <c r="D168" s="29" t="s">
        <v>62</v>
      </c>
    </row>
    <row r="169" spans="1:4" x14ac:dyDescent="0.25">
      <c r="A169">
        <v>1</v>
      </c>
      <c r="B169" s="9">
        <f t="shared" ref="B169:C170" si="30">B24</f>
        <v>0</v>
      </c>
      <c r="C169" s="9">
        <f t="shared" si="30"/>
        <v>0</v>
      </c>
      <c r="D169" s="13" t="str">
        <f t="shared" ref="D169:D178" si="31">IF(D23=0,"",D23)</f>
        <v>لا يوجد انحراف مالي بالتوكيل</v>
      </c>
    </row>
    <row r="170" spans="1:4" x14ac:dyDescent="0.25">
      <c r="A170">
        <v>1</v>
      </c>
      <c r="B170" s="9">
        <f t="shared" si="30"/>
        <v>0</v>
      </c>
      <c r="C170" s="9">
        <f t="shared" si="30"/>
        <v>0</v>
      </c>
      <c r="D170" s="13" t="str">
        <f t="shared" si="31"/>
        <v/>
      </c>
    </row>
    <row r="171" spans="1:4" x14ac:dyDescent="0.25">
      <c r="A171">
        <v>1</v>
      </c>
      <c r="D171" s="13" t="str">
        <f t="shared" si="31"/>
        <v/>
      </c>
    </row>
    <row r="172" spans="1:4" x14ac:dyDescent="0.25">
      <c r="A172">
        <v>1</v>
      </c>
      <c r="D172" s="13" t="str">
        <f t="shared" si="31"/>
        <v/>
      </c>
    </row>
    <row r="173" spans="1:4" x14ac:dyDescent="0.25">
      <c r="A173">
        <v>1</v>
      </c>
      <c r="B173" s="9">
        <v>1</v>
      </c>
      <c r="D173" s="13" t="str">
        <f t="shared" si="31"/>
        <v/>
      </c>
    </row>
    <row r="174" spans="1:4" x14ac:dyDescent="0.25">
      <c r="A174">
        <v>1</v>
      </c>
      <c r="B174" s="9">
        <v>1</v>
      </c>
      <c r="D174" s="13" t="str">
        <f t="shared" si="31"/>
        <v/>
      </c>
    </row>
    <row r="175" spans="1:4" x14ac:dyDescent="0.25">
      <c r="A175">
        <v>1</v>
      </c>
      <c r="B175" s="9">
        <v>1</v>
      </c>
      <c r="D175" s="13" t="str">
        <f t="shared" si="31"/>
        <v/>
      </c>
    </row>
    <row r="176" spans="1:4" x14ac:dyDescent="0.25">
      <c r="A176">
        <v>1</v>
      </c>
      <c r="B176" s="9">
        <v>1</v>
      </c>
      <c r="D176" s="13" t="str">
        <f t="shared" si="31"/>
        <v/>
      </c>
    </row>
    <row r="177" spans="1:6" x14ac:dyDescent="0.25">
      <c r="A177">
        <v>1</v>
      </c>
      <c r="B177" s="9">
        <v>1</v>
      </c>
      <c r="D177" s="13" t="str">
        <f t="shared" si="31"/>
        <v xml:space="preserve">← تمت مراجعة الايداعات التي تم اثباتها بالمالية حتى اليوم   </v>
      </c>
    </row>
    <row r="178" spans="1:6" x14ac:dyDescent="0.25">
      <c r="A178">
        <v>1</v>
      </c>
      <c r="B178" s="9">
        <v>1</v>
      </c>
      <c r="D178" s="13" t="str">
        <f t="shared" si="31"/>
        <v/>
      </c>
    </row>
    <row r="179" spans="1:6" x14ac:dyDescent="0.25">
      <c r="A179">
        <v>1</v>
      </c>
      <c r="B179" s="9">
        <v>1</v>
      </c>
      <c r="D179" s="13" t="str">
        <f>IF(D33=0,"",D33)</f>
        <v/>
      </c>
    </row>
    <row r="180" spans="1:6" ht="15.75" x14ac:dyDescent="0.25">
      <c r="A180">
        <v>1</v>
      </c>
      <c r="B180" s="9">
        <v>1</v>
      </c>
      <c r="C180" s="9">
        <v>1</v>
      </c>
      <c r="D180" s="13" t="str">
        <f>IF(C180=1,F180,"")</f>
        <v>·         تم التأكيد على ضرورة تسجيل رقم إيصال استلام النقدية بدفتر الخزنه وليس رقم الحركة على البرنامج .</v>
      </c>
      <c r="F180" s="34" t="s">
        <v>63</v>
      </c>
    </row>
    <row r="181" spans="1:6" ht="15.75" x14ac:dyDescent="0.25">
      <c r="A181">
        <v>1</v>
      </c>
      <c r="B181" s="9">
        <v>1</v>
      </c>
      <c r="C181" s="9">
        <v>1</v>
      </c>
      <c r="D181" s="13" t="str">
        <f t="shared" ref="D181:D188" si="32">IF(C181=1,F181,"")</f>
        <v>·         تم التأكيد على ضرورة التفرقة في تسجيل الشيكات عن الايداعات البنكية في الدفتر من خلال الوصف وليس جمعهم على بعضهم البعض .</v>
      </c>
      <c r="F181" s="34" t="s">
        <v>64</v>
      </c>
    </row>
    <row r="182" spans="1:6" ht="15.75" x14ac:dyDescent="0.25">
      <c r="A182">
        <v>1</v>
      </c>
      <c r="C182" s="9">
        <v>1</v>
      </c>
      <c r="D182" s="13" t="str">
        <f t="shared" si="32"/>
        <v>·         عدم استلام أي بيان متحصلات غير مستوفى البيانات ومطابقة تفريدة النقدية للفعلي .</v>
      </c>
      <c r="F182" s="34" t="s">
        <v>65</v>
      </c>
    </row>
    <row r="183" spans="1:6" ht="15.75" x14ac:dyDescent="0.25">
      <c r="A183">
        <v>1</v>
      </c>
      <c r="C183" s="9">
        <v>1</v>
      </c>
      <c r="D183" s="13" t="str">
        <f t="shared" si="32"/>
        <v>·         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F183" s="34" t="s">
        <v>66</v>
      </c>
    </row>
    <row r="184" spans="1:6" ht="15.75" x14ac:dyDescent="0.25">
      <c r="A184">
        <v>1</v>
      </c>
      <c r="C184" s="9">
        <v>1</v>
      </c>
      <c r="D184" s="13" t="str">
        <f t="shared" si="32"/>
        <v>·         التأكيد على استكمال أرشيف الخزنة . وطباعة الجرد اليومي وارفاقه مع الأرشيف . تم الالتزام .</v>
      </c>
      <c r="F184" s="34" t="s">
        <v>67</v>
      </c>
    </row>
    <row r="185" spans="1:6" ht="15.75" x14ac:dyDescent="0.25">
      <c r="A185">
        <v>1</v>
      </c>
      <c r="C185" s="9">
        <v>1</v>
      </c>
      <c r="D185" s="13" t="str">
        <f t="shared" si="32"/>
        <v>·         تم التأكيد على ضرورة التسجيل في الدفتر وفقا للتوريد الفعلي للمندوب وعدم استلام أي مبالغ لم يتم توريدها إلى الخزنه .</v>
      </c>
      <c r="F185" s="34" t="s">
        <v>70</v>
      </c>
    </row>
    <row r="186" spans="1:6" ht="15.75" x14ac:dyDescent="0.25">
      <c r="A186">
        <v>1</v>
      </c>
      <c r="C186" s="9">
        <v>1</v>
      </c>
      <c r="D186" s="13" t="str">
        <f t="shared" si="32"/>
        <v>·         يتم استلام بعض النقدية مساءا على البرنامج في حين يتم استلامها فعليا في الخزنه ، وذلك يظهر بوضوح اثناء قيام امين الخزنه بعد مبالغ نقدية من الخزنه صباحا لأول مرة . وذلك بعلم من مدير الإقليم .</v>
      </c>
      <c r="F186" s="34" t="s">
        <v>115</v>
      </c>
    </row>
    <row r="187" spans="1:6" ht="15.75" x14ac:dyDescent="0.25">
      <c r="A187">
        <v>1</v>
      </c>
      <c r="C187" s="9">
        <v>1</v>
      </c>
      <c r="D187" s="13" t="str">
        <f t="shared" si="32"/>
        <v>·         تم شراء  خزنه حديدية بالتوكيل . وفي حالة وجود فلوس كثيرة يتم وضع الفلوس في الدولاب ..</v>
      </c>
      <c r="F187" s="34" t="s">
        <v>181</v>
      </c>
    </row>
    <row r="188" spans="1:6" ht="15.75" x14ac:dyDescent="0.25">
      <c r="A188">
        <v>1</v>
      </c>
      <c r="C188" s="9">
        <v>1</v>
      </c>
      <c r="D188" s="13" t="str">
        <f t="shared" si="32"/>
        <v>·         يتم ترك كامل الخزنة بغرفة امين الخزنه بالتوكيل داخل الخزنه الجديدة ولا يتم تسليمها للموزع بنهاية عمل اليوم . مع العلم ان المنطقة التي بها التوكيل هي منطقة زراعية وبها العديد من التوكيلات التجارية وفي منطقة غير مأهولة بالسكان . مما قد يعرضها للسرقة .</v>
      </c>
      <c r="F188" s="34" t="s">
        <v>175</v>
      </c>
    </row>
    <row r="189" spans="1:6" ht="18.75" x14ac:dyDescent="0.35">
      <c r="A189">
        <v>1</v>
      </c>
      <c r="B189" s="9">
        <v>1</v>
      </c>
      <c r="D189" s="29" t="s">
        <v>73</v>
      </c>
    </row>
    <row r="190" spans="1:6" x14ac:dyDescent="0.25">
      <c r="A190">
        <v>1</v>
      </c>
      <c r="B190" s="9">
        <f t="shared" ref="B190:C200" si="33">B36</f>
        <v>1</v>
      </c>
      <c r="C190" s="9">
        <f t="shared" si="33"/>
        <v>0</v>
      </c>
      <c r="D190" s="12" t="str">
        <f>IF(D36=0,"",D36)</f>
        <v>إجمالي مديونية التوكيل مبلغ 12,142,707.75 ج</v>
      </c>
    </row>
    <row r="191" spans="1:6" x14ac:dyDescent="0.25">
      <c r="A191">
        <v>1</v>
      </c>
      <c r="B191" s="9" t="e">
        <f t="shared" si="33"/>
        <v>#N/A</v>
      </c>
      <c r="C191" s="9">
        <f t="shared" si="33"/>
        <v>0</v>
      </c>
      <c r="D191" s="12" t="str">
        <f t="shared" ref="D191:D213" si="34">IF(D37=0,"",D37)</f>
        <v/>
      </c>
    </row>
    <row r="192" spans="1:6" x14ac:dyDescent="0.25">
      <c r="A192">
        <v>1</v>
      </c>
      <c r="B192" s="9">
        <f t="shared" si="33"/>
        <v>1</v>
      </c>
      <c r="C192" s="9">
        <f t="shared" si="33"/>
        <v>0</v>
      </c>
      <c r="D192" s="12" t="str">
        <f t="shared" si="34"/>
        <v/>
      </c>
    </row>
    <row r="193" spans="1:4" x14ac:dyDescent="0.25">
      <c r="A193">
        <v>1</v>
      </c>
      <c r="B193" s="9">
        <f t="shared" si="33"/>
        <v>1</v>
      </c>
      <c r="C193" s="9">
        <f t="shared" si="33"/>
        <v>0</v>
      </c>
      <c r="D193" s="12" t="str">
        <f t="shared" si="34"/>
        <v>← متاخرات المديونية     مبلغ  9,982,431.81 ج بنسبة 82%</v>
      </c>
    </row>
    <row r="194" spans="1:4" x14ac:dyDescent="0.25">
      <c r="A194">
        <v>1</v>
      </c>
      <c r="B194" s="9">
        <f t="shared" si="33"/>
        <v>0</v>
      </c>
      <c r="C194" s="9">
        <f t="shared" si="33"/>
        <v>0</v>
      </c>
      <c r="D194" s="12" t="str">
        <f t="shared" si="34"/>
        <v/>
      </c>
    </row>
    <row r="195" spans="1:4" x14ac:dyDescent="0.25">
      <c r="A195">
        <v>1</v>
      </c>
      <c r="B195" s="9">
        <f t="shared" si="33"/>
        <v>1</v>
      </c>
      <c r="C195" s="9">
        <f t="shared" si="33"/>
        <v>0</v>
      </c>
      <c r="D195" s="12" t="str">
        <f t="shared" si="34"/>
        <v>← 61 : 120 Days     مبلغ  2,853,804.20 ج بنسبة 24%</v>
      </c>
    </row>
    <row r="196" spans="1:4" x14ac:dyDescent="0.25">
      <c r="A196">
        <v>1</v>
      </c>
      <c r="B196" s="9">
        <f t="shared" si="33"/>
        <v>1</v>
      </c>
      <c r="C196" s="9">
        <f t="shared" si="33"/>
        <v>0</v>
      </c>
      <c r="D196" s="12" t="str">
        <f t="shared" si="34"/>
        <v>← 31 : 60 Days     مبلغ  2,172,584.00 ج بنسبة 18%</v>
      </c>
    </row>
    <row r="197" spans="1:4" x14ac:dyDescent="0.25">
      <c r="A197">
        <v>1</v>
      </c>
      <c r="B197" s="9">
        <f t="shared" si="33"/>
        <v>1</v>
      </c>
      <c r="C197" s="9">
        <f t="shared" si="33"/>
        <v>0</v>
      </c>
      <c r="D197" s="12" t="str">
        <f t="shared" si="34"/>
        <v>← 21 : 30 Days     مبلغ  0,824,000.00 ج بنسبة 7%</v>
      </c>
    </row>
    <row r="198" spans="1:4" x14ac:dyDescent="0.25">
      <c r="A198">
        <v>1</v>
      </c>
      <c r="B198" s="9">
        <f t="shared" si="33"/>
        <v>1</v>
      </c>
      <c r="C198" s="9">
        <f t="shared" si="33"/>
        <v>0</v>
      </c>
      <c r="D198" s="12" t="str">
        <f t="shared" si="34"/>
        <v>← 11 : 20 Days     مبلغ  1,894,008.54 ج بنسبة 16%</v>
      </c>
    </row>
    <row r="199" spans="1:4" x14ac:dyDescent="0.25">
      <c r="A199">
        <v>1</v>
      </c>
      <c r="B199" s="9">
        <f t="shared" si="33"/>
        <v>1</v>
      </c>
      <c r="C199" s="9">
        <f t="shared" si="33"/>
        <v>0</v>
      </c>
      <c r="D199" s="12" t="str">
        <f t="shared" si="34"/>
        <v>← 1 : 10 Days     مبلغ  2,238,035.07 ج بنسبة 18%</v>
      </c>
    </row>
    <row r="200" spans="1:4" x14ac:dyDescent="0.25">
      <c r="A200">
        <v>1</v>
      </c>
      <c r="B200" s="9">
        <f t="shared" si="33"/>
        <v>0</v>
      </c>
      <c r="C200" s="9">
        <f t="shared" si="33"/>
        <v>0</v>
      </c>
      <c r="D200" s="12" t="str">
        <f t="shared" si="34"/>
        <v>← Not Due     مبلغ  10,386,991.92 ج بنسبة 86%</v>
      </c>
    </row>
    <row r="201" spans="1:4" x14ac:dyDescent="0.25">
      <c r="A201">
        <v>1</v>
      </c>
      <c r="B201" s="9">
        <f t="shared" ref="B201:C209" si="35">B54</f>
        <v>0</v>
      </c>
      <c r="C201" s="9">
        <f t="shared" si="35"/>
        <v>0</v>
      </c>
      <c r="D201" s="12" t="str">
        <f t="shared" si="34"/>
        <v/>
      </c>
    </row>
    <row r="202" spans="1:4" x14ac:dyDescent="0.25">
      <c r="A202">
        <v>1</v>
      </c>
      <c r="B202" s="9">
        <f t="shared" si="35"/>
        <v>0</v>
      </c>
      <c r="C202" s="9">
        <f t="shared" si="35"/>
        <v>0</v>
      </c>
      <c r="D202" s="12" t="str">
        <f t="shared" si="34"/>
        <v/>
      </c>
    </row>
    <row r="203" spans="1:4" x14ac:dyDescent="0.25">
      <c r="A203">
        <v>1</v>
      </c>
      <c r="B203" s="9">
        <f t="shared" si="35"/>
        <v>0</v>
      </c>
      <c r="C203" s="9">
        <f t="shared" si="35"/>
        <v>0</v>
      </c>
      <c r="D203" s="12" t="str">
        <f t="shared" si="34"/>
        <v/>
      </c>
    </row>
    <row r="204" spans="1:4" x14ac:dyDescent="0.25">
      <c r="A204">
        <v>1</v>
      </c>
      <c r="B204" s="9">
        <f t="shared" si="35"/>
        <v>0</v>
      </c>
      <c r="C204" s="9">
        <f t="shared" si="35"/>
        <v>0</v>
      </c>
      <c r="D204" s="12" t="str">
        <f t="shared" si="34"/>
        <v/>
      </c>
    </row>
    <row r="205" spans="1:4" x14ac:dyDescent="0.25">
      <c r="A205">
        <v>1</v>
      </c>
      <c r="B205" s="9">
        <f t="shared" si="35"/>
        <v>0</v>
      </c>
      <c r="C205" s="9">
        <f t="shared" si="35"/>
        <v>0</v>
      </c>
      <c r="D205" s="12" t="str">
        <f t="shared" si="34"/>
        <v/>
      </c>
    </row>
    <row r="206" spans="1:4" x14ac:dyDescent="0.25">
      <c r="A206">
        <v>1</v>
      </c>
      <c r="B206" s="9">
        <f t="shared" si="35"/>
        <v>0</v>
      </c>
      <c r="C206" s="9">
        <f t="shared" si="35"/>
        <v>0</v>
      </c>
      <c r="D206" s="12" t="str">
        <f t="shared" si="34"/>
        <v/>
      </c>
    </row>
    <row r="207" spans="1:4" x14ac:dyDescent="0.25">
      <c r="A207">
        <v>1</v>
      </c>
      <c r="B207" s="9">
        <f t="shared" si="35"/>
        <v>0</v>
      </c>
      <c r="C207" s="9">
        <f t="shared" si="35"/>
        <v>0</v>
      </c>
      <c r="D207" s="12" t="str">
        <f t="shared" si="34"/>
        <v/>
      </c>
    </row>
    <row r="208" spans="1:4" x14ac:dyDescent="0.25">
      <c r="A208">
        <v>1</v>
      </c>
      <c r="B208" s="9">
        <f t="shared" si="35"/>
        <v>1</v>
      </c>
      <c r="C208" s="9">
        <f t="shared" si="35"/>
        <v>0</v>
      </c>
      <c r="D208" s="12" t="str">
        <f t="shared" si="34"/>
        <v/>
      </c>
    </row>
    <row r="209" spans="1:4" x14ac:dyDescent="0.25">
      <c r="A209">
        <v>1</v>
      </c>
      <c r="B209" s="9">
        <f t="shared" si="35"/>
        <v>0</v>
      </c>
      <c r="C209" s="9">
        <f t="shared" si="35"/>
        <v>0</v>
      </c>
      <c r="D209" s="12" t="str">
        <f t="shared" si="34"/>
        <v xml:space="preserve"> - يتم ارسال ميل يومي بمديونية الموزع ومتأخراتها للمتابعة مع مدير الاقليم</v>
      </c>
    </row>
    <row r="210" spans="1:4" x14ac:dyDescent="0.25">
      <c r="A210">
        <v>1</v>
      </c>
      <c r="D210" s="12" t="str">
        <f t="shared" si="34"/>
        <v/>
      </c>
    </row>
    <row r="211" spans="1:4" x14ac:dyDescent="0.25">
      <c r="A211">
        <v>1</v>
      </c>
      <c r="D211" s="12" t="str">
        <f t="shared" si="34"/>
        <v/>
      </c>
    </row>
    <row r="212" spans="1:4" x14ac:dyDescent="0.25">
      <c r="A212">
        <v>1</v>
      </c>
      <c r="D212" s="12" t="str">
        <f t="shared" si="34"/>
        <v/>
      </c>
    </row>
    <row r="213" spans="1:4" x14ac:dyDescent="0.25">
      <c r="A213">
        <v>1</v>
      </c>
      <c r="D213" s="12" t="str">
        <f t="shared" si="34"/>
        <v/>
      </c>
    </row>
    <row r="214" spans="1:4" ht="18.75" x14ac:dyDescent="0.35">
      <c r="A214">
        <v>1</v>
      </c>
      <c r="B214" s="9">
        <v>1</v>
      </c>
      <c r="D214" s="29" t="s">
        <v>74</v>
      </c>
    </row>
    <row r="215" spans="1:4" x14ac:dyDescent="0.25">
      <c r="A215">
        <v>1</v>
      </c>
      <c r="B215" s="9">
        <v>1</v>
      </c>
      <c r="D215" s="12" t="str">
        <f>IF(D85=0,"",D85)</f>
        <v>←  الحوافز المتواجدة عبارة عن كوبونات واشعارات منها ما هو موقع ومنها ما هو مختوم</v>
      </c>
    </row>
    <row r="216" spans="1:4" x14ac:dyDescent="0.25">
      <c r="A216">
        <v>1</v>
      </c>
      <c r="D216" s="12" t="str">
        <f t="shared" ref="D216:D231" si="36">IF(D86=0,"",D86)</f>
        <v>←  توجد حوافز منتهية تم صرفها بموافقة من التسويق التجاري</v>
      </c>
    </row>
    <row r="217" spans="1:4" x14ac:dyDescent="0.25">
      <c r="A217">
        <v>1</v>
      </c>
      <c r="D217" s="12" t="str">
        <f t="shared" si="36"/>
        <v/>
      </c>
    </row>
    <row r="218" spans="1:4" x14ac:dyDescent="0.25">
      <c r="A218">
        <v>1</v>
      </c>
      <c r="D218" s="12" t="str">
        <f t="shared" si="36"/>
        <v/>
      </c>
    </row>
    <row r="219" spans="1:4" x14ac:dyDescent="0.25">
      <c r="A219">
        <v>1</v>
      </c>
      <c r="D219" s="12" t="str">
        <f t="shared" si="36"/>
        <v/>
      </c>
    </row>
    <row r="220" spans="1:4" x14ac:dyDescent="0.25">
      <c r="A220">
        <v>1</v>
      </c>
      <c r="D220" s="12" t="str">
        <f t="shared" si="36"/>
        <v/>
      </c>
    </row>
    <row r="221" spans="1:4" x14ac:dyDescent="0.25">
      <c r="A221">
        <v>1</v>
      </c>
      <c r="D221" s="12" t="str">
        <f t="shared" si="36"/>
        <v/>
      </c>
    </row>
    <row r="222" spans="1:4" x14ac:dyDescent="0.25">
      <c r="A222">
        <v>1</v>
      </c>
      <c r="D222" s="12" t="str">
        <f t="shared" si="36"/>
        <v/>
      </c>
    </row>
    <row r="223" spans="1:4" x14ac:dyDescent="0.25">
      <c r="A223">
        <v>1</v>
      </c>
      <c r="D223" s="12" t="str">
        <f t="shared" si="36"/>
        <v/>
      </c>
    </row>
    <row r="224" spans="1:4" x14ac:dyDescent="0.25">
      <c r="A224">
        <v>1</v>
      </c>
      <c r="D224" s="12" t="str">
        <f t="shared" si="36"/>
        <v/>
      </c>
    </row>
    <row r="225" spans="1:4" x14ac:dyDescent="0.25">
      <c r="A225">
        <v>1</v>
      </c>
      <c r="D225" s="12" t="str">
        <f t="shared" si="36"/>
        <v/>
      </c>
    </row>
    <row r="226" spans="1:4" x14ac:dyDescent="0.25">
      <c r="A226">
        <v>1</v>
      </c>
      <c r="D226" s="12" t="str">
        <f t="shared" si="36"/>
        <v/>
      </c>
    </row>
    <row r="227" spans="1:4" x14ac:dyDescent="0.25">
      <c r="A227">
        <v>1</v>
      </c>
      <c r="D227" s="12" t="str">
        <f t="shared" si="36"/>
        <v/>
      </c>
    </row>
    <row r="228" spans="1:4" x14ac:dyDescent="0.25">
      <c r="A228">
        <v>1</v>
      </c>
      <c r="D228" s="12" t="str">
        <f t="shared" si="36"/>
        <v/>
      </c>
    </row>
    <row r="229" spans="1:4" x14ac:dyDescent="0.25">
      <c r="A229">
        <v>1</v>
      </c>
      <c r="D229" s="12" t="str">
        <f t="shared" si="36"/>
        <v/>
      </c>
    </row>
    <row r="230" spans="1:4" x14ac:dyDescent="0.25">
      <c r="A230">
        <v>1</v>
      </c>
      <c r="D230" s="12" t="str">
        <f t="shared" si="36"/>
        <v/>
      </c>
    </row>
    <row r="231" spans="1:4" x14ac:dyDescent="0.25">
      <c r="A231">
        <v>1</v>
      </c>
      <c r="D231" s="12" t="str">
        <f t="shared" si="36"/>
        <v/>
      </c>
    </row>
    <row r="232" spans="1:4" ht="18.75" x14ac:dyDescent="0.35">
      <c r="A232">
        <v>1</v>
      </c>
      <c r="B232" s="9">
        <v>1</v>
      </c>
      <c r="D232" s="29" t="s">
        <v>75</v>
      </c>
    </row>
    <row r="233" spans="1:4" x14ac:dyDescent="0.25">
      <c r="A233">
        <v>1</v>
      </c>
      <c r="D233" s="13" t="str">
        <f>D109</f>
        <v>بعض المندوبين غير ملتزمين بكتابة تفريدة النقدية . ( الأمر مكرر )</v>
      </c>
    </row>
    <row r="234" spans="1:4" x14ac:dyDescent="0.25">
      <c r="A234">
        <v>1</v>
      </c>
      <c r="D234" s="13" t="str">
        <f t="shared" ref="D234:D250" si="37">D110</f>
        <v>يوجد تقصير في ارفاق صور فواتير الجملة في بيان متحصلات الجملة . وتم التأكيد على ضرورة طباعة الفواتير كاملة وارفاقها في بيان المتحصلات .</v>
      </c>
    </row>
    <row r="235" spans="1:4" x14ac:dyDescent="0.25">
      <c r="A235">
        <v>1</v>
      </c>
      <c r="D235" s="13" t="str">
        <f t="shared" si="37"/>
        <v/>
      </c>
    </row>
    <row r="236" spans="1:4" x14ac:dyDescent="0.25">
      <c r="A236">
        <v>1</v>
      </c>
      <c r="D236" s="13" t="str">
        <f t="shared" si="37"/>
        <v>يوجد عدد مندوب لا توجد له طابعة ( مشروع التجزئة ) ، وعدد 2 مندوب اخرين لديهم مشكلة في الطابعة الخاصة به ، وعدد 6 شواحن طابعة لا تعمل بالتوكيل ـ تم ارسال ميل اكثر من مرة لحل المشكلة . ولم يتم الانتهاء من المشكلة .</v>
      </c>
    </row>
    <row r="237" spans="1:4" x14ac:dyDescent="0.25">
      <c r="A237">
        <v>1</v>
      </c>
      <c r="D237" s="13" t="str">
        <f t="shared" si="37"/>
        <v>لا يتم تسجيل التحصيلات على فواتير الاجل من المحاسبين .</v>
      </c>
    </row>
    <row r="238" spans="1:4" x14ac:dyDescent="0.25">
      <c r="A238">
        <v>1</v>
      </c>
      <c r="D238" s="13" t="str">
        <f t="shared" si="37"/>
        <v>لم يتم الالتزام حتى الان بتجديد الشهادات الصحية للزملاء بالتوكيل وتم التأكيد على عدم صرف أي رواتب الا بعد استكمال الشهادة . وتم صرف رواتب الشهر الماضي بناء على موافقة ا. السادات على ان يتم الالتزام بالتجديد خلال الأسبوع الأول من الشهر .</v>
      </c>
    </row>
    <row r="239" spans="1:4" x14ac:dyDescent="0.25">
      <c r="A239">
        <v>1</v>
      </c>
      <c r="D239" s="13" t="str">
        <f t="shared" si="37"/>
        <v>لا يتم الالتزام  بطباعة مصادقة المديونية للمندوبين وارسالها على الميل .</v>
      </c>
    </row>
    <row r="240" spans="1:4" x14ac:dyDescent="0.25">
      <c r="A240">
        <v>1</v>
      </c>
      <c r="D240" s="13" t="str">
        <f t="shared" si="37"/>
        <v xml:space="preserve"> تم التأكيد على ضرورة تسجيل رقم إيصال استلام النقدية بدفتر الخزنه وليس رقم الحركة على البرنامج .</v>
      </c>
    </row>
    <row r="241" spans="1:5" x14ac:dyDescent="0.25">
      <c r="A241">
        <v>1</v>
      </c>
      <c r="D241" s="13" t="str">
        <f t="shared" si="37"/>
        <v xml:space="preserve"> تم التأكيد على ضرورة التفرقة في تسجيل الشيكات عن الايداعات البنكية في الدفتر من خلال الوصف وليس جمعهم على بعضهم البعض .</v>
      </c>
    </row>
    <row r="242" spans="1:5" x14ac:dyDescent="0.25">
      <c r="A242">
        <v>1</v>
      </c>
      <c r="D242" s="13" t="str">
        <f t="shared" si="37"/>
        <v xml:space="preserve"> عدم استلام أي بيان متحصلات غير مستوفى البيانات ومطابقة تفريدة النقدية للفعلي .</v>
      </c>
    </row>
    <row r="243" spans="1:5" x14ac:dyDescent="0.25">
      <c r="A243">
        <v>1</v>
      </c>
      <c r="D243" s="13" t="str">
        <f t="shared" si="37"/>
        <v>تم التأكيد على ضرورة عمل أمين الخزينة بشكل يدوي وفقا للتوريدات الخاصة بالمندوبين وليس له علاقة بالبرنامج مطلقا ، وعلى مشرف الحسابات والمحاسب بيان الفرق الناتج بين الدفتر والبرنامج .</v>
      </c>
      <c r="E243" s="43" t="e">
        <v>#N/A</v>
      </c>
    </row>
    <row r="244" spans="1:5" x14ac:dyDescent="0.25">
      <c r="A244">
        <v>1</v>
      </c>
      <c r="D244" s="13" t="str">
        <f t="shared" si="37"/>
        <v xml:space="preserve"> التأكيد على استكمال أرشيف الخزنة . وطباعة الجرد اليومي وارفاقه مع الأرشيف . تم الالتزام .</v>
      </c>
      <c r="E244" s="43" t="e">
        <v>#N/A</v>
      </c>
    </row>
    <row r="245" spans="1:5" x14ac:dyDescent="0.25">
      <c r="A245">
        <v>1</v>
      </c>
      <c r="D245" s="13" t="str">
        <f t="shared" si="37"/>
        <v xml:space="preserve"> يتم استلام توريد النقدية اذا وصلت التوكيل متأخرا مساءا عن طريق الخزنه والقيام بعدّها صباحا لوجود التوكيل بمنطقة غير مأهولة بالسكان وغير آمنة وذلك بناء على اتفاق هاتفي بين ا. محمد حسن وا. السادات معي في مكالمة جماعية . مع التأكيد على ارسال ميل صباحا في حاجة عجز النقدية مع تحمل أفراد البيع العجز الحاصل بالتوريد .</v>
      </c>
      <c r="E245" s="43" t="e">
        <v>#N/A</v>
      </c>
    </row>
    <row r="246" spans="1:5" x14ac:dyDescent="0.25">
      <c r="A246">
        <v>1</v>
      </c>
      <c r="D246" s="13" t="str">
        <f t="shared" si="37"/>
        <v xml:space="preserve"> تمت مراجعة وارد عافيه المرسل للتوكيل</v>
      </c>
      <c r="E246" s="43"/>
    </row>
    <row r="247" spans="1:5" x14ac:dyDescent="0.25">
      <c r="A247">
        <v>1</v>
      </c>
      <c r="D247" s="13" t="str">
        <f t="shared" si="37"/>
        <v xml:space="preserve"> تمت مراجعة وارد الملكة المرسل للتوكيل حتى تاريخه</v>
      </c>
      <c r="E247" s="43"/>
    </row>
    <row r="248" spans="1:5" x14ac:dyDescent="0.25">
      <c r="A248">
        <v>1</v>
      </c>
      <c r="D248" s="13" t="str">
        <f t="shared" si="37"/>
        <v xml:space="preserve"> تمت مراجعة ايداعات عافيه حتى تاريخه</v>
      </c>
      <c r="E248" s="43"/>
    </row>
    <row r="249" spans="1:5" x14ac:dyDescent="0.25">
      <c r="A249">
        <v>1</v>
      </c>
      <c r="D249" s="13" t="str">
        <f t="shared" si="37"/>
        <v xml:space="preserve"> تمت مراجعة ايداعات الملكة حتى تاريخه</v>
      </c>
      <c r="E249" s="43"/>
    </row>
    <row r="250" spans="1:5" x14ac:dyDescent="0.25">
      <c r="A250">
        <v>1</v>
      </c>
      <c r="D250" s="13" t="str">
        <f t="shared" si="37"/>
        <v xml:space="preserve"> تمت مراجعة التحصيل النقدي والتاكد من التوجيه الصحيح للحركات حتى تاريخه</v>
      </c>
      <c r="E250" s="43"/>
    </row>
    <row r="251" spans="1:5" ht="18.75" x14ac:dyDescent="0.35">
      <c r="A251">
        <v>1</v>
      </c>
      <c r="D251" s="29" t="s">
        <v>133</v>
      </c>
      <c r="E251" s="43"/>
    </row>
    <row r="252" spans="1:5" x14ac:dyDescent="0.25">
      <c r="A252">
        <v>1</v>
      </c>
      <c r="D252" s="13" t="str">
        <f>IF(D71=0,"",D71)</f>
        <v>- تمت الموافقة على المصاريف المرفوعة على البرنامج</v>
      </c>
      <c r="E252" s="43"/>
    </row>
    <row r="253" spans="1:5" x14ac:dyDescent="0.25">
      <c r="A253">
        <v>1</v>
      </c>
      <c r="D253" s="13" t="str">
        <f t="shared" ref="D253:D263" si="38">IF(D72=0,"",D72)</f>
        <v xml:space="preserve"> توجد مصاريف تخص التامينات الاجتماعية وضريبة الدخل لم يستطع الموزع حتى الان باحضار برنت تاميني لصرفها</v>
      </c>
      <c r="E253" s="43"/>
    </row>
    <row r="254" spans="1:5" x14ac:dyDescent="0.25">
      <c r="A254">
        <v>1</v>
      </c>
      <c r="D254" s="13" t="str">
        <f t="shared" si="38"/>
        <v/>
      </c>
      <c r="E254" s="43"/>
    </row>
    <row r="255" spans="1:5" x14ac:dyDescent="0.25">
      <c r="A255">
        <v>1</v>
      </c>
      <c r="D255" s="13" t="str">
        <f t="shared" si="38"/>
        <v/>
      </c>
      <c r="E255" s="43"/>
    </row>
    <row r="256" spans="1:5" x14ac:dyDescent="0.25">
      <c r="A256">
        <v>1</v>
      </c>
      <c r="D256" s="13" t="str">
        <f t="shared" si="38"/>
        <v/>
      </c>
      <c r="E256" s="43"/>
    </row>
    <row r="257" spans="1:5" x14ac:dyDescent="0.25">
      <c r="A257">
        <v>1</v>
      </c>
      <c r="D257" s="13" t="str">
        <f t="shared" si="38"/>
        <v/>
      </c>
      <c r="E257" s="43"/>
    </row>
    <row r="258" spans="1:5" x14ac:dyDescent="0.25">
      <c r="A258">
        <v>1</v>
      </c>
      <c r="D258" s="13" t="str">
        <f t="shared" si="38"/>
        <v/>
      </c>
      <c r="E258" s="43"/>
    </row>
    <row r="259" spans="1:5" x14ac:dyDescent="0.25">
      <c r="A259">
        <v>1</v>
      </c>
      <c r="D259" s="13" t="str">
        <f t="shared" si="38"/>
        <v/>
      </c>
      <c r="E259" s="43"/>
    </row>
    <row r="260" spans="1:5" x14ac:dyDescent="0.25">
      <c r="A260">
        <v>1</v>
      </c>
      <c r="D260" s="13" t="str">
        <f t="shared" si="38"/>
        <v/>
      </c>
      <c r="E260" s="43"/>
    </row>
    <row r="261" spans="1:5" x14ac:dyDescent="0.25">
      <c r="A261">
        <v>1</v>
      </c>
      <c r="D261" s="13" t="str">
        <f t="shared" si="38"/>
        <v/>
      </c>
      <c r="E261" s="43"/>
    </row>
    <row r="262" spans="1:5" x14ac:dyDescent="0.25">
      <c r="A262">
        <v>1</v>
      </c>
      <c r="D262" s="13" t="str">
        <f t="shared" si="38"/>
        <v/>
      </c>
      <c r="E262" s="43"/>
    </row>
    <row r="263" spans="1:5" x14ac:dyDescent="0.25">
      <c r="A263">
        <v>1</v>
      </c>
      <c r="D263" s="13" t="str">
        <f t="shared" si="38"/>
        <v/>
      </c>
      <c r="E263" s="43"/>
    </row>
    <row r="264" spans="1:5" x14ac:dyDescent="0.25">
      <c r="A264">
        <v>1</v>
      </c>
      <c r="E264" s="43"/>
    </row>
    <row r="265" spans="1:5" ht="18.75" x14ac:dyDescent="0.35">
      <c r="A265">
        <v>1</v>
      </c>
      <c r="B265" s="9">
        <v>1</v>
      </c>
      <c r="D265" s="29" t="s">
        <v>76</v>
      </c>
    </row>
    <row r="266" spans="1:5" x14ac:dyDescent="0.25">
      <c r="A266">
        <v>1</v>
      </c>
      <c r="B266" s="13">
        <f t="shared" ref="B266:C266" si="39">B130</f>
        <v>0</v>
      </c>
      <c r="C266" s="13">
        <f t="shared" si="39"/>
        <v>0</v>
      </c>
      <c r="D266" s="13" t="str">
        <f t="shared" ref="D266:D278" si="40">D130</f>
        <v>توجد بعض البضاعة المرشحة جاري فرزها للوقوف على عددها</v>
      </c>
    </row>
    <row r="267" spans="1:5" x14ac:dyDescent="0.25">
      <c r="A267">
        <v>1</v>
      </c>
      <c r="B267" s="13">
        <f t="shared" ref="B267:C267" si="41">B131</f>
        <v>0</v>
      </c>
      <c r="C267" s="13">
        <f t="shared" si="41"/>
        <v>0</v>
      </c>
      <c r="D267" s="13" t="str">
        <f t="shared" si="40"/>
        <v>يوجد بضاعة هالك يتم ارتجاعها على جرار الوارد</v>
      </c>
    </row>
    <row r="268" spans="1:5" ht="15.75" customHeight="1" x14ac:dyDescent="0.25">
      <c r="A268">
        <v>1</v>
      </c>
      <c r="B268" s="13">
        <f t="shared" ref="B268:C268" si="42">B132</f>
        <v>1</v>
      </c>
      <c r="C268" s="13">
        <f t="shared" si="42"/>
        <v>5677.375</v>
      </c>
      <c r="D268" s="13" t="str">
        <f t="shared" si="40"/>
        <v>← يوجد رواكد بالتوكيل بكمية  5677.375 كرتونة وتم ارسال ميل بها لمدير الاقليم للقيام بعمل التحويلات اللازمة للاقاليم الاخرى للانتهاء منها</v>
      </c>
    </row>
    <row r="269" spans="1:5" x14ac:dyDescent="0.25">
      <c r="A269">
        <v>1</v>
      </c>
      <c r="B269" s="9">
        <v>1</v>
      </c>
      <c r="D269" s="13" t="str">
        <f t="shared" si="40"/>
        <v>← مساحة المخزن لا تكفي لحجم اعمال التوكيل ويتم رص بضاعة للعافيه بمخزن الملكة لعدم وجود مساحة كافية.</v>
      </c>
    </row>
    <row r="270" spans="1:5" x14ac:dyDescent="0.25">
      <c r="A270">
        <v>1</v>
      </c>
      <c r="B270" s="9">
        <v>1</v>
      </c>
      <c r="D270" s="13" t="str">
        <f t="shared" si="40"/>
        <v>← الأصناف بالمخزنين غير مرتبة وفقا للحجم والنوع وتم التأكيد على سرعة الانتها ء من ترتيب البضاعة وذلك بسبب صغر حجم المخزن مقارنة بالشحن .</v>
      </c>
    </row>
    <row r="271" spans="1:5" x14ac:dyDescent="0.25">
      <c r="A271">
        <v>1</v>
      </c>
      <c r="B271" s="9">
        <v>1</v>
      </c>
      <c r="D271" s="13" t="str">
        <f t="shared" si="40"/>
        <v>← ارتفاع درجات الحرارة بالمخزنين مما قد يؤثر سلبا على البضاعة المتواجدة بالمخزن من جهة السوس او الترشيح</v>
      </c>
    </row>
    <row r="272" spans="1:5" x14ac:dyDescent="0.25">
      <c r="A272">
        <v>1</v>
      </c>
      <c r="B272" s="9">
        <v>1</v>
      </c>
      <c r="D272" s="13" t="str">
        <f t="shared" si="40"/>
        <v xml:space="preserve">← تم ابعاد البضاعة عن الحائط في المخزنين </v>
      </c>
    </row>
    <row r="273" spans="1:4" x14ac:dyDescent="0.25">
      <c r="A273">
        <v>1</v>
      </c>
      <c r="B273" s="9">
        <v>1</v>
      </c>
      <c r="D273" s="13" t="str">
        <f t="shared" si="40"/>
        <v>← لا يوجد شفاطات بالمخزن مما أدى إلى ارتفاع درجات الحرارة</v>
      </c>
    </row>
    <row r="274" spans="1:4" x14ac:dyDescent="0.25">
      <c r="A274">
        <v>1</v>
      </c>
      <c r="B274" s="9">
        <v>1</v>
      </c>
      <c r="D274" s="13" t="str">
        <f t="shared" si="40"/>
        <v>← لا توجد طفايات حريق بالمخزنين .</v>
      </c>
    </row>
    <row r="275" spans="1:4" x14ac:dyDescent="0.25">
      <c r="A275">
        <v>1</v>
      </c>
      <c r="B275" s="9">
        <v>1</v>
      </c>
      <c r="D275" s="13" t="str">
        <f t="shared" si="40"/>
        <v>← وجود أتربة على بعض المنتجات .</v>
      </c>
    </row>
    <row r="276" spans="1:4" x14ac:dyDescent="0.25">
      <c r="A276">
        <v>1</v>
      </c>
      <c r="B276" s="9">
        <v>1</v>
      </c>
      <c r="D276" s="13" t="str">
        <f t="shared" si="40"/>
        <v>توجد بعض البالتات مكسرة بالتوكيل</v>
      </c>
    </row>
    <row r="277" spans="1:4" x14ac:dyDescent="0.25">
      <c r="A277">
        <v>1</v>
      </c>
      <c r="B277" s="9">
        <v>1</v>
      </c>
      <c r="D277" s="13" t="str">
        <f t="shared" si="40"/>
        <v xml:space="preserve"> لا يتم فصل الزيت عن السمنة</v>
      </c>
    </row>
    <row r="278" spans="1:4" x14ac:dyDescent="0.25">
      <c r="A278">
        <v>1</v>
      </c>
      <c r="B278" s="9">
        <v>1</v>
      </c>
      <c r="D278" s="13" t="str">
        <f t="shared" si="40"/>
        <v>← لا يوجد ممرات بين البضاعة بسبب صغر حجم المخزن</v>
      </c>
    </row>
    <row r="279" spans="1:4" x14ac:dyDescent="0.25">
      <c r="A279">
        <v>1</v>
      </c>
    </row>
  </sheetData>
  <autoFilter ref="A3:L279" xr:uid="{B84DCCA6-BB15-4880-A06F-C8F86FB1E594}"/>
  <pageMargins left="0.7" right="0.7" top="0.75" bottom="0.75" header="0.3" footer="0.3"/>
  <drawing r:id="rId1"/>
  <legacyDrawing r:id="rId2"/>
  <controls>
    <mc:AlternateContent xmlns:mc="http://schemas.openxmlformats.org/markup-compatibility/2006">
      <mc:Choice Requires="x14">
        <control shapeId="5121" r:id="rId3" name="Control 1">
          <controlPr defaultSize="0" r:id="rId4">
            <anchor moveWithCells="1">
              <from>
                <xdr:col>16383</xdr:col>
                <xdr:colOff>419100</xdr:colOff>
                <xdr:row>119</xdr:row>
                <xdr:rowOff>57150</xdr:rowOff>
              </from>
              <to>
                <xdr:col>16383</xdr:col>
                <xdr:colOff>609600</xdr:colOff>
                <xdr:row>120</xdr:row>
                <xdr:rowOff>57150</xdr:rowOff>
              </to>
            </anchor>
          </controlPr>
        </control>
      </mc:Choice>
      <mc:Fallback>
        <control shapeId="5121" r:id="rId3" name="Control 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25C12-6709-4260-85C9-B50D8253D72D}">
  <sheetPr codeName="Sheet1"/>
  <dimension ref="A1:L278"/>
  <sheetViews>
    <sheetView rightToLeft="1" topLeftCell="A15" zoomScaleNormal="100" workbookViewId="0">
      <selection activeCell="D23" sqref="D23"/>
    </sheetView>
  </sheetViews>
  <sheetFormatPr defaultRowHeight="15" x14ac:dyDescent="0.25"/>
  <cols>
    <col min="3" max="3" width="13.140625" style="9" bestFit="1" customWidth="1"/>
    <col min="4" max="4" width="63" style="13" customWidth="1"/>
    <col min="5" max="5" width="25.42578125" customWidth="1"/>
    <col min="6" max="6" width="31.7109375" style="9" customWidth="1"/>
    <col min="7" max="8" width="9.140625" style="10"/>
    <col min="9" max="9" width="3.5703125" bestFit="1" customWidth="1"/>
    <col min="10" max="10" width="30.85546875" bestFit="1" customWidth="1"/>
    <col min="11" max="11" width="11.28515625" bestFit="1" customWidth="1"/>
    <col min="12" max="12" width="14.28515625" bestFit="1" customWidth="1"/>
  </cols>
  <sheetData>
    <row r="1" spans="1:8" ht="26.25" x14ac:dyDescent="0.25">
      <c r="D1" s="8" t="s">
        <v>0</v>
      </c>
      <c r="F1" s="9">
        <f>SUM(F2:F6)</f>
        <v>1818550</v>
      </c>
    </row>
    <row r="2" spans="1:8" ht="16.5" x14ac:dyDescent="0.25">
      <c r="D2" s="11" t="s">
        <v>1</v>
      </c>
      <c r="F2" s="9">
        <v>1002140</v>
      </c>
    </row>
    <row r="3" spans="1:8" ht="16.5" x14ac:dyDescent="0.25">
      <c r="A3">
        <v>1</v>
      </c>
      <c r="B3" t="s">
        <v>2</v>
      </c>
      <c r="D3" s="11" t="s">
        <v>3</v>
      </c>
      <c r="F3" s="9">
        <v>536800</v>
      </c>
    </row>
    <row r="4" spans="1:8" x14ac:dyDescent="0.25">
      <c r="A4">
        <v>1</v>
      </c>
      <c r="B4" t="str">
        <f t="shared" ref="B4:B20" si="0">IF(C4&gt;0,1,"")</f>
        <v/>
      </c>
      <c r="C4" s="15"/>
      <c r="D4" s="13" t="s">
        <v>177</v>
      </c>
      <c r="F4" s="9">
        <v>277510</v>
      </c>
      <c r="H4" s="10" t="str">
        <f>"← يوجد بضاعة مرشحة بكمية "&amp;" "&amp;C4&amp;" "&amp;"كرتونة  وتم ارسال ميل بها وسوف يتم ارتجاعهم اليوم مع توالف عافيه بالجرار"</f>
        <v>← يوجد بضاعة مرشحة بكمية   كرتونة  وتم ارسال ميل بها وسوف يتم ارتجاعهم اليوم مع توالف عافيه بالجرار</v>
      </c>
    </row>
    <row r="5" spans="1:8" x14ac:dyDescent="0.25">
      <c r="A5">
        <v>1</v>
      </c>
      <c r="B5" t="str">
        <f t="shared" si="0"/>
        <v/>
      </c>
      <c r="C5" s="15"/>
      <c r="D5" s="12"/>
      <c r="F5" s="9">
        <v>1050</v>
      </c>
      <c r="G5" s="54" t="s">
        <v>157</v>
      </c>
      <c r="H5" s="10" t="str">
        <f>"← يوجد بضاعة هالك بكمية "&amp;" "&amp;C5&amp;" "&amp;G5&amp;"  بيانها بمحضر الجرد ويتم الانتهاء منها مع اول وارد للتوكيل"</f>
        <v>← يوجد بضاعة هالك بكمية   طن  بيانها بمحضر الجرد ويتم الانتهاء منها مع اول وارد للتوكيل</v>
      </c>
    </row>
    <row r="6" spans="1:8" x14ac:dyDescent="0.25">
      <c r="A6">
        <v>1</v>
      </c>
      <c r="B6" t="str">
        <f t="shared" si="0"/>
        <v/>
      </c>
      <c r="C6" s="15">
        <v>0</v>
      </c>
      <c r="F6" s="9">
        <v>1050</v>
      </c>
      <c r="G6" s="12" t="str">
        <f>"← يوجد رواكد بالتوكيل بكمية "&amp;" "&amp;C6&amp;" "&amp;"كرتونة وتم ارسال ميل بها لمدير الاقليم للقيام بعمل التحويلات اللازمة للاقاليم الاخرى للانتهاء منها وتم عمل بعض التحويلات البسيطة منها للاقاليم الاخرى"</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7" spans="1:8" x14ac:dyDescent="0.25">
      <c r="A7">
        <v>1</v>
      </c>
      <c r="B7" t="str">
        <f t="shared" si="0"/>
        <v/>
      </c>
      <c r="C7" s="15"/>
      <c r="D7" s="12"/>
      <c r="F7" s="12" t="s">
        <v>143</v>
      </c>
    </row>
    <row r="8" spans="1:8" x14ac:dyDescent="0.25">
      <c r="A8">
        <v>1</v>
      </c>
      <c r="B8" t="str">
        <f t="shared" si="0"/>
        <v/>
      </c>
      <c r="C8" s="15"/>
      <c r="D8" s="12"/>
      <c r="F8" s="12" t="s">
        <v>144</v>
      </c>
    </row>
    <row r="9" spans="1:8" x14ac:dyDescent="0.25">
      <c r="A9">
        <v>1</v>
      </c>
      <c r="B9" t="str">
        <f t="shared" si="0"/>
        <v/>
      </c>
      <c r="C9" s="15"/>
      <c r="D9" s="12"/>
      <c r="F9" s="12" t="s">
        <v>144</v>
      </c>
    </row>
    <row r="10" spans="1:8" x14ac:dyDescent="0.25">
      <c r="A10">
        <v>1</v>
      </c>
      <c r="B10" t="str">
        <f t="shared" si="0"/>
        <v/>
      </c>
      <c r="C10" s="15"/>
      <c r="D10" s="12"/>
      <c r="F10" s="12" t="s">
        <v>145</v>
      </c>
    </row>
    <row r="11" spans="1:8" x14ac:dyDescent="0.25">
      <c r="A11">
        <v>1</v>
      </c>
      <c r="B11" t="str">
        <f t="shared" si="0"/>
        <v/>
      </c>
      <c r="C11" s="15"/>
      <c r="D11" s="12"/>
      <c r="F11" s="12" t="s">
        <v>146</v>
      </c>
    </row>
    <row r="12" spans="1:8" x14ac:dyDescent="0.25">
      <c r="A12">
        <v>1</v>
      </c>
      <c r="B12" t="str">
        <f t="shared" si="0"/>
        <v/>
      </c>
      <c r="C12" s="15"/>
      <c r="D12" s="12"/>
      <c r="F12" s="12" t="s">
        <v>146</v>
      </c>
    </row>
    <row r="13" spans="1:8" x14ac:dyDescent="0.25">
      <c r="A13">
        <v>1</v>
      </c>
      <c r="B13" t="str">
        <f t="shared" si="0"/>
        <v/>
      </c>
      <c r="C13" s="15"/>
      <c r="D13" s="12"/>
      <c r="F13" s="12" t="s">
        <v>146</v>
      </c>
    </row>
    <row r="14" spans="1:8" x14ac:dyDescent="0.25">
      <c r="A14">
        <v>1</v>
      </c>
      <c r="B14">
        <f t="shared" si="0"/>
        <v>1</v>
      </c>
      <c r="C14" s="15">
        <f>_xlfn.XLOOKUP("Dakahlia - Al Yasmine",[2]Summary!$B$34:$B$40,[2]Summary!$D$34:$D$40)</f>
        <v>3954</v>
      </c>
      <c r="D14" s="12" t="str">
        <f>"← يوجد بضاعة أمانات بكمية "&amp;" "&amp;C14&amp;" "&amp;"كرتونة بيانها بمحضر الجرد وتم ارسال ميل بها"</f>
        <v>← يوجد بضاعة أمانات بكمية  3954 كرتونة بيانها بمحضر الجرد وتم ارسال ميل بها</v>
      </c>
    </row>
    <row r="15" spans="1:8" x14ac:dyDescent="0.25">
      <c r="A15">
        <v>1</v>
      </c>
      <c r="B15" t="str">
        <f t="shared" si="0"/>
        <v/>
      </c>
      <c r="C15" s="15"/>
      <c r="F15" s="12" t="s">
        <v>4</v>
      </c>
    </row>
    <row r="16" spans="1:8" x14ac:dyDescent="0.25">
      <c r="A16">
        <v>1</v>
      </c>
      <c r="B16" t="str">
        <f t="shared" si="0"/>
        <v/>
      </c>
      <c r="C16" s="15"/>
      <c r="D16" s="12"/>
    </row>
    <row r="17" spans="1:7" x14ac:dyDescent="0.25">
      <c r="A17">
        <v>1</v>
      </c>
      <c r="B17" t="str">
        <f t="shared" si="0"/>
        <v/>
      </c>
      <c r="C17" s="15"/>
      <c r="D17" s="12"/>
    </row>
    <row r="18" spans="1:7" x14ac:dyDescent="0.25">
      <c r="A18">
        <v>1</v>
      </c>
      <c r="B18" t="str">
        <f t="shared" si="0"/>
        <v/>
      </c>
    </row>
    <row r="19" spans="1:7" x14ac:dyDescent="0.25">
      <c r="A19">
        <v>1</v>
      </c>
      <c r="B19" t="str">
        <f t="shared" si="0"/>
        <v/>
      </c>
    </row>
    <row r="20" spans="1:7" x14ac:dyDescent="0.25">
      <c r="A20">
        <v>1</v>
      </c>
      <c r="B20" t="str">
        <f t="shared" si="0"/>
        <v/>
      </c>
    </row>
    <row r="21" spans="1:7" ht="20.25" x14ac:dyDescent="0.25">
      <c r="A21">
        <v>1</v>
      </c>
      <c r="B21">
        <v>1</v>
      </c>
      <c r="D21" s="11" t="s">
        <v>5</v>
      </c>
    </row>
    <row r="22" spans="1:7" ht="16.5" x14ac:dyDescent="0.25">
      <c r="A22">
        <v>1</v>
      </c>
      <c r="B22">
        <v>1</v>
      </c>
      <c r="D22" s="14" t="s">
        <v>6</v>
      </c>
    </row>
    <row r="23" spans="1:7" x14ac:dyDescent="0.25">
      <c r="A23">
        <v>1</v>
      </c>
      <c r="B23">
        <f t="shared" ref="B23:B30" si="1">IF(C23&gt;0,1,"")</f>
        <v>1</v>
      </c>
      <c r="C23" s="15" t="s">
        <v>7</v>
      </c>
      <c r="D23" s="16" t="str">
        <f>E23&amp;" "&amp;C23&amp;" "&amp;F23</f>
        <v xml:space="preserve">← توجد فواتير بدون بعد مالي عافيه بمبلغ  34961.47 ج لم يتم الانتهاء من حله حتى الان ويتم الارسال بالمشكلة بصفة دورية إلى الادارة </v>
      </c>
      <c r="E23" t="s">
        <v>8</v>
      </c>
      <c r="F23" s="9" t="s">
        <v>9</v>
      </c>
    </row>
    <row r="24" spans="1:7" ht="15.75" x14ac:dyDescent="0.25">
      <c r="A24">
        <v>1</v>
      </c>
      <c r="B24" t="str">
        <f t="shared" si="1"/>
        <v/>
      </c>
      <c r="C24" s="50">
        <v>0</v>
      </c>
      <c r="D24" s="16" t="str">
        <f>E24&amp;" "&amp;TEXT(C24,"0,000,000.00"&amp;" "&amp;F24)</f>
        <v>←  يوجد فكة بالتوكيل  بمبلغ   0,000,000.00 تم ارسال مبلغ منهم الموزع للقيام بتجميدهم على ان يتم القيام بدفع دفعات منهم</v>
      </c>
      <c r="E24" t="s">
        <v>10</v>
      </c>
      <c r="F24" s="9" t="s">
        <v>11</v>
      </c>
    </row>
    <row r="25" spans="1:7" x14ac:dyDescent="0.25">
      <c r="A25">
        <v>1</v>
      </c>
      <c r="B25" t="str">
        <f t="shared" si="1"/>
        <v/>
      </c>
      <c r="C25" s="15">
        <v>0</v>
      </c>
      <c r="D25" s="16" t="str">
        <f t="shared" ref="D25:D26" si="2">E25&amp;" "&amp;C25&amp;" "&amp;F25</f>
        <v>← يوجد مبلغ  0 تأمينات اجتماعية وضريبة دخل تم صرفها من الخزنه ولم يتم حتى الان صرفها على البرنامج من المخصص وتم ارسال ميل بها للادارة لصرفها</v>
      </c>
      <c r="E25" t="s">
        <v>12</v>
      </c>
      <c r="F25" s="9" t="s">
        <v>13</v>
      </c>
    </row>
    <row r="26" spans="1:7" ht="15.75" x14ac:dyDescent="0.25">
      <c r="A26">
        <v>1</v>
      </c>
      <c r="B26" t="str">
        <f t="shared" si="1"/>
        <v/>
      </c>
      <c r="C26" s="50"/>
      <c r="D26" s="16" t="str">
        <f t="shared" si="2"/>
        <v>← يوجد مبلغ   فكة تم ارساله للموزع لتجميده ويتم ارسال مبلغ كل يوم او يومين منه</v>
      </c>
      <c r="E26" t="s">
        <v>12</v>
      </c>
      <c r="F26" s="9" t="s">
        <v>14</v>
      </c>
    </row>
    <row r="27" spans="1:7" x14ac:dyDescent="0.25">
      <c r="A27">
        <v>1</v>
      </c>
      <c r="B27" t="str">
        <f t="shared" si="1"/>
        <v/>
      </c>
      <c r="C27" s="15">
        <v>0</v>
      </c>
      <c r="E27" t="s">
        <v>12</v>
      </c>
      <c r="F27" s="9" t="s">
        <v>15</v>
      </c>
      <c r="G27" s="16" t="str">
        <f>E27&amp;" "&amp;C27&amp;" "&amp;F27</f>
        <v>← يوجد مبلغ  0 مبلغ فكة لدى الموزع لتجميده</v>
      </c>
    </row>
    <row r="28" spans="1:7" x14ac:dyDescent="0.25">
      <c r="A28">
        <v>1</v>
      </c>
      <c r="B28" t="str">
        <f t="shared" si="1"/>
        <v/>
      </c>
      <c r="C28" s="15"/>
      <c r="E28" t="s">
        <v>12</v>
      </c>
      <c r="G28" s="16" t="str">
        <f>E28&amp;" "&amp;C28&amp;" "&amp;F28</f>
        <v xml:space="preserve">← يوجد مبلغ   </v>
      </c>
    </row>
    <row r="29" spans="1:7" x14ac:dyDescent="0.25">
      <c r="A29">
        <v>1</v>
      </c>
      <c r="B29" t="str">
        <f t="shared" si="1"/>
        <v/>
      </c>
      <c r="C29" s="15"/>
      <c r="E29" t="s">
        <v>12</v>
      </c>
      <c r="G29" s="16" t="str">
        <f>E29&amp;" "&amp;C29&amp;" "&amp;F29</f>
        <v xml:space="preserve">← يوجد مبلغ   </v>
      </c>
    </row>
    <row r="30" spans="1:7" x14ac:dyDescent="0.25">
      <c r="A30">
        <v>1</v>
      </c>
      <c r="B30" t="str">
        <f t="shared" si="1"/>
        <v/>
      </c>
      <c r="C30" s="15"/>
      <c r="G30" s="16" t="s">
        <v>16</v>
      </c>
    </row>
    <row r="31" spans="1:7" x14ac:dyDescent="0.25">
      <c r="A31">
        <v>1</v>
      </c>
      <c r="G31" s="13" t="str">
        <f>" يوجد انحراف جديد بسبب فواتير معلقة في المديونية ناتجة عن مشكلة بالبرنامج بمبلغ "&amp;C31&amp;" ج"&amp;" في انتظار حله من خلال IS"</f>
        <v xml:space="preserve"> يوجد انحراف جديد بسبب فواتير معلقة في المديونية ناتجة عن مشكلة بالبرنامج بمبلغ  ج في انتظار حله من خلال IS</v>
      </c>
    </row>
    <row r="32" spans="1:7" x14ac:dyDescent="0.25">
      <c r="A32">
        <v>1</v>
      </c>
    </row>
    <row r="33" spans="1:12" x14ac:dyDescent="0.25">
      <c r="A33">
        <v>1</v>
      </c>
    </row>
    <row r="34" spans="1:12" ht="20.25" x14ac:dyDescent="0.25">
      <c r="A34">
        <v>1</v>
      </c>
      <c r="B34">
        <v>1</v>
      </c>
      <c r="D34" s="17" t="s">
        <v>17</v>
      </c>
      <c r="E34" s="38" t="s">
        <v>18</v>
      </c>
    </row>
    <row r="35" spans="1:12" ht="16.5" x14ac:dyDescent="0.25">
      <c r="A35">
        <v>1</v>
      </c>
      <c r="B35">
        <v>1</v>
      </c>
      <c r="D35" s="18" t="s">
        <v>19</v>
      </c>
    </row>
    <row r="36" spans="1:12" x14ac:dyDescent="0.25">
      <c r="A36">
        <v>1</v>
      </c>
      <c r="B36">
        <f>IF(F36&gt;0,1,"")</f>
        <v>1</v>
      </c>
      <c r="D36" s="13" t="str">
        <f>E36&amp;" "&amp;TEXT(F36,"0,000,000.00")&amp;" ج"</f>
        <v>إجمالي مديونية التوكيل مبلغ 32,312,083.97 ج</v>
      </c>
      <c r="E36" t="s">
        <v>20</v>
      </c>
      <c r="F36" s="9">
        <f>SUMIF(M.C!B:B,E34,M.C!J:J)</f>
        <v>32312083.970000006</v>
      </c>
      <c r="G36" s="9">
        <v>0</v>
      </c>
      <c r="H36" s="10">
        <v>0</v>
      </c>
    </row>
    <row r="37" spans="1:12" x14ac:dyDescent="0.25">
      <c r="A37">
        <v>1</v>
      </c>
      <c r="B37" t="e">
        <f t="shared" ref="B37:B69" si="3">IF(F37&gt;0,1,"")</f>
        <v>#N/A</v>
      </c>
      <c r="D37" s="19" t="e">
        <f>E37&amp;" "&amp;TEXT(F37,"00%")</f>
        <v>#N/A</v>
      </c>
      <c r="E37" t="s">
        <v>21</v>
      </c>
      <c r="F37" s="20" t="e">
        <f>_xlfn.XLOOKUP(E34,M.C!Q:Q,M.C!AF:AF)</f>
        <v>#N/A</v>
      </c>
      <c r="G37" s="21">
        <f>M.C!AF4</f>
        <v>64601340.369999997</v>
      </c>
    </row>
    <row r="38" spans="1:12" x14ac:dyDescent="0.25">
      <c r="A38">
        <v>1</v>
      </c>
      <c r="B38" t="e">
        <f t="shared" si="3"/>
        <v>#N/A</v>
      </c>
      <c r="D38" s="19" t="e">
        <f>E38&amp;" "&amp;TEXT(F38,"00%")</f>
        <v>#N/A</v>
      </c>
      <c r="E38" s="12" t="s">
        <v>139</v>
      </c>
      <c r="F38" s="20" t="e">
        <f>_xlfn.XLOOKUP(E34,M.C!Q:Q,M.C!AG:AG)</f>
        <v>#N/A</v>
      </c>
      <c r="G38" s="21">
        <f>M.C!AG4</f>
        <v>0</v>
      </c>
    </row>
    <row r="39" spans="1:12" x14ac:dyDescent="0.25">
      <c r="A39">
        <v>1</v>
      </c>
      <c r="B39">
        <f t="shared" si="3"/>
        <v>1</v>
      </c>
      <c r="D39" s="19" t="str">
        <f t="shared" ref="D39:D46" si="4">E39&amp;" "&amp;TEXT(F39,"0,000,000.00")&amp;" ج" &amp;" "&amp;G39&amp;" "&amp;TEXT(H39,"0%")</f>
        <v>← متاخرات المديونية     مبلغ  28,098,874.75 ج بنسبة 87%</v>
      </c>
      <c r="E39" s="12" t="s">
        <v>140</v>
      </c>
      <c r="F39" s="9">
        <f>F36-SUMIFS(M.C!J:J,M.C!B:B,E34,M.C!L:L,"Not Due")</f>
        <v>28098874.750000007</v>
      </c>
      <c r="G39" s="9" t="s">
        <v>24</v>
      </c>
      <c r="H39" s="10">
        <f>F39/$F$36</f>
        <v>0.86960886757066702</v>
      </c>
    </row>
    <row r="40" spans="1:12" x14ac:dyDescent="0.25">
      <c r="A40">
        <v>1</v>
      </c>
      <c r="B40" t="str">
        <f t="shared" si="3"/>
        <v/>
      </c>
      <c r="D40" s="19" t="str">
        <f t="shared" si="4"/>
        <v>← &gt; 120 Days     مبلغ  0,000,000.00 ج بنسبة 0%</v>
      </c>
      <c r="E40" s="12" t="str">
        <f>"←"&amp;" "&amp;K40 &amp; "     "&amp; "مبلغ "</f>
        <v xml:space="preserve">← &gt; 120 Days     مبلغ </v>
      </c>
      <c r="F40" s="9">
        <f>L40</f>
        <v>0</v>
      </c>
      <c r="G40" s="9" t="s">
        <v>24</v>
      </c>
      <c r="H40" s="10">
        <f t="shared" ref="H40:H46" si="5">F40/$F$36</f>
        <v>0</v>
      </c>
      <c r="J40" t="str">
        <f>$E$34&amp;K40</f>
        <v>Dakahlia - Al Yasmine&gt; 120 Days</v>
      </c>
      <c r="K40" s="22" t="s">
        <v>173</v>
      </c>
      <c r="L40" s="9">
        <f>_xlfn.XLOOKUP(J40,مديونية!D:D,مديونية!C:C,0)</f>
        <v>0</v>
      </c>
    </row>
    <row r="41" spans="1:12" x14ac:dyDescent="0.25">
      <c r="A41">
        <v>1</v>
      </c>
      <c r="B41">
        <f t="shared" si="3"/>
        <v>1</v>
      </c>
      <c r="D41" s="19" t="str">
        <f t="shared" si="4"/>
        <v>← 61 : 120 Days     مبلغ  21,753,857.78 ج بنسبة 67%</v>
      </c>
      <c r="E41" s="12" t="str">
        <f>"←"&amp;" "&amp;K41 &amp;"     "&amp; "مبلغ "</f>
        <v xml:space="preserve">← 61 : 120 Days     مبلغ </v>
      </c>
      <c r="F41" s="9">
        <f t="shared" ref="F41:F45" si="6">L41</f>
        <v>21753857.780000001</v>
      </c>
      <c r="G41" s="9" t="s">
        <v>24</v>
      </c>
      <c r="H41" s="10">
        <f t="shared" si="5"/>
        <v>0.67324217776226569</v>
      </c>
      <c r="J41" t="str">
        <f t="shared" ref="J41:J47" si="7">$E$34&amp;K41</f>
        <v>Dakahlia - Al Yasmine61 : 120 Days</v>
      </c>
      <c r="K41" s="22" t="s">
        <v>172</v>
      </c>
      <c r="L41" s="9">
        <f>_xlfn.XLOOKUP(J41,مديونية!D:D,مديونية!C:C,0)</f>
        <v>21753857.780000001</v>
      </c>
    </row>
    <row r="42" spans="1:12" x14ac:dyDescent="0.25">
      <c r="A42">
        <v>1</v>
      </c>
      <c r="B42">
        <f t="shared" si="3"/>
        <v>1</v>
      </c>
      <c r="D42" s="19" t="str">
        <f t="shared" si="4"/>
        <v>← 31 : 60 Days     مبلغ  1,499,783.86 ج بنسبة 5%</v>
      </c>
      <c r="E42" s="12" t="str">
        <f t="shared" ref="E42:E46" si="8">"←"&amp;" "&amp;K42 &amp;"     "&amp; "مبلغ "</f>
        <v xml:space="preserve">← 31 : 60 Days     مبلغ </v>
      </c>
      <c r="F42" s="9">
        <f t="shared" si="6"/>
        <v>1499783.8599999999</v>
      </c>
      <c r="G42" s="9" t="s">
        <v>24</v>
      </c>
      <c r="H42" s="10">
        <f t="shared" si="5"/>
        <v>4.641557200063192E-2</v>
      </c>
      <c r="J42" t="str">
        <f t="shared" si="7"/>
        <v>Dakahlia - Al Yasmine31 : 60 Days</v>
      </c>
      <c r="K42" s="22" t="s">
        <v>170</v>
      </c>
      <c r="L42" s="9">
        <f>_xlfn.XLOOKUP(J42,مديونية!D:D,مديونية!C:C,0)</f>
        <v>1499783.8599999999</v>
      </c>
    </row>
    <row r="43" spans="1:12" x14ac:dyDescent="0.25">
      <c r="A43">
        <v>1</v>
      </c>
      <c r="B43">
        <f t="shared" si="3"/>
        <v>1</v>
      </c>
      <c r="D43" s="19" t="str">
        <f t="shared" si="4"/>
        <v>← 21 : 30 Days     مبلغ  0,039,835.00 ج بنسبة 0%</v>
      </c>
      <c r="E43" s="12" t="str">
        <f t="shared" si="8"/>
        <v xml:space="preserve">← 21 : 30 Days     مبلغ </v>
      </c>
      <c r="F43" s="9">
        <f t="shared" si="6"/>
        <v>39835</v>
      </c>
      <c r="G43" s="9" t="s">
        <v>24</v>
      </c>
      <c r="H43" s="10">
        <f t="shared" si="5"/>
        <v>1.2328205149808539E-3</v>
      </c>
      <c r="J43" t="str">
        <f t="shared" si="7"/>
        <v>Dakahlia - Al Yasmine21 : 30 Days</v>
      </c>
      <c r="K43" s="22" t="s">
        <v>80</v>
      </c>
      <c r="L43" s="9">
        <f>_xlfn.XLOOKUP(J43,مديونية!D:D,مديونية!C:C,0)</f>
        <v>39835</v>
      </c>
    </row>
    <row r="44" spans="1:12" x14ac:dyDescent="0.25">
      <c r="A44">
        <v>1</v>
      </c>
      <c r="B44">
        <f t="shared" si="3"/>
        <v>1</v>
      </c>
      <c r="D44" s="19" t="str">
        <f t="shared" si="4"/>
        <v>← 11 : 20 Days     مبلغ  0,891,089.00 ج بنسبة 3%</v>
      </c>
      <c r="E44" s="12" t="str">
        <f t="shared" si="8"/>
        <v xml:space="preserve">← 11 : 20 Days     مبلغ </v>
      </c>
      <c r="F44" s="9">
        <f t="shared" si="6"/>
        <v>891089</v>
      </c>
      <c r="G44" s="9" t="s">
        <v>24</v>
      </c>
      <c r="H44" s="10">
        <f t="shared" si="5"/>
        <v>2.7577577504048552E-2</v>
      </c>
      <c r="J44" t="str">
        <f t="shared" si="7"/>
        <v>Dakahlia - Al Yasmine11 : 20 Days</v>
      </c>
      <c r="K44" s="22" t="s">
        <v>81</v>
      </c>
      <c r="L44" s="9">
        <f>_xlfn.XLOOKUP(J44,مديونية!D:D,مديونية!C:C,0)</f>
        <v>891089</v>
      </c>
    </row>
    <row r="45" spans="1:12" x14ac:dyDescent="0.25">
      <c r="A45">
        <v>1</v>
      </c>
      <c r="B45">
        <f t="shared" si="3"/>
        <v>1</v>
      </c>
      <c r="D45" s="19" t="str">
        <f t="shared" si="4"/>
        <v>← 1 : 10 Days     مبلغ  3,914,309.11 ج بنسبة 12%</v>
      </c>
      <c r="E45" s="12" t="str">
        <f t="shared" si="8"/>
        <v xml:space="preserve">← 1 : 10 Days     مبلغ </v>
      </c>
      <c r="F45" s="9">
        <f t="shared" si="6"/>
        <v>3914309.1100000003</v>
      </c>
      <c r="G45" s="9" t="s">
        <v>24</v>
      </c>
      <c r="H45" s="10">
        <f t="shared" si="5"/>
        <v>0.12114071978873975</v>
      </c>
      <c r="J45" t="str">
        <f t="shared" si="7"/>
        <v>Dakahlia - Al Yasmine1 : 10 Days</v>
      </c>
      <c r="K45" s="22" t="s">
        <v>171</v>
      </c>
      <c r="L45" s="9">
        <f>_xlfn.XLOOKUP(J45,مديونية!D:D,مديونية!C:C,0)</f>
        <v>3914309.1100000003</v>
      </c>
    </row>
    <row r="46" spans="1:12" x14ac:dyDescent="0.25">
      <c r="A46">
        <v>1</v>
      </c>
      <c r="B46">
        <f t="shared" si="3"/>
        <v>1</v>
      </c>
      <c r="D46" s="19" t="str">
        <f t="shared" si="4"/>
        <v>← Not Due     مبلغ  10,386,991.92 ج بنسبة 32%</v>
      </c>
      <c r="E46" s="12" t="str">
        <f t="shared" si="8"/>
        <v xml:space="preserve">← Not Due     مبلغ </v>
      </c>
      <c r="F46" s="9">
        <v>10386991.92</v>
      </c>
      <c r="G46" s="9" t="s">
        <v>24</v>
      </c>
      <c r="H46" s="10">
        <f t="shared" si="5"/>
        <v>0.32145843423914566</v>
      </c>
      <c r="J46" t="str">
        <f t="shared" si="7"/>
        <v>Dakahlia - Al YasmineNot Due</v>
      </c>
      <c r="K46" t="s">
        <v>82</v>
      </c>
      <c r="L46" s="9">
        <f>_xlfn.XLOOKUP(J46,مديونية!D:D,مديونية!C:C,0)</f>
        <v>4213209.22</v>
      </c>
    </row>
    <row r="47" spans="1:12" x14ac:dyDescent="0.25">
      <c r="A47">
        <v>1</v>
      </c>
      <c r="B47" t="str">
        <f t="shared" si="3"/>
        <v/>
      </c>
      <c r="D47" s="19"/>
      <c r="E47" s="12" t="s">
        <v>141</v>
      </c>
      <c r="F47" s="9">
        <v>0</v>
      </c>
      <c r="G47" s="9">
        <v>0</v>
      </c>
      <c r="H47" s="10">
        <v>0</v>
      </c>
      <c r="J47" t="str">
        <f t="shared" si="7"/>
        <v>Dakahlia - Al YasmineGrand Total</v>
      </c>
      <c r="K47" t="s">
        <v>83</v>
      </c>
      <c r="L47" s="9">
        <f>_xlfn.XLOOKUP(J47,مديونية!D:D,مديونية!C:C,0)</f>
        <v>0</v>
      </c>
    </row>
    <row r="48" spans="1:12" x14ac:dyDescent="0.25">
      <c r="A48">
        <v>1</v>
      </c>
      <c r="B48" t="str">
        <f t="shared" si="3"/>
        <v/>
      </c>
      <c r="D48" s="19"/>
      <c r="E48" s="12" t="s">
        <v>141</v>
      </c>
      <c r="F48" s="9">
        <v>0</v>
      </c>
      <c r="G48" s="9">
        <v>0</v>
      </c>
      <c r="H48" s="10">
        <v>0</v>
      </c>
    </row>
    <row r="49" spans="1:12" x14ac:dyDescent="0.25">
      <c r="A49">
        <v>1</v>
      </c>
      <c r="B49" t="str">
        <f t="shared" si="3"/>
        <v/>
      </c>
      <c r="D49" s="19"/>
      <c r="E49" s="12" t="s">
        <v>141</v>
      </c>
      <c r="F49" s="9">
        <v>0</v>
      </c>
      <c r="G49" s="9">
        <v>0</v>
      </c>
      <c r="H49" s="10">
        <v>0</v>
      </c>
    </row>
    <row r="50" spans="1:12" x14ac:dyDescent="0.25">
      <c r="A50">
        <v>1</v>
      </c>
      <c r="B50" t="str">
        <f t="shared" ref="B50:B59" si="9">IF(F50&gt;0,1,"")</f>
        <v/>
      </c>
      <c r="D50" s="19"/>
      <c r="E50" s="12" t="str">
        <f>"←"&amp;" "&amp;K50 &amp; "     "&amp; "مبلغ "</f>
        <v xml:space="preserve">←      مبلغ </v>
      </c>
      <c r="F50" s="9">
        <f>L50</f>
        <v>0</v>
      </c>
      <c r="G50" s="9" t="s">
        <v>24</v>
      </c>
      <c r="H50" s="10">
        <f t="shared" ref="H50:H55" si="10">F50/$F$36</f>
        <v>0</v>
      </c>
      <c r="J50" t="str">
        <f>$E$34&amp;K50</f>
        <v>Dakahlia - Al Yasmine</v>
      </c>
      <c r="K50" s="22"/>
      <c r="L50" s="9">
        <f>_xlfn.XLOOKUP(J50,مديونية!D:D,مديونية!C:C,0)</f>
        <v>0</v>
      </c>
    </row>
    <row r="51" spans="1:12" x14ac:dyDescent="0.25">
      <c r="A51">
        <v>1</v>
      </c>
      <c r="B51" t="str">
        <f t="shared" si="9"/>
        <v/>
      </c>
      <c r="D51" s="19"/>
      <c r="E51" s="12" t="str">
        <f>"←"&amp;" "&amp;K51 &amp;"     "&amp; "مبلغ "</f>
        <v xml:space="preserve">←      مبلغ </v>
      </c>
      <c r="F51" s="9">
        <f t="shared" ref="F51:F55" si="11">L51</f>
        <v>0</v>
      </c>
      <c r="G51" s="9" t="s">
        <v>24</v>
      </c>
      <c r="H51" s="10">
        <f t="shared" si="10"/>
        <v>0</v>
      </c>
      <c r="J51" t="str">
        <f t="shared" ref="J51:J57" si="12">$E$34&amp;K51</f>
        <v>Dakahlia - Al Yasmine</v>
      </c>
      <c r="K51" s="22"/>
      <c r="L51" s="9">
        <f>_xlfn.XLOOKUP(J51,مديونية!D:D,مديونية!C:C,0)</f>
        <v>0</v>
      </c>
    </row>
    <row r="52" spans="1:12" x14ac:dyDescent="0.25">
      <c r="A52">
        <v>1</v>
      </c>
      <c r="B52" t="str">
        <f t="shared" si="9"/>
        <v/>
      </c>
      <c r="D52" s="19"/>
      <c r="E52" s="12" t="str">
        <f t="shared" ref="E52:E55" si="13">"←"&amp;" "&amp;K52 &amp;"     "&amp; "مبلغ "</f>
        <v xml:space="preserve">←      مبلغ </v>
      </c>
      <c r="F52" s="9">
        <f t="shared" si="11"/>
        <v>0</v>
      </c>
      <c r="G52" s="9" t="s">
        <v>24</v>
      </c>
      <c r="H52" s="10">
        <f t="shared" si="10"/>
        <v>0</v>
      </c>
      <c r="J52" t="str">
        <f t="shared" si="12"/>
        <v>Dakahlia - Al Yasmine</v>
      </c>
      <c r="K52" s="22"/>
      <c r="L52" s="9">
        <f>_xlfn.XLOOKUP(J52,مديونية!D:D,مديونية!C:C,0)</f>
        <v>0</v>
      </c>
    </row>
    <row r="53" spans="1:12" x14ac:dyDescent="0.25">
      <c r="A53">
        <v>1</v>
      </c>
      <c r="B53" t="str">
        <f t="shared" si="9"/>
        <v/>
      </c>
      <c r="D53" s="19"/>
      <c r="E53" s="12" t="str">
        <f t="shared" si="13"/>
        <v xml:space="preserve">←      مبلغ </v>
      </c>
      <c r="F53" s="9">
        <f t="shared" si="11"/>
        <v>0</v>
      </c>
      <c r="G53" s="9" t="s">
        <v>24</v>
      </c>
      <c r="H53" s="10">
        <f t="shared" si="10"/>
        <v>0</v>
      </c>
      <c r="J53" t="str">
        <f t="shared" si="12"/>
        <v>Dakahlia - Al Yasmine</v>
      </c>
      <c r="K53" s="22"/>
      <c r="L53" s="9">
        <f>_xlfn.XLOOKUP(J53,مديونية!D:D,مديونية!C:C,0)</f>
        <v>0</v>
      </c>
    </row>
    <row r="54" spans="1:12" x14ac:dyDescent="0.25">
      <c r="A54">
        <v>1</v>
      </c>
      <c r="B54" t="str">
        <f t="shared" si="9"/>
        <v/>
      </c>
      <c r="D54" s="19"/>
      <c r="E54" s="12" t="str">
        <f t="shared" si="13"/>
        <v xml:space="preserve">←      مبلغ </v>
      </c>
      <c r="F54" s="9">
        <f t="shared" si="11"/>
        <v>0</v>
      </c>
      <c r="G54" s="9" t="s">
        <v>24</v>
      </c>
      <c r="H54" s="10">
        <f t="shared" si="10"/>
        <v>0</v>
      </c>
      <c r="J54" t="str">
        <f t="shared" si="12"/>
        <v>Dakahlia - Al Yasmine</v>
      </c>
      <c r="K54" s="22"/>
      <c r="L54" s="9">
        <f>_xlfn.XLOOKUP(J54,مديونية!D:D,مديونية!C:C,0)</f>
        <v>0</v>
      </c>
    </row>
    <row r="55" spans="1:12" x14ac:dyDescent="0.25">
      <c r="A55">
        <v>1</v>
      </c>
      <c r="B55" t="str">
        <f t="shared" si="9"/>
        <v/>
      </c>
      <c r="D55" s="19"/>
      <c r="E55" s="12" t="str">
        <f t="shared" si="13"/>
        <v xml:space="preserve">←      مبلغ </v>
      </c>
      <c r="F55" s="9">
        <f t="shared" si="11"/>
        <v>0</v>
      </c>
      <c r="G55" s="9" t="s">
        <v>24</v>
      </c>
      <c r="H55" s="10">
        <f t="shared" si="10"/>
        <v>0</v>
      </c>
      <c r="J55" t="str">
        <f t="shared" si="12"/>
        <v>Dakahlia - Al Yasmine</v>
      </c>
      <c r="K55" s="22"/>
      <c r="L55" s="9">
        <f>_xlfn.XLOOKUP(J55,مديونية!D:D,مديونية!C:C,0)</f>
        <v>0</v>
      </c>
    </row>
    <row r="56" spans="1:12" x14ac:dyDescent="0.25">
      <c r="A56">
        <v>1</v>
      </c>
      <c r="D56" s="19"/>
      <c r="E56" s="12"/>
      <c r="G56" s="9"/>
      <c r="L56" s="9">
        <f>_xlfn.XLOOKUP(J56,مديونية!D:D,مديونية!C:C,0)</f>
        <v>0</v>
      </c>
    </row>
    <row r="57" spans="1:12" x14ac:dyDescent="0.25">
      <c r="A57">
        <v>1</v>
      </c>
      <c r="B57" t="str">
        <f t="shared" si="9"/>
        <v/>
      </c>
      <c r="D57" s="19"/>
      <c r="E57" s="12" t="s">
        <v>141</v>
      </c>
      <c r="F57" s="9">
        <v>0</v>
      </c>
      <c r="G57" s="9">
        <v>0</v>
      </c>
      <c r="H57" s="10">
        <v>0</v>
      </c>
      <c r="J57" t="str">
        <f t="shared" si="12"/>
        <v>Dakahlia - Al Yasmine</v>
      </c>
      <c r="L57" s="9">
        <f>_xlfn.XLOOKUP(J57,مديونية!D:D,مديونية!C:C,0)</f>
        <v>0</v>
      </c>
    </row>
    <row r="58" spans="1:12" x14ac:dyDescent="0.25">
      <c r="A58">
        <v>1</v>
      </c>
      <c r="B58" t="str">
        <f t="shared" si="9"/>
        <v/>
      </c>
      <c r="D58" s="19"/>
      <c r="E58" s="12" t="s">
        <v>141</v>
      </c>
      <c r="F58" s="9">
        <v>0</v>
      </c>
      <c r="G58" s="9">
        <v>0</v>
      </c>
      <c r="H58" s="10">
        <v>0</v>
      </c>
    </row>
    <row r="59" spans="1:12" x14ac:dyDescent="0.25">
      <c r="A59">
        <v>1</v>
      </c>
      <c r="B59" t="str">
        <f t="shared" si="9"/>
        <v/>
      </c>
      <c r="D59" s="19"/>
      <c r="E59" s="12" t="s">
        <v>141</v>
      </c>
      <c r="F59" s="9">
        <v>0</v>
      </c>
      <c r="G59" s="9">
        <v>0</v>
      </c>
      <c r="H59" s="10">
        <v>0</v>
      </c>
    </row>
    <row r="60" spans="1:12" x14ac:dyDescent="0.25">
      <c r="A60">
        <v>1</v>
      </c>
      <c r="B60" t="str">
        <f t="shared" si="3"/>
        <v/>
      </c>
      <c r="D60" s="19"/>
      <c r="E60" s="12" t="s">
        <v>141</v>
      </c>
      <c r="F60" s="9">
        <v>0</v>
      </c>
      <c r="G60" s="9">
        <v>0</v>
      </c>
      <c r="H60" s="10">
        <v>0</v>
      </c>
    </row>
    <row r="61" spans="1:12" x14ac:dyDescent="0.25">
      <c r="A61">
        <v>1</v>
      </c>
      <c r="B61" t="str">
        <f t="shared" si="3"/>
        <v/>
      </c>
      <c r="D61" s="19"/>
      <c r="E61" s="12" t="s">
        <v>141</v>
      </c>
      <c r="F61" s="9">
        <v>0</v>
      </c>
      <c r="G61" s="9">
        <v>0</v>
      </c>
      <c r="H61" s="10">
        <v>0</v>
      </c>
    </row>
    <row r="62" spans="1:12" x14ac:dyDescent="0.25">
      <c r="A62">
        <v>1</v>
      </c>
      <c r="B62" t="str">
        <f t="shared" si="3"/>
        <v/>
      </c>
      <c r="D62" s="19"/>
      <c r="E62" s="12" t="s">
        <v>141</v>
      </c>
      <c r="F62" s="9">
        <v>0</v>
      </c>
      <c r="G62" s="9">
        <v>0</v>
      </c>
      <c r="H62" s="10">
        <v>0</v>
      </c>
    </row>
    <row r="63" spans="1:12" x14ac:dyDescent="0.25">
      <c r="A63">
        <v>1</v>
      </c>
      <c r="B63" t="str">
        <f t="shared" si="3"/>
        <v/>
      </c>
      <c r="D63" s="19"/>
      <c r="E63" s="12" t="s">
        <v>141</v>
      </c>
      <c r="F63" s="9">
        <v>0</v>
      </c>
      <c r="G63" s="9">
        <v>0</v>
      </c>
      <c r="H63" s="10">
        <v>0</v>
      </c>
    </row>
    <row r="64" spans="1:12" x14ac:dyDescent="0.25">
      <c r="A64">
        <v>1</v>
      </c>
      <c r="B64" t="str">
        <f t="shared" si="3"/>
        <v/>
      </c>
      <c r="D64" s="19"/>
      <c r="E64" s="12" t="s">
        <v>141</v>
      </c>
      <c r="F64" s="9">
        <v>0</v>
      </c>
      <c r="G64" s="9">
        <v>0</v>
      </c>
      <c r="H64" s="10">
        <v>0</v>
      </c>
    </row>
    <row r="65" spans="1:9" x14ac:dyDescent="0.25">
      <c r="A65">
        <v>1</v>
      </c>
      <c r="B65" t="str">
        <f t="shared" si="3"/>
        <v/>
      </c>
      <c r="D65" s="19"/>
      <c r="E65" s="24"/>
      <c r="G65"/>
    </row>
    <row r="66" spans="1:9" x14ac:dyDescent="0.25">
      <c r="A66">
        <v>1</v>
      </c>
      <c r="B66" t="str">
        <f t="shared" si="3"/>
        <v/>
      </c>
      <c r="D66" s="19"/>
      <c r="E66" s="24"/>
      <c r="G66"/>
    </row>
    <row r="67" spans="1:9" x14ac:dyDescent="0.25">
      <c r="A67">
        <v>1</v>
      </c>
      <c r="B67">
        <v>1</v>
      </c>
      <c r="D67" s="13" t="s">
        <v>22</v>
      </c>
      <c r="I67" t="str">
        <f>TEXT(H44,"0%")</f>
        <v>3%</v>
      </c>
    </row>
    <row r="68" spans="1:9" x14ac:dyDescent="0.25">
      <c r="A68">
        <v>1</v>
      </c>
      <c r="B68">
        <f t="shared" si="3"/>
        <v>1</v>
      </c>
      <c r="D68" s="12" t="str">
        <f>E68&amp;" "&amp;TEXT(F68,"0,000,000.00")&amp;" ج" &amp;" "&amp;G68&amp;" "&amp;TEXT(H68,"0%")</f>
        <v>← تبلغ مديونية الموزع مبلغ  24,413,738.21 ج بنسبة 76%</v>
      </c>
      <c r="E68" t="s">
        <v>23</v>
      </c>
      <c r="F68" s="9">
        <f>SUMIF(M.C!E:E,"مصطفى حسيب",M.C!J:J)</f>
        <v>24413738.210000001</v>
      </c>
      <c r="G68" s="10" t="s">
        <v>24</v>
      </c>
      <c r="H68" s="10">
        <f>F68/F36</f>
        <v>0.75556062037554783</v>
      </c>
    </row>
    <row r="69" spans="1:9" x14ac:dyDescent="0.25">
      <c r="A69">
        <v>1</v>
      </c>
      <c r="B69">
        <f t="shared" si="3"/>
        <v>1</v>
      </c>
      <c r="D69" s="12" t="str">
        <f t="shared" ref="D69" si="14">E69&amp;" "&amp;TEXT(F69,"0,000,000.00")&amp;" ج" &amp;" "&amp;G69&amp;" "&amp;TEXT(H69,"0%")</f>
        <v>← تبلغ متأخرات الموزع مبلغ  24,081,628.32 ج بنسبة 75%</v>
      </c>
      <c r="E69" t="s">
        <v>25</v>
      </c>
      <c r="F69" s="9">
        <f>F68-SUMIFS(M.C!J:J,M.C!E:E,"مصطفى حسيب",M.C!L:L,"Not Due")</f>
        <v>24081628.32</v>
      </c>
      <c r="G69" s="10" t="s">
        <v>24</v>
      </c>
      <c r="H69" s="10">
        <f>F69/F36</f>
        <v>0.74528242568193581</v>
      </c>
    </row>
    <row r="70" spans="1:9" x14ac:dyDescent="0.25">
      <c r="A70">
        <v>1</v>
      </c>
      <c r="B70">
        <v>1</v>
      </c>
      <c r="D70" s="12" t="s">
        <v>26</v>
      </c>
    </row>
    <row r="71" spans="1:9" x14ac:dyDescent="0.25">
      <c r="A71">
        <v>1</v>
      </c>
      <c r="D71" s="24"/>
      <c r="E71" t="s">
        <v>27</v>
      </c>
      <c r="G71" s="10" t="s">
        <v>24</v>
      </c>
    </row>
    <row r="72" spans="1:9" x14ac:dyDescent="0.25">
      <c r="A72">
        <v>1</v>
      </c>
      <c r="D72" s="24"/>
      <c r="E72" t="s">
        <v>27</v>
      </c>
    </row>
    <row r="73" spans="1:9" x14ac:dyDescent="0.25">
      <c r="A73">
        <v>1</v>
      </c>
      <c r="D73" s="24"/>
      <c r="E73" t="s">
        <v>27</v>
      </c>
      <c r="G73" s="10" t="s">
        <v>24</v>
      </c>
    </row>
    <row r="74" spans="1:9" x14ac:dyDescent="0.25">
      <c r="A74">
        <v>1</v>
      </c>
      <c r="D74" s="24"/>
      <c r="E74" t="s">
        <v>27</v>
      </c>
    </row>
    <row r="75" spans="1:9" x14ac:dyDescent="0.25">
      <c r="A75">
        <v>1</v>
      </c>
      <c r="B75">
        <v>1</v>
      </c>
      <c r="D75" s="13" t="s">
        <v>28</v>
      </c>
      <c r="E75" t="s">
        <v>27</v>
      </c>
    </row>
    <row r="76" spans="1:9" x14ac:dyDescent="0.25">
      <c r="A76">
        <v>1</v>
      </c>
      <c r="E76" t="s">
        <v>27</v>
      </c>
      <c r="F76" s="13" t="s">
        <v>142</v>
      </c>
    </row>
    <row r="77" spans="1:9" x14ac:dyDescent="0.25">
      <c r="A77">
        <v>1</v>
      </c>
      <c r="E77" t="s">
        <v>27</v>
      </c>
    </row>
    <row r="78" spans="1:9" x14ac:dyDescent="0.25">
      <c r="A78">
        <v>1</v>
      </c>
    </row>
    <row r="79" spans="1:9" ht="20.25" x14ac:dyDescent="0.25">
      <c r="A79">
        <v>1</v>
      </c>
      <c r="B79">
        <v>1</v>
      </c>
      <c r="D79" s="17" t="s">
        <v>29</v>
      </c>
    </row>
    <row r="80" spans="1:9" ht="33" x14ac:dyDescent="0.25">
      <c r="A80">
        <v>1</v>
      </c>
      <c r="B80">
        <v>1</v>
      </c>
      <c r="D80" s="18" t="s">
        <v>30</v>
      </c>
    </row>
    <row r="81" spans="1:4" x14ac:dyDescent="0.25">
      <c r="A81">
        <v>1</v>
      </c>
      <c r="B81">
        <v>1</v>
      </c>
      <c r="D81" s="13" t="s">
        <v>31</v>
      </c>
    </row>
    <row r="82" spans="1:4" x14ac:dyDescent="0.25">
      <c r="A82">
        <v>1</v>
      </c>
      <c r="B82">
        <v>1</v>
      </c>
      <c r="D82" s="13" t="s">
        <v>176</v>
      </c>
    </row>
    <row r="83" spans="1:4" x14ac:dyDescent="0.25">
      <c r="A83">
        <v>1</v>
      </c>
      <c r="B83">
        <v>1</v>
      </c>
      <c r="D83" s="13" t="s">
        <v>32</v>
      </c>
    </row>
    <row r="84" spans="1:4" x14ac:dyDescent="0.25">
      <c r="A84">
        <v>1</v>
      </c>
    </row>
    <row r="85" spans="1:4" x14ac:dyDescent="0.25">
      <c r="D85" s="13" t="s">
        <v>178</v>
      </c>
    </row>
    <row r="87" spans="1:4" x14ac:dyDescent="0.25">
      <c r="A87">
        <v>1</v>
      </c>
    </row>
    <row r="89" spans="1:4" ht="20.25" x14ac:dyDescent="0.25">
      <c r="A89">
        <v>1</v>
      </c>
      <c r="B89">
        <v>1</v>
      </c>
      <c r="D89" s="17" t="s">
        <v>33</v>
      </c>
    </row>
    <row r="90" spans="1:4" ht="16.5" x14ac:dyDescent="0.25">
      <c r="A90">
        <v>1</v>
      </c>
      <c r="B90">
        <v>1</v>
      </c>
      <c r="D90" s="18" t="s">
        <v>34</v>
      </c>
    </row>
    <row r="91" spans="1:4" x14ac:dyDescent="0.25">
      <c r="A91">
        <v>1</v>
      </c>
      <c r="B91">
        <v>1</v>
      </c>
      <c r="D91" s="12" t="s">
        <v>35</v>
      </c>
    </row>
    <row r="92" spans="1:4" x14ac:dyDescent="0.25">
      <c r="A92">
        <v>1</v>
      </c>
      <c r="D92" s="12"/>
    </row>
    <row r="93" spans="1:4" x14ac:dyDescent="0.25">
      <c r="A93">
        <v>1</v>
      </c>
    </row>
    <row r="94" spans="1:4" x14ac:dyDescent="0.25">
      <c r="A94">
        <v>1</v>
      </c>
    </row>
    <row r="95" spans="1:4" x14ac:dyDescent="0.25">
      <c r="A95">
        <v>1</v>
      </c>
    </row>
    <row r="96" spans="1:4" x14ac:dyDescent="0.25">
      <c r="A96">
        <v>1</v>
      </c>
    </row>
    <row r="97" spans="1:5" x14ac:dyDescent="0.25">
      <c r="A97">
        <v>1</v>
      </c>
    </row>
    <row r="98" spans="1:5" x14ac:dyDescent="0.25">
      <c r="A98">
        <v>1</v>
      </c>
    </row>
    <row r="99" spans="1:5" x14ac:dyDescent="0.25">
      <c r="A99">
        <v>1</v>
      </c>
    </row>
    <row r="100" spans="1:5" x14ac:dyDescent="0.25">
      <c r="A100">
        <v>1</v>
      </c>
    </row>
    <row r="101" spans="1:5" x14ac:dyDescent="0.25">
      <c r="A101">
        <v>1</v>
      </c>
    </row>
    <row r="102" spans="1:5" x14ac:dyDescent="0.25">
      <c r="A102">
        <v>1</v>
      </c>
    </row>
    <row r="103" spans="1:5" x14ac:dyDescent="0.25">
      <c r="A103">
        <v>1</v>
      </c>
    </row>
    <row r="104" spans="1:5" x14ac:dyDescent="0.25">
      <c r="A104">
        <v>1</v>
      </c>
    </row>
    <row r="105" spans="1:5" x14ac:dyDescent="0.25">
      <c r="A105">
        <v>1</v>
      </c>
    </row>
    <row r="106" spans="1:5" x14ac:dyDescent="0.25">
      <c r="A106">
        <v>1</v>
      </c>
    </row>
    <row r="107" spans="1:5" x14ac:dyDescent="0.25">
      <c r="A107">
        <v>1</v>
      </c>
    </row>
    <row r="108" spans="1:5" x14ac:dyDescent="0.25">
      <c r="A108">
        <v>1</v>
      </c>
    </row>
    <row r="109" spans="1:5" x14ac:dyDescent="0.25">
      <c r="A109">
        <v>1</v>
      </c>
      <c r="E109" t="s">
        <v>27</v>
      </c>
    </row>
    <row r="110" spans="1:5" x14ac:dyDescent="0.25">
      <c r="A110">
        <v>1</v>
      </c>
      <c r="E110" t="s">
        <v>27</v>
      </c>
    </row>
    <row r="111" spans="1:5" x14ac:dyDescent="0.25">
      <c r="A111">
        <v>1</v>
      </c>
      <c r="E111" t="s">
        <v>27</v>
      </c>
    </row>
    <row r="112" spans="1:5" x14ac:dyDescent="0.25">
      <c r="A112">
        <v>1</v>
      </c>
    </row>
    <row r="113" spans="1:4" ht="20.25" x14ac:dyDescent="0.25">
      <c r="A113">
        <v>1</v>
      </c>
      <c r="B113">
        <v>1</v>
      </c>
      <c r="D113" s="17" t="s">
        <v>37</v>
      </c>
    </row>
    <row r="114" spans="1:4" ht="16.5" x14ac:dyDescent="0.25">
      <c r="A114">
        <v>1</v>
      </c>
      <c r="B114">
        <v>1</v>
      </c>
      <c r="D114" s="18" t="s">
        <v>38</v>
      </c>
    </row>
    <row r="115" spans="1:4" x14ac:dyDescent="0.25">
      <c r="A115">
        <v>1</v>
      </c>
      <c r="B115">
        <v>1</v>
      </c>
      <c r="D115" s="25" t="s">
        <v>39</v>
      </c>
    </row>
    <row r="116" spans="1:4" x14ac:dyDescent="0.25">
      <c r="A116">
        <v>1</v>
      </c>
      <c r="D116" s="13" t="s">
        <v>40</v>
      </c>
    </row>
    <row r="117" spans="1:4" x14ac:dyDescent="0.25">
      <c r="A117">
        <v>1</v>
      </c>
      <c r="D117" s="13" t="s">
        <v>41</v>
      </c>
    </row>
    <row r="118" spans="1:4" x14ac:dyDescent="0.25">
      <c r="A118">
        <v>1</v>
      </c>
      <c r="D118" s="13" t="s">
        <v>42</v>
      </c>
    </row>
    <row r="119" spans="1:4" x14ac:dyDescent="0.25">
      <c r="A119">
        <v>1</v>
      </c>
      <c r="D119" s="13" t="s">
        <v>43</v>
      </c>
    </row>
    <row r="120" spans="1:4" x14ac:dyDescent="0.25">
      <c r="A120">
        <v>1</v>
      </c>
      <c r="D120" s="13" t="s">
        <v>44</v>
      </c>
    </row>
    <row r="121" spans="1:4" x14ac:dyDescent="0.25">
      <c r="A121">
        <v>1</v>
      </c>
      <c r="D121" s="13" t="s">
        <v>45</v>
      </c>
    </row>
    <row r="122" spans="1:4" x14ac:dyDescent="0.25">
      <c r="A122">
        <v>1</v>
      </c>
      <c r="D122" s="13" t="s">
        <v>46</v>
      </c>
    </row>
    <row r="123" spans="1:4" x14ac:dyDescent="0.25">
      <c r="A123">
        <v>1</v>
      </c>
      <c r="D123" s="13" t="s">
        <v>47</v>
      </c>
    </row>
    <row r="124" spans="1:4" x14ac:dyDescent="0.25">
      <c r="A124">
        <v>1</v>
      </c>
      <c r="D124" s="13" t="s">
        <v>48</v>
      </c>
    </row>
    <row r="125" spans="1:4" x14ac:dyDescent="0.25">
      <c r="A125">
        <v>1</v>
      </c>
      <c r="D125" s="13" t="s">
        <v>49</v>
      </c>
    </row>
    <row r="126" spans="1:4" x14ac:dyDescent="0.25">
      <c r="A126">
        <v>1</v>
      </c>
      <c r="D126" s="13" t="s">
        <v>50</v>
      </c>
    </row>
    <row r="127" spans="1:4" x14ac:dyDescent="0.25">
      <c r="A127">
        <v>1</v>
      </c>
      <c r="D127" s="13" t="s">
        <v>51</v>
      </c>
    </row>
    <row r="128" spans="1:4" x14ac:dyDescent="0.25">
      <c r="A128">
        <v>1</v>
      </c>
      <c r="B128">
        <v>1</v>
      </c>
      <c r="D128" s="13" t="s">
        <v>52</v>
      </c>
    </row>
    <row r="129" spans="1:4" x14ac:dyDescent="0.25">
      <c r="A129">
        <v>1</v>
      </c>
    </row>
    <row r="130" spans="1:4" x14ac:dyDescent="0.25">
      <c r="A130">
        <v>1</v>
      </c>
    </row>
    <row r="131" spans="1:4" x14ac:dyDescent="0.25">
      <c r="A131">
        <v>1</v>
      </c>
    </row>
    <row r="132" spans="1:4" x14ac:dyDescent="0.25">
      <c r="A132">
        <v>1</v>
      </c>
    </row>
    <row r="133" spans="1:4" x14ac:dyDescent="0.25">
      <c r="A133">
        <v>1</v>
      </c>
    </row>
    <row r="134" spans="1:4" x14ac:dyDescent="0.25">
      <c r="A134">
        <v>1</v>
      </c>
    </row>
    <row r="135" spans="1:4" x14ac:dyDescent="0.25">
      <c r="A135">
        <v>1</v>
      </c>
    </row>
    <row r="136" spans="1:4" x14ac:dyDescent="0.25">
      <c r="A136">
        <v>1</v>
      </c>
    </row>
    <row r="137" spans="1:4" x14ac:dyDescent="0.25">
      <c r="A137">
        <v>1</v>
      </c>
    </row>
    <row r="138" spans="1:4" x14ac:dyDescent="0.25">
      <c r="A138">
        <v>1</v>
      </c>
    </row>
    <row r="139" spans="1:4" x14ac:dyDescent="0.25">
      <c r="A139">
        <v>1</v>
      </c>
    </row>
    <row r="140" spans="1:4" ht="20.25" x14ac:dyDescent="0.25">
      <c r="A140">
        <v>1</v>
      </c>
      <c r="B140">
        <v>1</v>
      </c>
      <c r="D140" s="26" t="s">
        <v>53</v>
      </c>
    </row>
    <row r="141" spans="1:4" ht="16.5" x14ac:dyDescent="0.25">
      <c r="A141">
        <v>1</v>
      </c>
      <c r="B141">
        <v>1</v>
      </c>
      <c r="D141" s="17" t="s">
        <v>54</v>
      </c>
    </row>
    <row r="142" spans="1:4" ht="16.5" x14ac:dyDescent="0.25">
      <c r="A142">
        <v>1</v>
      </c>
      <c r="B142">
        <v>1</v>
      </c>
      <c r="D142" s="27" t="s">
        <v>55</v>
      </c>
    </row>
    <row r="143" spans="1:4" ht="15.75" x14ac:dyDescent="0.25">
      <c r="A143">
        <v>1</v>
      </c>
      <c r="B143">
        <v>1</v>
      </c>
      <c r="D143" s="28" t="s">
        <v>56</v>
      </c>
    </row>
    <row r="144" spans="1:4" ht="15.75" x14ac:dyDescent="0.25">
      <c r="A144">
        <v>1</v>
      </c>
      <c r="D144" s="28" t="s">
        <v>57</v>
      </c>
    </row>
    <row r="145" spans="1:6" ht="15.75" x14ac:dyDescent="0.25">
      <c r="A145">
        <v>1</v>
      </c>
      <c r="B145">
        <v>1</v>
      </c>
      <c r="D145" s="28" t="s">
        <v>58</v>
      </c>
    </row>
    <row r="146" spans="1:6" ht="15.75" x14ac:dyDescent="0.25">
      <c r="A146">
        <v>1</v>
      </c>
      <c r="B146">
        <v>1</v>
      </c>
      <c r="D146" s="28" t="s">
        <v>59</v>
      </c>
    </row>
    <row r="147" spans="1:6" ht="15.75" x14ac:dyDescent="0.25">
      <c r="A147">
        <v>1</v>
      </c>
      <c r="B147">
        <v>1</v>
      </c>
      <c r="D147" s="28" t="s">
        <v>60</v>
      </c>
    </row>
    <row r="148" spans="1:6" x14ac:dyDescent="0.25">
      <c r="A148">
        <v>1</v>
      </c>
      <c r="F148" s="12" t="e">
        <f>#REF!</f>
        <v>#REF!</v>
      </c>
    </row>
    <row r="149" spans="1:6" x14ac:dyDescent="0.25">
      <c r="A149">
        <v>1</v>
      </c>
      <c r="F149" s="12">
        <f>D5</f>
        <v>0</v>
      </c>
    </row>
    <row r="150" spans="1:6" x14ac:dyDescent="0.25">
      <c r="A150">
        <v>1</v>
      </c>
      <c r="F150" s="12" t="str">
        <f>G6</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51" spans="1:6" x14ac:dyDescent="0.25">
      <c r="A151">
        <v>1</v>
      </c>
    </row>
    <row r="152" spans="1:6" ht="18.75" x14ac:dyDescent="0.35">
      <c r="A152">
        <v>1</v>
      </c>
      <c r="B152">
        <v>1</v>
      </c>
      <c r="D152" s="29" t="s">
        <v>61</v>
      </c>
    </row>
    <row r="153" spans="1:6" x14ac:dyDescent="0.25">
      <c r="A153">
        <v>1</v>
      </c>
    </row>
    <row r="154" spans="1:6" x14ac:dyDescent="0.25">
      <c r="A154">
        <v>1</v>
      </c>
      <c r="D154" s="13" t="e">
        <f>#REF!</f>
        <v>#REF!</v>
      </c>
    </row>
    <row r="155" spans="1:6" x14ac:dyDescent="0.25">
      <c r="A155">
        <v>1</v>
      </c>
      <c r="D155" s="13">
        <f>D5</f>
        <v>0</v>
      </c>
    </row>
    <row r="156" spans="1:6" x14ac:dyDescent="0.25">
      <c r="A156">
        <v>1</v>
      </c>
      <c r="D156" s="13" t="str">
        <f>G6</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57" spans="1:6" x14ac:dyDescent="0.25">
      <c r="A157">
        <v>1</v>
      </c>
      <c r="B157">
        <v>1</v>
      </c>
      <c r="D157" s="13" t="str">
        <f>D142</f>
        <v>ــ   توجد أتربة باستمرار داخل مخزن الملكة ناتجة عن مصنع الأدوات الصحية المقابل للمخزن . تم التوجيه بضرورة النظافة المستمرة لتلك الأتربة وعمل خطة محكمة من أجل القضاء عليها . لحين وضع حل جذري لتلك المشكلة . مع التأكيد على تفعيل خطة النظافة .</v>
      </c>
    </row>
    <row r="158" spans="1:6" x14ac:dyDescent="0.25">
      <c r="A158">
        <v>1</v>
      </c>
      <c r="D158" s="13" t="str">
        <f>G6</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159" spans="1:6" x14ac:dyDescent="0.25">
      <c r="A159">
        <v>1</v>
      </c>
      <c r="D159" s="13">
        <f t="shared" ref="D159:D166" si="15">D7</f>
        <v>0</v>
      </c>
    </row>
    <row r="160" spans="1:6" x14ac:dyDescent="0.25">
      <c r="A160">
        <v>1</v>
      </c>
      <c r="D160" s="13">
        <f t="shared" si="15"/>
        <v>0</v>
      </c>
    </row>
    <row r="161" spans="1:8" x14ac:dyDescent="0.25">
      <c r="A161">
        <v>1</v>
      </c>
      <c r="D161" s="13">
        <f t="shared" si="15"/>
        <v>0</v>
      </c>
    </row>
    <row r="162" spans="1:8" x14ac:dyDescent="0.25">
      <c r="A162">
        <v>1</v>
      </c>
      <c r="D162" s="13">
        <f t="shared" si="15"/>
        <v>0</v>
      </c>
    </row>
    <row r="163" spans="1:8" x14ac:dyDescent="0.25">
      <c r="A163">
        <v>1</v>
      </c>
      <c r="D163" s="13">
        <f t="shared" si="15"/>
        <v>0</v>
      </c>
    </row>
    <row r="164" spans="1:8" x14ac:dyDescent="0.25">
      <c r="A164">
        <v>1</v>
      </c>
      <c r="D164" s="13">
        <f t="shared" si="15"/>
        <v>0</v>
      </c>
    </row>
    <row r="165" spans="1:8" x14ac:dyDescent="0.25">
      <c r="A165">
        <v>1</v>
      </c>
      <c r="D165" s="13">
        <f t="shared" si="15"/>
        <v>0</v>
      </c>
    </row>
    <row r="166" spans="1:8" x14ac:dyDescent="0.25">
      <c r="A166">
        <v>1</v>
      </c>
      <c r="D166" s="13" t="str">
        <f t="shared" si="15"/>
        <v>← يوجد بضاعة أمانات بكمية  3954 كرتونة بيانها بمحضر الجرد وتم ارسال ميل بها</v>
      </c>
    </row>
    <row r="167" spans="1:8" x14ac:dyDescent="0.25">
      <c r="A167">
        <v>1</v>
      </c>
      <c r="D167" s="13" t="str">
        <f>F15</f>
        <v>توجد أمانات موزعين للتوكيل بالتوكيلات الاخرى لم يتم الانتهاء من استلامها ويتم ارسال ميل يومي بها</v>
      </c>
    </row>
    <row r="168" spans="1:8" x14ac:dyDescent="0.25">
      <c r="A168">
        <v>1</v>
      </c>
    </row>
    <row r="169" spans="1:8" x14ac:dyDescent="0.25">
      <c r="A169">
        <v>1</v>
      </c>
    </row>
    <row r="170" spans="1:8" x14ac:dyDescent="0.25">
      <c r="A170">
        <v>1</v>
      </c>
    </row>
    <row r="171" spans="1:8" ht="18.75" x14ac:dyDescent="0.35">
      <c r="A171">
        <v>1</v>
      </c>
      <c r="B171">
        <v>1</v>
      </c>
      <c r="D171" s="29" t="s">
        <v>62</v>
      </c>
    </row>
    <row r="172" spans="1:8" ht="19.5" customHeight="1" x14ac:dyDescent="0.25">
      <c r="A172">
        <v>1</v>
      </c>
      <c r="B172">
        <f>B23</f>
        <v>1</v>
      </c>
      <c r="D172" s="30" t="str">
        <f>D23</f>
        <v xml:space="preserve">← توجد فواتير بدون بعد مالي عافيه بمبلغ  34961.47 ج لم يتم الانتهاء من حله حتى الان ويتم الارسال بالمشكلة بصفة دورية إلى الادارة </v>
      </c>
      <c r="F172" s="31"/>
      <c r="G172" s="32"/>
      <c r="H172" s="32"/>
    </row>
    <row r="173" spans="1:8" ht="19.5" customHeight="1" x14ac:dyDescent="0.25">
      <c r="A173">
        <v>1</v>
      </c>
      <c r="B173" t="str">
        <f>B24</f>
        <v/>
      </c>
      <c r="D173" s="30" t="str">
        <f>D24</f>
        <v>←  يوجد فكة بالتوكيل  بمبلغ   0,000,000.00 تم ارسال مبلغ منهم الموزع للقيام بتجميدهم على ان يتم القيام بدفع دفعات منهم</v>
      </c>
      <c r="F173" s="31"/>
      <c r="G173" s="32"/>
      <c r="H173" s="32"/>
    </row>
    <row r="174" spans="1:8" ht="19.5" customHeight="1" x14ac:dyDescent="0.25">
      <c r="A174">
        <v>1</v>
      </c>
      <c r="B174" t="str">
        <f>B25</f>
        <v/>
      </c>
      <c r="D174" s="30" t="str">
        <f>D25</f>
        <v>← يوجد مبلغ  0 تأمينات اجتماعية وضريبة دخل تم صرفها من الخزنه ولم يتم حتى الان صرفها على البرنامج من المخصص وتم ارسال ميل بها للادارة لصرفها</v>
      </c>
      <c r="F174" s="31"/>
      <c r="G174" s="32"/>
      <c r="H174" s="32"/>
    </row>
    <row r="175" spans="1:8" ht="19.5" customHeight="1" x14ac:dyDescent="0.25">
      <c r="A175">
        <v>1</v>
      </c>
      <c r="B175" t="str">
        <f>B26</f>
        <v/>
      </c>
      <c r="D175" s="30" t="str">
        <f>D26</f>
        <v>← يوجد مبلغ   فكة تم ارساله للموزع لتجميده ويتم ارسال مبلغ كل يوم او يومين منه</v>
      </c>
      <c r="F175" s="31"/>
      <c r="G175" s="32"/>
      <c r="H175" s="32"/>
    </row>
    <row r="176" spans="1:8" ht="19.5" customHeight="1" x14ac:dyDescent="0.25">
      <c r="A176">
        <v>1</v>
      </c>
      <c r="B176" t="str">
        <f>B27</f>
        <v/>
      </c>
      <c r="D176" s="30" t="str">
        <f>G27</f>
        <v>← يوجد مبلغ  0 مبلغ فكة لدى الموزع لتجميده</v>
      </c>
      <c r="F176" s="31"/>
      <c r="G176" s="32"/>
      <c r="H176" s="32"/>
    </row>
    <row r="177" spans="1:8" ht="19.5" customHeight="1" x14ac:dyDescent="0.25">
      <c r="A177">
        <v>1</v>
      </c>
      <c r="D177" s="30" t="str">
        <f>G28</f>
        <v xml:space="preserve">← يوجد مبلغ   </v>
      </c>
      <c r="F177" s="31"/>
      <c r="G177" s="32"/>
      <c r="H177" s="32"/>
    </row>
    <row r="178" spans="1:8" ht="19.5" customHeight="1" x14ac:dyDescent="0.25">
      <c r="A178">
        <v>1</v>
      </c>
      <c r="D178" s="30" t="str">
        <f>G29</f>
        <v xml:space="preserve">← يوجد مبلغ   </v>
      </c>
      <c r="F178" s="31"/>
      <c r="G178" s="32"/>
      <c r="H178" s="32"/>
    </row>
    <row r="179" spans="1:8" ht="19.5" customHeight="1" x14ac:dyDescent="0.25">
      <c r="A179">
        <v>1</v>
      </c>
      <c r="D179" s="30" t="str">
        <f>G30</f>
        <v>سيتم ارسال الفكة للموزع غدا وفقا لما تم الاتفاق به مع مدير الاقليم</v>
      </c>
      <c r="F179" s="31"/>
      <c r="G179" s="32"/>
      <c r="H179" s="32"/>
    </row>
    <row r="180" spans="1:8" x14ac:dyDescent="0.25">
      <c r="A180">
        <v>1</v>
      </c>
      <c r="D180" s="30" t="str">
        <f>G31</f>
        <v xml:space="preserve"> يوجد انحراف جديد بسبب فواتير معلقة في المديونية ناتجة عن مشكلة بالبرنامج بمبلغ  ج في انتظار حله من خلال IS</v>
      </c>
      <c r="F180" s="31"/>
      <c r="G180" s="32"/>
      <c r="H180" s="32"/>
    </row>
    <row r="181" spans="1:8" x14ac:dyDescent="0.25">
      <c r="A181">
        <v>1</v>
      </c>
      <c r="D181" s="30">
        <f>D32</f>
        <v>0</v>
      </c>
      <c r="F181" s="31"/>
      <c r="G181" s="32"/>
      <c r="H181" s="32"/>
    </row>
    <row r="182" spans="1:8" ht="18.75" x14ac:dyDescent="0.35">
      <c r="A182">
        <v>1</v>
      </c>
      <c r="D182" s="33"/>
      <c r="F182" s="31"/>
      <c r="G182" s="32"/>
      <c r="H182" s="32"/>
    </row>
    <row r="183" spans="1:8" ht="18.75" x14ac:dyDescent="0.35">
      <c r="A183">
        <v>1</v>
      </c>
      <c r="D183" s="33"/>
      <c r="F183" s="31"/>
      <c r="G183" s="32"/>
      <c r="H183" s="32"/>
    </row>
    <row r="184" spans="1:8" ht="18.75" x14ac:dyDescent="0.35">
      <c r="A184">
        <v>1</v>
      </c>
      <c r="D184" s="33"/>
      <c r="F184" s="31"/>
      <c r="G184" s="32"/>
      <c r="H184" s="32"/>
    </row>
    <row r="185" spans="1:8" ht="18.75" x14ac:dyDescent="0.35">
      <c r="A185">
        <v>1</v>
      </c>
      <c r="D185" s="33"/>
      <c r="F185" s="31"/>
      <c r="G185" s="32"/>
      <c r="H185" s="32"/>
    </row>
    <row r="186" spans="1:8" ht="18.75" x14ac:dyDescent="0.35">
      <c r="A186">
        <v>1</v>
      </c>
      <c r="D186" s="33"/>
      <c r="F186" s="31"/>
      <c r="G186" s="32"/>
      <c r="H186" s="32"/>
    </row>
    <row r="187" spans="1:8" x14ac:dyDescent="0.25">
      <c r="A187">
        <v>1</v>
      </c>
      <c r="F187" s="31"/>
      <c r="G187" s="32"/>
      <c r="H187" s="32"/>
    </row>
    <row r="188" spans="1:8" ht="15.75" x14ac:dyDescent="0.25">
      <c r="A188">
        <v>1</v>
      </c>
      <c r="D188" s="34" t="s">
        <v>63</v>
      </c>
    </row>
    <row r="189" spans="1:8" ht="15.75" x14ac:dyDescent="0.25">
      <c r="A189">
        <v>1</v>
      </c>
      <c r="D189" s="34" t="s">
        <v>64</v>
      </c>
    </row>
    <row r="190" spans="1:8" ht="15.75" x14ac:dyDescent="0.25">
      <c r="A190">
        <v>1</v>
      </c>
      <c r="D190" s="34" t="s">
        <v>65</v>
      </c>
    </row>
    <row r="191" spans="1:8" ht="15.75" x14ac:dyDescent="0.25">
      <c r="A191">
        <v>1</v>
      </c>
      <c r="D191" s="34" t="s">
        <v>66</v>
      </c>
    </row>
    <row r="192" spans="1:8" ht="15.75" x14ac:dyDescent="0.25">
      <c r="A192">
        <v>1</v>
      </c>
      <c r="D192" s="34" t="s">
        <v>67</v>
      </c>
    </row>
    <row r="193" spans="1:4" ht="15.75" x14ac:dyDescent="0.25">
      <c r="A193">
        <v>1</v>
      </c>
      <c r="D193" s="34" t="s">
        <v>68</v>
      </c>
    </row>
    <row r="194" spans="1:4" ht="15.75" x14ac:dyDescent="0.25">
      <c r="A194">
        <v>1</v>
      </c>
      <c r="D194" s="34" t="s">
        <v>69</v>
      </c>
    </row>
    <row r="195" spans="1:4" ht="15.75" x14ac:dyDescent="0.25">
      <c r="A195">
        <v>1</v>
      </c>
      <c r="D195" s="34" t="s">
        <v>70</v>
      </c>
    </row>
    <row r="196" spans="1:4" ht="15.75" x14ac:dyDescent="0.25">
      <c r="A196">
        <v>1</v>
      </c>
      <c r="D196" s="34" t="s">
        <v>71</v>
      </c>
    </row>
    <row r="197" spans="1:4" ht="15.75" x14ac:dyDescent="0.25">
      <c r="A197">
        <v>1</v>
      </c>
      <c r="D197" s="34" t="s">
        <v>72</v>
      </c>
    </row>
    <row r="198" spans="1:4" x14ac:dyDescent="0.25">
      <c r="A198">
        <v>1</v>
      </c>
    </row>
    <row r="199" spans="1:4" x14ac:dyDescent="0.25">
      <c r="A199">
        <v>1</v>
      </c>
    </row>
    <row r="200" spans="1:4" x14ac:dyDescent="0.25">
      <c r="A200">
        <v>1</v>
      </c>
    </row>
    <row r="201" spans="1:4" ht="18.75" x14ac:dyDescent="0.35">
      <c r="A201">
        <v>1</v>
      </c>
      <c r="B201">
        <v>1</v>
      </c>
      <c r="D201" s="29" t="s">
        <v>73</v>
      </c>
    </row>
    <row r="202" spans="1:4" x14ac:dyDescent="0.25">
      <c r="A202">
        <v>1</v>
      </c>
      <c r="B202">
        <v>1</v>
      </c>
      <c r="D202" s="12" t="str">
        <f t="shared" ref="D202:D215" si="16">D36</f>
        <v>إجمالي مديونية التوكيل مبلغ 32,312,083.97 ج</v>
      </c>
    </row>
    <row r="203" spans="1:4" x14ac:dyDescent="0.25">
      <c r="A203">
        <v>1</v>
      </c>
      <c r="D203" s="12" t="e">
        <f t="shared" si="16"/>
        <v>#N/A</v>
      </c>
    </row>
    <row r="204" spans="1:4" x14ac:dyDescent="0.25">
      <c r="A204">
        <v>1</v>
      </c>
      <c r="D204" s="12" t="e">
        <f t="shared" si="16"/>
        <v>#N/A</v>
      </c>
    </row>
    <row r="205" spans="1:4" x14ac:dyDescent="0.25">
      <c r="A205">
        <v>1</v>
      </c>
      <c r="B205">
        <v>1</v>
      </c>
      <c r="D205" s="12" t="str">
        <f t="shared" si="16"/>
        <v>← متاخرات المديونية     مبلغ  28,098,874.75 ج بنسبة 87%</v>
      </c>
    </row>
    <row r="206" spans="1:4" x14ac:dyDescent="0.25">
      <c r="A206">
        <v>1</v>
      </c>
      <c r="B206">
        <v>1</v>
      </c>
      <c r="D206" s="12" t="str">
        <f t="shared" si="16"/>
        <v>← &gt; 120 Days     مبلغ  0,000,000.00 ج بنسبة 0%</v>
      </c>
    </row>
    <row r="207" spans="1:4" x14ac:dyDescent="0.25">
      <c r="A207">
        <v>1</v>
      </c>
      <c r="B207">
        <v>1</v>
      </c>
      <c r="D207" s="12" t="str">
        <f t="shared" si="16"/>
        <v>← 61 : 120 Days     مبلغ  21,753,857.78 ج بنسبة 67%</v>
      </c>
    </row>
    <row r="208" spans="1:4" x14ac:dyDescent="0.25">
      <c r="A208">
        <v>1</v>
      </c>
      <c r="B208">
        <v>1</v>
      </c>
      <c r="D208" s="12" t="str">
        <f t="shared" si="16"/>
        <v>← 31 : 60 Days     مبلغ  1,499,783.86 ج بنسبة 5%</v>
      </c>
    </row>
    <row r="209" spans="1:4" x14ac:dyDescent="0.25">
      <c r="A209">
        <v>1</v>
      </c>
      <c r="B209">
        <v>1</v>
      </c>
      <c r="D209" s="12" t="str">
        <f t="shared" si="16"/>
        <v>← 21 : 30 Days     مبلغ  0,039,835.00 ج بنسبة 0%</v>
      </c>
    </row>
    <row r="210" spans="1:4" x14ac:dyDescent="0.25">
      <c r="A210">
        <v>1</v>
      </c>
      <c r="B210">
        <v>1</v>
      </c>
      <c r="D210" s="12" t="str">
        <f t="shared" si="16"/>
        <v>← 11 : 20 Days     مبلغ  0,891,089.00 ج بنسبة 3%</v>
      </c>
    </row>
    <row r="211" spans="1:4" x14ac:dyDescent="0.25">
      <c r="A211">
        <v>1</v>
      </c>
      <c r="D211" s="12" t="str">
        <f t="shared" si="16"/>
        <v>← 1 : 10 Days     مبلغ  3,914,309.11 ج بنسبة 12%</v>
      </c>
    </row>
    <row r="212" spans="1:4" x14ac:dyDescent="0.25">
      <c r="A212">
        <v>1</v>
      </c>
      <c r="D212" s="12" t="str">
        <f t="shared" si="16"/>
        <v>← Not Due     مبلغ  10,386,991.92 ج بنسبة 32%</v>
      </c>
    </row>
    <row r="213" spans="1:4" x14ac:dyDescent="0.25">
      <c r="A213">
        <v>1</v>
      </c>
      <c r="D213" s="12">
        <f t="shared" si="16"/>
        <v>0</v>
      </c>
    </row>
    <row r="214" spans="1:4" x14ac:dyDescent="0.25">
      <c r="A214">
        <v>1</v>
      </c>
      <c r="D214" s="12">
        <f t="shared" si="16"/>
        <v>0</v>
      </c>
    </row>
    <row r="215" spans="1:4" x14ac:dyDescent="0.25">
      <c r="A215">
        <v>1</v>
      </c>
      <c r="D215" s="12">
        <f t="shared" si="16"/>
        <v>0</v>
      </c>
    </row>
    <row r="216" spans="1:4" x14ac:dyDescent="0.25">
      <c r="A216">
        <v>1</v>
      </c>
      <c r="D216" s="12">
        <f t="shared" ref="D216:D231" si="17">D60</f>
        <v>0</v>
      </c>
    </row>
    <row r="217" spans="1:4" x14ac:dyDescent="0.25">
      <c r="A217">
        <v>1</v>
      </c>
      <c r="D217" s="12">
        <f t="shared" si="17"/>
        <v>0</v>
      </c>
    </row>
    <row r="218" spans="1:4" x14ac:dyDescent="0.25">
      <c r="A218">
        <v>1</v>
      </c>
      <c r="D218" s="12">
        <f t="shared" si="17"/>
        <v>0</v>
      </c>
    </row>
    <row r="219" spans="1:4" x14ac:dyDescent="0.25">
      <c r="A219">
        <v>1</v>
      </c>
      <c r="D219" s="12">
        <f t="shared" si="17"/>
        <v>0</v>
      </c>
    </row>
    <row r="220" spans="1:4" x14ac:dyDescent="0.25">
      <c r="A220">
        <v>1</v>
      </c>
      <c r="D220" s="12">
        <f t="shared" si="17"/>
        <v>0</v>
      </c>
    </row>
    <row r="221" spans="1:4" x14ac:dyDescent="0.25">
      <c r="A221">
        <v>1</v>
      </c>
      <c r="D221" s="12">
        <f t="shared" si="17"/>
        <v>0</v>
      </c>
    </row>
    <row r="222" spans="1:4" x14ac:dyDescent="0.25">
      <c r="A222">
        <v>1</v>
      </c>
      <c r="D222" s="12">
        <f t="shared" si="17"/>
        <v>0</v>
      </c>
    </row>
    <row r="223" spans="1:4" x14ac:dyDescent="0.25">
      <c r="A223">
        <v>1</v>
      </c>
      <c r="B223">
        <v>1</v>
      </c>
      <c r="D223" s="12" t="str">
        <f t="shared" si="17"/>
        <v>← يتم ارسال ميل يومي بالمديونية ومتأخراتها لمدير الاقليم والادارة لمتابعة التحصيل .</v>
      </c>
    </row>
    <row r="224" spans="1:4" x14ac:dyDescent="0.25">
      <c r="A224">
        <v>1</v>
      </c>
      <c r="B224">
        <v>1</v>
      </c>
      <c r="D224" s="12" t="str">
        <f t="shared" si="17"/>
        <v>← تبلغ مديونية الموزع مبلغ  24,413,738.21 ج بنسبة 76%</v>
      </c>
    </row>
    <row r="225" spans="1:4" x14ac:dyDescent="0.25">
      <c r="A225">
        <v>1</v>
      </c>
      <c r="B225">
        <v>1</v>
      </c>
      <c r="D225" s="12" t="str">
        <f t="shared" si="17"/>
        <v>← تبلغ متأخرات الموزع مبلغ  24,081,628.32 ج بنسبة 75%</v>
      </c>
    </row>
    <row r="226" spans="1:4" x14ac:dyDescent="0.25">
      <c r="A226">
        <v>1</v>
      </c>
      <c r="B226">
        <v>1</v>
      </c>
      <c r="D226" s="12" t="str">
        <f t="shared" si="17"/>
        <v xml:space="preserve"> - يتم ارسال ميل يومي بمديونية الموزع ومتأخراتها للمتابعة مع مدير الاقليم</v>
      </c>
    </row>
    <row r="227" spans="1:4" x14ac:dyDescent="0.25">
      <c r="A227">
        <v>1</v>
      </c>
      <c r="D227" s="12">
        <f t="shared" si="17"/>
        <v>0</v>
      </c>
    </row>
    <row r="228" spans="1:4" x14ac:dyDescent="0.25">
      <c r="A228">
        <v>1</v>
      </c>
      <c r="D228" s="12">
        <f t="shared" si="17"/>
        <v>0</v>
      </c>
    </row>
    <row r="229" spans="1:4" x14ac:dyDescent="0.25">
      <c r="A229">
        <v>1</v>
      </c>
      <c r="D229" s="12">
        <f t="shared" si="17"/>
        <v>0</v>
      </c>
    </row>
    <row r="230" spans="1:4" x14ac:dyDescent="0.25">
      <c r="A230">
        <v>1</v>
      </c>
      <c r="D230" s="12">
        <f t="shared" si="17"/>
        <v>0</v>
      </c>
    </row>
    <row r="231" spans="1:4" x14ac:dyDescent="0.25">
      <c r="A231">
        <v>1</v>
      </c>
      <c r="B231">
        <v>1</v>
      </c>
      <c r="D231" s="12" t="str">
        <f t="shared" si="17"/>
        <v>← يتم خروج فواتير اجل للموزع مع وجود متأخرات بموافقة من أ. ايمن فهيد او بوضعه في الميل</v>
      </c>
    </row>
    <row r="232" spans="1:4" x14ac:dyDescent="0.25">
      <c r="A232">
        <v>1</v>
      </c>
      <c r="D232" s="12" t="str">
        <f>F76</f>
        <v>تبلغ عدد فواتير الاجل بالتوكيل عدد  70 الفواتير المختومة منها عدد  54 والفواتير الموقعة منها عدد 16</v>
      </c>
    </row>
    <row r="233" spans="1:4" x14ac:dyDescent="0.25">
      <c r="A233">
        <v>1</v>
      </c>
      <c r="D233" s="12">
        <f>D77</f>
        <v>0</v>
      </c>
    </row>
    <row r="234" spans="1:4" x14ac:dyDescent="0.25">
      <c r="A234">
        <v>1</v>
      </c>
      <c r="D234" s="12">
        <f>D78</f>
        <v>0</v>
      </c>
    </row>
    <row r="235" spans="1:4" ht="18.75" x14ac:dyDescent="0.35">
      <c r="A235">
        <v>1</v>
      </c>
      <c r="B235">
        <v>1</v>
      </c>
      <c r="D235" s="29" t="s">
        <v>74</v>
      </c>
    </row>
    <row r="236" spans="1:4" x14ac:dyDescent="0.25">
      <c r="A236">
        <v>1</v>
      </c>
      <c r="B236">
        <v>1</v>
      </c>
      <c r="D236" s="13" t="str">
        <f t="shared" ref="D236:D241" si="18">D91</f>
        <v>←  الحوافز المتواجدة عبارة عن كوبونات واشعارات منها ما هو موقع ومنها ما هو مختوم ولكن معظمها مختوم</v>
      </c>
    </row>
    <row r="237" spans="1:4" x14ac:dyDescent="0.25">
      <c r="A237">
        <v>1</v>
      </c>
      <c r="B237">
        <v>1</v>
      </c>
      <c r="D237" s="13">
        <f t="shared" si="18"/>
        <v>0</v>
      </c>
    </row>
    <row r="238" spans="1:4" x14ac:dyDescent="0.25">
      <c r="A238">
        <v>1</v>
      </c>
      <c r="D238" s="13">
        <f t="shared" si="18"/>
        <v>0</v>
      </c>
    </row>
    <row r="239" spans="1:4" x14ac:dyDescent="0.25">
      <c r="A239">
        <v>1</v>
      </c>
      <c r="D239" s="13">
        <f t="shared" si="18"/>
        <v>0</v>
      </c>
    </row>
    <row r="240" spans="1:4" x14ac:dyDescent="0.25">
      <c r="A240">
        <v>1</v>
      </c>
      <c r="D240" s="13">
        <f t="shared" si="18"/>
        <v>0</v>
      </c>
    </row>
    <row r="241" spans="1:4" x14ac:dyDescent="0.25">
      <c r="A241">
        <v>1</v>
      </c>
      <c r="D241" s="13">
        <f t="shared" si="18"/>
        <v>0</v>
      </c>
    </row>
    <row r="242" spans="1:4" x14ac:dyDescent="0.25">
      <c r="A242">
        <v>1</v>
      </c>
    </row>
    <row r="243" spans="1:4" x14ac:dyDescent="0.25">
      <c r="A243">
        <v>1</v>
      </c>
    </row>
    <row r="244" spans="1:4" x14ac:dyDescent="0.25">
      <c r="A244">
        <v>1</v>
      </c>
    </row>
    <row r="245" spans="1:4" x14ac:dyDescent="0.25">
      <c r="A245">
        <v>1</v>
      </c>
    </row>
    <row r="246" spans="1:4" x14ac:dyDescent="0.25">
      <c r="A246">
        <v>1</v>
      </c>
    </row>
    <row r="247" spans="1:4" x14ac:dyDescent="0.25">
      <c r="A247">
        <v>1</v>
      </c>
    </row>
    <row r="248" spans="1:4" x14ac:dyDescent="0.25">
      <c r="A248">
        <v>1</v>
      </c>
    </row>
    <row r="249" spans="1:4" x14ac:dyDescent="0.25">
      <c r="A249">
        <v>1</v>
      </c>
    </row>
    <row r="250" spans="1:4" x14ac:dyDescent="0.25">
      <c r="A250">
        <v>1</v>
      </c>
    </row>
    <row r="251" spans="1:4" x14ac:dyDescent="0.25">
      <c r="A251">
        <v>1</v>
      </c>
    </row>
    <row r="252" spans="1:4" x14ac:dyDescent="0.25">
      <c r="A252">
        <v>1</v>
      </c>
    </row>
    <row r="253" spans="1:4" ht="18.75" x14ac:dyDescent="0.35">
      <c r="A253">
        <v>1</v>
      </c>
      <c r="B253">
        <v>1</v>
      </c>
      <c r="D253" s="29" t="s">
        <v>75</v>
      </c>
    </row>
    <row r="254" spans="1:4" x14ac:dyDescent="0.25">
      <c r="A254">
        <v>1</v>
      </c>
    </row>
    <row r="255" spans="1:4" x14ac:dyDescent="0.25">
      <c r="A255">
        <v>1</v>
      </c>
    </row>
    <row r="256" spans="1:4" x14ac:dyDescent="0.25">
      <c r="A256">
        <v>1</v>
      </c>
    </row>
    <row r="257" spans="1:4" x14ac:dyDescent="0.25">
      <c r="A257">
        <v>1</v>
      </c>
    </row>
    <row r="258" spans="1:4" x14ac:dyDescent="0.25">
      <c r="A258">
        <v>1</v>
      </c>
    </row>
    <row r="259" spans="1:4" x14ac:dyDescent="0.25">
      <c r="A259">
        <v>1</v>
      </c>
    </row>
    <row r="260" spans="1:4" x14ac:dyDescent="0.25">
      <c r="A260">
        <v>1</v>
      </c>
    </row>
    <row r="261" spans="1:4" x14ac:dyDescent="0.25">
      <c r="A261">
        <v>1</v>
      </c>
    </row>
    <row r="262" spans="1:4" x14ac:dyDescent="0.25">
      <c r="A262">
        <v>1</v>
      </c>
    </row>
    <row r="263" spans="1:4" x14ac:dyDescent="0.25">
      <c r="A263">
        <v>1</v>
      </c>
    </row>
    <row r="264" spans="1:4" x14ac:dyDescent="0.25">
      <c r="A264">
        <v>1</v>
      </c>
    </row>
    <row r="265" spans="1:4" x14ac:dyDescent="0.25">
      <c r="A265">
        <v>1</v>
      </c>
    </row>
    <row r="266" spans="1:4" x14ac:dyDescent="0.25">
      <c r="A266">
        <v>1</v>
      </c>
    </row>
    <row r="267" spans="1:4" ht="18.75" x14ac:dyDescent="0.35">
      <c r="A267">
        <v>1</v>
      </c>
      <c r="B267">
        <v>1</v>
      </c>
      <c r="D267" s="29" t="s">
        <v>76</v>
      </c>
    </row>
    <row r="268" spans="1:4" x14ac:dyDescent="0.25">
      <c r="A268">
        <v>1</v>
      </c>
      <c r="B268">
        <v>1</v>
      </c>
      <c r="D268" s="13" t="str">
        <f t="shared" ref="D268:D273" si="19">D142</f>
        <v>ــ   توجد أتربة باستمرار داخل مخزن الملكة ناتجة عن مصنع الأدوات الصحية المقابل للمخزن . تم التوجيه بضرورة النظافة المستمرة لتلك الأتربة وعمل خطة محكمة من أجل القضاء عليها . لحين وضع حل جذري لتلك المشكلة . مع التأكيد على تفعيل خطة النظافة .</v>
      </c>
    </row>
    <row r="269" spans="1:4" x14ac:dyDescent="0.25">
      <c r="A269">
        <v>1</v>
      </c>
      <c r="B269">
        <v>1</v>
      </c>
      <c r="D269" s="13" t="str">
        <f t="shared" si="19"/>
        <v>ــ   توجد صندوق سيارة مغلق بجوار المبني الاداري يتم وضع هالك السوس الخاص بالعملاء والتي يتم احضاره عن طريق مندوبي التسليم اثناء زيارة العملاء لحين ارسالها للمصنع . تبعد عن مخزن الملكة بحوالي 400 م .</v>
      </c>
    </row>
    <row r="270" spans="1:4" x14ac:dyDescent="0.25">
      <c r="A270">
        <v>1</v>
      </c>
      <c r="B270">
        <v>1</v>
      </c>
      <c r="D270" s="13" t="str">
        <f t="shared" si="19"/>
        <v>·        الستارة الهوائية بالتوكيل غير فعالة .</v>
      </c>
    </row>
    <row r="271" spans="1:4" x14ac:dyDescent="0.25">
      <c r="A271">
        <v>1</v>
      </c>
      <c r="B271">
        <v>1</v>
      </c>
      <c r="D271" s="13" t="str">
        <f t="shared" si="19"/>
        <v xml:space="preserve">توجد عيوب بسقف مخزن عافية تسمح بمرور الأمطار . </v>
      </c>
    </row>
    <row r="272" spans="1:4" x14ac:dyDescent="0.25">
      <c r="A272">
        <v>1</v>
      </c>
      <c r="B272">
        <v>1</v>
      </c>
      <c r="D272" s="13" t="str">
        <f t="shared" si="19"/>
        <v xml:space="preserve"> الاضاءة ضعيفة جدا داخل مخزن الملكة وعافية   </v>
      </c>
    </row>
    <row r="273" spans="1:4" x14ac:dyDescent="0.25">
      <c r="A273">
        <v>1</v>
      </c>
      <c r="B273">
        <v>1</v>
      </c>
      <c r="D273" s="13" t="str">
        <f t="shared" si="19"/>
        <v>عدم وجود غرفة للتوالف بمخزن الملكة وعافيه .</v>
      </c>
    </row>
    <row r="274" spans="1:4" x14ac:dyDescent="0.25">
      <c r="A274">
        <v>1</v>
      </c>
      <c r="D274" s="13" t="e">
        <f>F148</f>
        <v>#REF!</v>
      </c>
    </row>
    <row r="275" spans="1:4" x14ac:dyDescent="0.25">
      <c r="A275">
        <v>1</v>
      </c>
      <c r="D275" s="13">
        <f>F149</f>
        <v>0</v>
      </c>
    </row>
    <row r="276" spans="1:4" x14ac:dyDescent="0.25">
      <c r="A276">
        <v>1</v>
      </c>
      <c r="D276" s="13" t="str">
        <f>F150</f>
        <v>← يوجد رواكد بالتوكيل بكمية  0 كرتونة وتم ارسال ميل بها لمدير الاقليم للقيام بعمل التحويلات اللازمة للاقاليم الاخرى للانتهاء منها وتم عمل بعض التحويلات البسيطة منها للاقاليم الاخرى</v>
      </c>
    </row>
    <row r="277" spans="1:4" x14ac:dyDescent="0.25">
      <c r="A277">
        <v>1</v>
      </c>
    </row>
    <row r="278" spans="1:4" x14ac:dyDescent="0.25">
      <c r="A278">
        <v>1</v>
      </c>
    </row>
  </sheetData>
  <autoFilter ref="A3:D278" xr:uid="{00000000-0001-0000-0000-000000000000}"/>
  <pageMargins left="0.7" right="0.7" top="0.75" bottom="0.75" header="0.3" footer="0.3"/>
  <drawing r:id="rId1"/>
  <legacyDrawing r:id="rId2"/>
  <controls>
    <mc:AlternateContent xmlns:mc="http://schemas.openxmlformats.org/markup-compatibility/2006">
      <mc:Choice Requires="x14">
        <control shapeId="1025" r:id="rId3" name="Control 1">
          <controlPr defaultSize="0" r:id="rId4">
            <anchor moveWithCells="1">
              <from>
                <xdr:col>16372</xdr:col>
                <xdr:colOff>104775</xdr:colOff>
                <xdr:row>141</xdr:row>
                <xdr:rowOff>0</xdr:rowOff>
              </from>
              <to>
                <xdr:col>16373</xdr:col>
                <xdr:colOff>409575</xdr:colOff>
                <xdr:row>142</xdr:row>
                <xdr:rowOff>19050</xdr:rowOff>
              </to>
            </anchor>
          </controlPr>
        </control>
      </mc:Choice>
      <mc:Fallback>
        <control shapeId="1025" r:id="rId3" name="Control 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03B4-3B79-4033-A3D3-745CEBE96786}">
  <sheetPr codeName="Sheet4"/>
  <dimension ref="A1:L175"/>
  <sheetViews>
    <sheetView tabSelected="1" topLeftCell="A4" workbookViewId="0">
      <selection activeCell="K6" sqref="K6"/>
    </sheetView>
  </sheetViews>
  <sheetFormatPr defaultRowHeight="15" x14ac:dyDescent="0.25"/>
  <cols>
    <col min="1" max="1" width="22.28515625" bestFit="1" customWidth="1"/>
    <col min="2" max="2" width="12.140625" bestFit="1" customWidth="1"/>
    <col min="3" max="4" width="13.5703125" bestFit="1" customWidth="1"/>
    <col min="7" max="7" width="15" bestFit="1" customWidth="1"/>
    <col min="8" max="8" width="22.85546875" bestFit="1" customWidth="1"/>
    <col min="11" max="11" width="15" bestFit="1" customWidth="1"/>
    <col min="12" max="12" width="17.28515625" bestFit="1" customWidth="1"/>
  </cols>
  <sheetData>
    <row r="1" spans="1:12" x14ac:dyDescent="0.25">
      <c r="G1" s="35" t="s">
        <v>77</v>
      </c>
      <c r="H1" t="s">
        <v>18</v>
      </c>
      <c r="K1" s="35" t="s">
        <v>77</v>
      </c>
      <c r="L1" t="s">
        <v>179</v>
      </c>
    </row>
    <row r="2" spans="1:12" x14ac:dyDescent="0.25">
      <c r="G2" s="35" t="s">
        <v>84</v>
      </c>
      <c r="H2" t="s">
        <v>85</v>
      </c>
      <c r="K2" s="35" t="s">
        <v>84</v>
      </c>
      <c r="L2" t="s">
        <v>134</v>
      </c>
    </row>
    <row r="3" spans="1:12" x14ac:dyDescent="0.25">
      <c r="A3" s="35" t="s">
        <v>77</v>
      </c>
      <c r="B3" s="35" t="s">
        <v>86</v>
      </c>
      <c r="C3" t="s">
        <v>79</v>
      </c>
    </row>
    <row r="4" spans="1:12" x14ac:dyDescent="0.25">
      <c r="A4" t="s">
        <v>18</v>
      </c>
      <c r="B4" t="s">
        <v>172</v>
      </c>
      <c r="C4" s="23">
        <v>21753857.780000001</v>
      </c>
      <c r="D4" t="str">
        <f>A4&amp;B4</f>
        <v>Dakahlia - Al Yasmine61 : 120 Days</v>
      </c>
      <c r="G4" s="35" t="s">
        <v>78</v>
      </c>
      <c r="H4" t="s">
        <v>79</v>
      </c>
      <c r="K4" s="35" t="s">
        <v>78</v>
      </c>
      <c r="L4" t="s">
        <v>79</v>
      </c>
    </row>
    <row r="5" spans="1:12" x14ac:dyDescent="0.25">
      <c r="A5" t="s">
        <v>18</v>
      </c>
      <c r="B5" t="s">
        <v>170</v>
      </c>
      <c r="C5" s="23">
        <v>1499783.8599999999</v>
      </c>
      <c r="D5" t="str">
        <f t="shared" ref="D5:D68" si="0">A5&amp;B5</f>
        <v>Dakahlia - Al Yasmine31 : 60 Days</v>
      </c>
      <c r="G5" s="22" t="s">
        <v>172</v>
      </c>
      <c r="H5" s="23">
        <v>21753857.780000005</v>
      </c>
      <c r="K5" s="22" t="s">
        <v>81</v>
      </c>
      <c r="L5" s="23">
        <v>108640</v>
      </c>
    </row>
    <row r="6" spans="1:12" x14ac:dyDescent="0.25">
      <c r="A6" t="s">
        <v>18</v>
      </c>
      <c r="B6" t="s">
        <v>80</v>
      </c>
      <c r="C6" s="23">
        <v>39835</v>
      </c>
      <c r="D6" t="str">
        <f t="shared" si="0"/>
        <v>Dakahlia - Al Yasmine21 : 30 Days</v>
      </c>
      <c r="G6" s="22" t="s">
        <v>81</v>
      </c>
      <c r="H6" s="23">
        <v>676220</v>
      </c>
      <c r="K6" s="22" t="s">
        <v>80</v>
      </c>
      <c r="L6" s="23">
        <v>2626899.2000000002</v>
      </c>
    </row>
    <row r="7" spans="1:12" x14ac:dyDescent="0.25">
      <c r="A7" t="s">
        <v>18</v>
      </c>
      <c r="B7" t="s">
        <v>81</v>
      </c>
      <c r="C7" s="23">
        <v>891089</v>
      </c>
      <c r="D7" t="str">
        <f t="shared" si="0"/>
        <v>Dakahlia - Al Yasmine11 : 20 Days</v>
      </c>
      <c r="G7" s="22" t="s">
        <v>171</v>
      </c>
      <c r="H7" s="23">
        <v>1651550.54</v>
      </c>
      <c r="K7" s="22" t="s">
        <v>170</v>
      </c>
      <c r="L7" s="23">
        <v>2393412.4699999997</v>
      </c>
    </row>
    <row r="8" spans="1:12" x14ac:dyDescent="0.25">
      <c r="A8" t="s">
        <v>18</v>
      </c>
      <c r="B8" t="s">
        <v>171</v>
      </c>
      <c r="C8" s="23">
        <v>3914309.1100000003</v>
      </c>
      <c r="D8" t="str">
        <f t="shared" si="0"/>
        <v>Dakahlia - Al Yasmine1 : 10 Days</v>
      </c>
      <c r="G8" s="22" t="s">
        <v>82</v>
      </c>
      <c r="H8" s="23">
        <v>332109.89</v>
      </c>
      <c r="K8" s="22" t="s">
        <v>171</v>
      </c>
      <c r="L8" s="23">
        <v>1191374.9100000001</v>
      </c>
    </row>
    <row r="9" spans="1:12" x14ac:dyDescent="0.25">
      <c r="A9" t="s">
        <v>18</v>
      </c>
      <c r="B9" t="s">
        <v>82</v>
      </c>
      <c r="C9" s="23">
        <v>4213209.22</v>
      </c>
      <c r="D9" t="str">
        <f t="shared" si="0"/>
        <v>Dakahlia - Al YasmineNot Due</v>
      </c>
      <c r="G9" s="22" t="s">
        <v>83</v>
      </c>
      <c r="H9" s="23">
        <v>24413738.210000005</v>
      </c>
      <c r="K9" s="22" t="s">
        <v>82</v>
      </c>
      <c r="L9" s="23">
        <v>1746448</v>
      </c>
    </row>
    <row r="10" spans="1:12" x14ac:dyDescent="0.25">
      <c r="A10" t="s">
        <v>87</v>
      </c>
      <c r="C10" s="23">
        <v>32312083.969999999</v>
      </c>
      <c r="D10" t="str">
        <f t="shared" si="0"/>
        <v>Dakahlia - Al Yasmine Total</v>
      </c>
      <c r="K10" s="22" t="s">
        <v>83</v>
      </c>
      <c r="L10" s="23">
        <v>8066774.5800000001</v>
      </c>
    </row>
    <row r="11" spans="1:12" x14ac:dyDescent="0.25">
      <c r="A11" t="s">
        <v>88</v>
      </c>
      <c r="B11" t="s">
        <v>172</v>
      </c>
      <c r="C11" s="23">
        <v>2853804.2</v>
      </c>
      <c r="D11" t="str">
        <f t="shared" si="0"/>
        <v>Dakahlia Aga – Al Yasmine61 : 120 Days</v>
      </c>
    </row>
    <row r="12" spans="1:12" x14ac:dyDescent="0.25">
      <c r="A12" t="s">
        <v>88</v>
      </c>
      <c r="B12" t="s">
        <v>170</v>
      </c>
      <c r="C12" s="23">
        <v>2172584</v>
      </c>
      <c r="D12" t="str">
        <f t="shared" si="0"/>
        <v>Dakahlia Aga – Al Yasmine31 : 60 Days</v>
      </c>
    </row>
    <row r="13" spans="1:12" x14ac:dyDescent="0.25">
      <c r="A13" t="s">
        <v>88</v>
      </c>
      <c r="B13" t="s">
        <v>80</v>
      </c>
      <c r="C13" s="23">
        <v>824000</v>
      </c>
      <c r="D13" t="str">
        <f t="shared" si="0"/>
        <v>Dakahlia Aga – Al Yasmine21 : 30 Days</v>
      </c>
    </row>
    <row r="14" spans="1:12" x14ac:dyDescent="0.25">
      <c r="A14" t="s">
        <v>88</v>
      </c>
      <c r="B14" t="s">
        <v>81</v>
      </c>
      <c r="C14" s="23">
        <v>1894008.54</v>
      </c>
      <c r="D14" t="str">
        <f t="shared" si="0"/>
        <v>Dakahlia Aga – Al Yasmine11 : 20 Days</v>
      </c>
    </row>
    <row r="15" spans="1:12" x14ac:dyDescent="0.25">
      <c r="A15" t="s">
        <v>88</v>
      </c>
      <c r="B15" t="s">
        <v>171</v>
      </c>
      <c r="C15" s="23">
        <v>2238035.0699999998</v>
      </c>
      <c r="D15" t="str">
        <f t="shared" si="0"/>
        <v>Dakahlia Aga – Al Yasmine1 : 10 Days</v>
      </c>
    </row>
    <row r="16" spans="1:12" x14ac:dyDescent="0.25">
      <c r="A16" t="s">
        <v>88</v>
      </c>
      <c r="B16" t="s">
        <v>82</v>
      </c>
      <c r="C16" s="23">
        <v>2160275.94</v>
      </c>
      <c r="D16" t="str">
        <f t="shared" si="0"/>
        <v>Dakahlia Aga – Al YasmineNot Due</v>
      </c>
    </row>
    <row r="17" spans="1:4" x14ac:dyDescent="0.25">
      <c r="A17" t="s">
        <v>89</v>
      </c>
      <c r="C17" s="23">
        <v>12142707.75</v>
      </c>
      <c r="D17" t="str">
        <f t="shared" si="0"/>
        <v>Dakahlia Aga – Al Yasmine Total</v>
      </c>
    </row>
    <row r="18" spans="1:4" x14ac:dyDescent="0.25">
      <c r="A18" t="s">
        <v>90</v>
      </c>
      <c r="B18" t="s">
        <v>170</v>
      </c>
      <c r="C18" s="23">
        <v>3101589.6400000006</v>
      </c>
      <c r="D18" t="str">
        <f t="shared" si="0"/>
        <v>Damietta - Khaled Ismaiel Al-Fath31 : 60 Days</v>
      </c>
    </row>
    <row r="19" spans="1:4" x14ac:dyDescent="0.25">
      <c r="A19" t="s">
        <v>90</v>
      </c>
      <c r="B19" t="s">
        <v>80</v>
      </c>
      <c r="C19" s="23">
        <v>2642300.7600000002</v>
      </c>
      <c r="D19" t="str">
        <f t="shared" si="0"/>
        <v>Damietta - Khaled Ismaiel Al-Fath21 : 30 Days</v>
      </c>
    </row>
    <row r="20" spans="1:4" x14ac:dyDescent="0.25">
      <c r="A20" t="s">
        <v>90</v>
      </c>
      <c r="B20" t="s">
        <v>81</v>
      </c>
      <c r="C20" s="23">
        <v>1348270.5399999998</v>
      </c>
      <c r="D20" t="str">
        <f t="shared" si="0"/>
        <v>Damietta - Khaled Ismaiel Al-Fath11 : 20 Days</v>
      </c>
    </row>
    <row r="21" spans="1:4" x14ac:dyDescent="0.25">
      <c r="A21" t="s">
        <v>90</v>
      </c>
      <c r="B21" t="s">
        <v>171</v>
      </c>
      <c r="C21" s="23">
        <v>2557924.9800000004</v>
      </c>
      <c r="D21" t="str">
        <f t="shared" si="0"/>
        <v>Damietta - Khaled Ismaiel Al-Fath1 : 10 Days</v>
      </c>
    </row>
    <row r="22" spans="1:4" x14ac:dyDescent="0.25">
      <c r="A22" t="s">
        <v>90</v>
      </c>
      <c r="B22" t="s">
        <v>82</v>
      </c>
      <c r="C22" s="23">
        <v>8101150.6700000018</v>
      </c>
      <c r="D22" t="str">
        <f t="shared" si="0"/>
        <v>Damietta - Khaled Ismaiel Al-FathNot Due</v>
      </c>
    </row>
    <row r="23" spans="1:4" x14ac:dyDescent="0.25">
      <c r="A23" t="s">
        <v>91</v>
      </c>
      <c r="C23" s="23">
        <v>17751236.590000004</v>
      </c>
      <c r="D23" t="str">
        <f t="shared" si="0"/>
        <v>Damietta - Khaled Ismaiel Al-Fath Total</v>
      </c>
    </row>
    <row r="24" spans="1:4" x14ac:dyDescent="0.25">
      <c r="A24" t="s">
        <v>83</v>
      </c>
      <c r="C24" s="23">
        <v>62206028.310000002</v>
      </c>
      <c r="D24" t="str">
        <f t="shared" si="0"/>
        <v>Grand Total</v>
      </c>
    </row>
    <row r="25" spans="1:4" x14ac:dyDescent="0.25">
      <c r="D25" t="str">
        <f t="shared" si="0"/>
        <v/>
      </c>
    </row>
    <row r="26" spans="1:4" x14ac:dyDescent="0.25">
      <c r="D26" t="str">
        <f t="shared" si="0"/>
        <v/>
      </c>
    </row>
    <row r="27" spans="1:4" x14ac:dyDescent="0.25">
      <c r="D27" t="str">
        <f t="shared" si="0"/>
        <v/>
      </c>
    </row>
    <row r="28" spans="1:4" x14ac:dyDescent="0.25">
      <c r="D28" t="str">
        <f t="shared" si="0"/>
        <v/>
      </c>
    </row>
    <row r="29" spans="1:4" x14ac:dyDescent="0.25">
      <c r="D29" t="str">
        <f t="shared" si="0"/>
        <v/>
      </c>
    </row>
    <row r="30" spans="1:4" x14ac:dyDescent="0.25">
      <c r="D30" t="str">
        <f t="shared" si="0"/>
        <v/>
      </c>
    </row>
    <row r="31" spans="1:4" x14ac:dyDescent="0.25">
      <c r="D31" t="str">
        <f t="shared" si="0"/>
        <v/>
      </c>
    </row>
    <row r="32" spans="1:4" x14ac:dyDescent="0.25">
      <c r="D32" t="str">
        <f t="shared" si="0"/>
        <v/>
      </c>
    </row>
    <row r="33" spans="4:4" x14ac:dyDescent="0.25">
      <c r="D33" t="str">
        <f t="shared" si="0"/>
        <v/>
      </c>
    </row>
    <row r="34" spans="4:4" x14ac:dyDescent="0.25">
      <c r="D34" t="str">
        <f t="shared" si="0"/>
        <v/>
      </c>
    </row>
    <row r="35" spans="4:4" x14ac:dyDescent="0.25">
      <c r="D35" t="str">
        <f t="shared" si="0"/>
        <v/>
      </c>
    </row>
    <row r="36" spans="4:4" x14ac:dyDescent="0.25">
      <c r="D36" t="str">
        <f t="shared" si="0"/>
        <v/>
      </c>
    </row>
    <row r="37" spans="4:4" x14ac:dyDescent="0.25">
      <c r="D37" t="str">
        <f t="shared" si="0"/>
        <v/>
      </c>
    </row>
    <row r="38" spans="4:4" x14ac:dyDescent="0.25">
      <c r="D38" t="str">
        <f t="shared" si="0"/>
        <v/>
      </c>
    </row>
    <row r="39" spans="4:4" x14ac:dyDescent="0.25">
      <c r="D39" t="str">
        <f t="shared" si="0"/>
        <v/>
      </c>
    </row>
    <row r="40" spans="4:4" x14ac:dyDescent="0.25">
      <c r="D40" t="str">
        <f t="shared" si="0"/>
        <v/>
      </c>
    </row>
    <row r="41" spans="4:4" x14ac:dyDescent="0.25">
      <c r="D41" t="str">
        <f t="shared" si="0"/>
        <v/>
      </c>
    </row>
    <row r="42" spans="4:4" x14ac:dyDescent="0.25">
      <c r="D42" t="str">
        <f t="shared" si="0"/>
        <v/>
      </c>
    </row>
    <row r="43" spans="4:4" x14ac:dyDescent="0.25">
      <c r="D43" t="str">
        <f t="shared" si="0"/>
        <v/>
      </c>
    </row>
    <row r="44" spans="4:4" x14ac:dyDescent="0.25">
      <c r="D44" t="str">
        <f t="shared" si="0"/>
        <v/>
      </c>
    </row>
    <row r="45" spans="4:4" x14ac:dyDescent="0.25">
      <c r="D45" t="str">
        <f t="shared" si="0"/>
        <v/>
      </c>
    </row>
    <row r="46" spans="4:4" x14ac:dyDescent="0.25">
      <c r="D46" t="str">
        <f t="shared" si="0"/>
        <v/>
      </c>
    </row>
    <row r="47" spans="4:4" x14ac:dyDescent="0.25">
      <c r="D47" t="str">
        <f t="shared" si="0"/>
        <v/>
      </c>
    </row>
    <row r="48" spans="4:4" x14ac:dyDescent="0.25">
      <c r="D48" t="str">
        <f t="shared" si="0"/>
        <v/>
      </c>
    </row>
    <row r="49" spans="4:4" x14ac:dyDescent="0.25">
      <c r="D49" t="str">
        <f t="shared" si="0"/>
        <v/>
      </c>
    </row>
    <row r="50" spans="4:4" x14ac:dyDescent="0.25">
      <c r="D50" t="str">
        <f t="shared" si="0"/>
        <v/>
      </c>
    </row>
    <row r="51" spans="4:4" x14ac:dyDescent="0.25">
      <c r="D51" t="str">
        <f t="shared" si="0"/>
        <v/>
      </c>
    </row>
    <row r="52" spans="4:4" x14ac:dyDescent="0.25">
      <c r="D52" t="str">
        <f t="shared" si="0"/>
        <v/>
      </c>
    </row>
    <row r="53" spans="4:4" x14ac:dyDescent="0.25">
      <c r="D53" t="str">
        <f t="shared" si="0"/>
        <v/>
      </c>
    </row>
    <row r="54" spans="4:4" x14ac:dyDescent="0.25">
      <c r="D54" t="str">
        <f t="shared" si="0"/>
        <v/>
      </c>
    </row>
    <row r="55" spans="4:4" x14ac:dyDescent="0.25">
      <c r="D55" t="str">
        <f t="shared" si="0"/>
        <v/>
      </c>
    </row>
    <row r="56" spans="4:4" x14ac:dyDescent="0.25">
      <c r="D56" t="str">
        <f t="shared" si="0"/>
        <v/>
      </c>
    </row>
    <row r="57" spans="4:4" x14ac:dyDescent="0.25">
      <c r="D57" t="str">
        <f t="shared" si="0"/>
        <v/>
      </c>
    </row>
    <row r="58" spans="4:4" x14ac:dyDescent="0.25">
      <c r="D58" t="str">
        <f t="shared" si="0"/>
        <v/>
      </c>
    </row>
    <row r="59" spans="4:4" x14ac:dyDescent="0.25">
      <c r="D59" t="str">
        <f t="shared" si="0"/>
        <v/>
      </c>
    </row>
    <row r="60" spans="4:4" x14ac:dyDescent="0.25">
      <c r="D60" t="str">
        <f t="shared" si="0"/>
        <v/>
      </c>
    </row>
    <row r="61" spans="4:4" x14ac:dyDescent="0.25">
      <c r="D61" t="str">
        <f t="shared" si="0"/>
        <v/>
      </c>
    </row>
    <row r="62" spans="4:4" x14ac:dyDescent="0.25">
      <c r="D62" t="str">
        <f t="shared" si="0"/>
        <v/>
      </c>
    </row>
    <row r="63" spans="4:4" x14ac:dyDescent="0.25">
      <c r="D63" t="str">
        <f t="shared" si="0"/>
        <v/>
      </c>
    </row>
    <row r="64" spans="4:4" x14ac:dyDescent="0.25">
      <c r="D64" t="str">
        <f t="shared" si="0"/>
        <v/>
      </c>
    </row>
    <row r="65" spans="4:4" x14ac:dyDescent="0.25">
      <c r="D65" t="str">
        <f t="shared" si="0"/>
        <v/>
      </c>
    </row>
    <row r="66" spans="4:4" x14ac:dyDescent="0.25">
      <c r="D66" t="str">
        <f t="shared" si="0"/>
        <v/>
      </c>
    </row>
    <row r="67" spans="4:4" x14ac:dyDescent="0.25">
      <c r="D67" t="str">
        <f t="shared" si="0"/>
        <v/>
      </c>
    </row>
    <row r="68" spans="4:4" x14ac:dyDescent="0.25">
      <c r="D68" t="str">
        <f t="shared" si="0"/>
        <v/>
      </c>
    </row>
    <row r="69" spans="4:4" x14ac:dyDescent="0.25">
      <c r="D69" t="str">
        <f t="shared" ref="D69:D132" si="1">A69&amp;B69</f>
        <v/>
      </c>
    </row>
    <row r="70" spans="4:4" x14ac:dyDescent="0.25">
      <c r="D70" t="str">
        <f t="shared" si="1"/>
        <v/>
      </c>
    </row>
    <row r="71" spans="4:4" x14ac:dyDescent="0.25">
      <c r="D71" t="str">
        <f t="shared" si="1"/>
        <v/>
      </c>
    </row>
    <row r="72" spans="4:4" x14ac:dyDescent="0.25">
      <c r="D72" t="str">
        <f t="shared" si="1"/>
        <v/>
      </c>
    </row>
    <row r="73" spans="4:4" x14ac:dyDescent="0.25">
      <c r="D73" t="str">
        <f t="shared" si="1"/>
        <v/>
      </c>
    </row>
    <row r="74" spans="4:4" x14ac:dyDescent="0.25">
      <c r="D74" t="str">
        <f t="shared" si="1"/>
        <v/>
      </c>
    </row>
    <row r="75" spans="4:4" x14ac:dyDescent="0.25">
      <c r="D75" t="str">
        <f t="shared" si="1"/>
        <v/>
      </c>
    </row>
    <row r="76" spans="4:4" x14ac:dyDescent="0.25">
      <c r="D76" t="str">
        <f t="shared" si="1"/>
        <v/>
      </c>
    </row>
    <row r="77" spans="4:4" x14ac:dyDescent="0.25">
      <c r="D77" t="str">
        <f t="shared" si="1"/>
        <v/>
      </c>
    </row>
    <row r="78" spans="4:4" x14ac:dyDescent="0.25">
      <c r="D78" t="str">
        <f t="shared" si="1"/>
        <v/>
      </c>
    </row>
    <row r="79" spans="4:4" x14ac:dyDescent="0.25">
      <c r="D79" t="str">
        <f t="shared" si="1"/>
        <v/>
      </c>
    </row>
    <row r="80" spans="4:4" x14ac:dyDescent="0.25">
      <c r="D80" t="str">
        <f t="shared" si="1"/>
        <v/>
      </c>
    </row>
    <row r="81" spans="4:4" x14ac:dyDescent="0.25">
      <c r="D81" t="str">
        <f t="shared" si="1"/>
        <v/>
      </c>
    </row>
    <row r="82" spans="4:4" x14ac:dyDescent="0.25">
      <c r="D82" t="str">
        <f t="shared" si="1"/>
        <v/>
      </c>
    </row>
    <row r="83" spans="4:4" x14ac:dyDescent="0.25">
      <c r="D83" t="str">
        <f t="shared" si="1"/>
        <v/>
      </c>
    </row>
    <row r="84" spans="4:4" x14ac:dyDescent="0.25">
      <c r="D84" t="str">
        <f t="shared" si="1"/>
        <v/>
      </c>
    </row>
    <row r="85" spans="4:4" x14ac:dyDescent="0.25">
      <c r="D85" t="str">
        <f t="shared" si="1"/>
        <v/>
      </c>
    </row>
    <row r="86" spans="4:4" x14ac:dyDescent="0.25">
      <c r="D86" t="str">
        <f t="shared" si="1"/>
        <v/>
      </c>
    </row>
    <row r="87" spans="4:4" x14ac:dyDescent="0.25">
      <c r="D87" t="str">
        <f t="shared" si="1"/>
        <v/>
      </c>
    </row>
    <row r="88" spans="4:4" x14ac:dyDescent="0.25">
      <c r="D88" t="str">
        <f t="shared" si="1"/>
        <v/>
      </c>
    </row>
    <row r="89" spans="4:4" x14ac:dyDescent="0.25">
      <c r="D89" t="str">
        <f t="shared" si="1"/>
        <v/>
      </c>
    </row>
    <row r="90" spans="4:4" x14ac:dyDescent="0.25">
      <c r="D90" t="str">
        <f t="shared" si="1"/>
        <v/>
      </c>
    </row>
    <row r="91" spans="4:4" x14ac:dyDescent="0.25">
      <c r="D91" t="str">
        <f t="shared" si="1"/>
        <v/>
      </c>
    </row>
    <row r="92" spans="4:4" x14ac:dyDescent="0.25">
      <c r="D92" t="str">
        <f t="shared" si="1"/>
        <v/>
      </c>
    </row>
    <row r="93" spans="4:4" x14ac:dyDescent="0.25">
      <c r="D93" t="str">
        <f t="shared" si="1"/>
        <v/>
      </c>
    </row>
    <row r="94" spans="4:4" x14ac:dyDescent="0.25">
      <c r="D94" t="str">
        <f t="shared" si="1"/>
        <v/>
      </c>
    </row>
    <row r="95" spans="4:4" x14ac:dyDescent="0.25">
      <c r="D95" t="str">
        <f t="shared" si="1"/>
        <v/>
      </c>
    </row>
    <row r="96" spans="4:4" x14ac:dyDescent="0.25">
      <c r="D96" t="str">
        <f t="shared" si="1"/>
        <v/>
      </c>
    </row>
    <row r="97" spans="4:4" x14ac:dyDescent="0.25">
      <c r="D97" t="str">
        <f t="shared" si="1"/>
        <v/>
      </c>
    </row>
    <row r="98" spans="4:4" x14ac:dyDescent="0.25">
      <c r="D98" t="str">
        <f t="shared" si="1"/>
        <v/>
      </c>
    </row>
    <row r="99" spans="4:4" x14ac:dyDescent="0.25">
      <c r="D99" t="str">
        <f t="shared" si="1"/>
        <v/>
      </c>
    </row>
    <row r="100" spans="4:4" x14ac:dyDescent="0.25">
      <c r="D100" t="str">
        <f t="shared" si="1"/>
        <v/>
      </c>
    </row>
    <row r="101" spans="4:4" x14ac:dyDescent="0.25">
      <c r="D101" t="str">
        <f t="shared" si="1"/>
        <v/>
      </c>
    </row>
    <row r="102" spans="4:4" x14ac:dyDescent="0.25">
      <c r="D102" t="str">
        <f t="shared" si="1"/>
        <v/>
      </c>
    </row>
    <row r="103" spans="4:4" x14ac:dyDescent="0.25">
      <c r="D103" t="str">
        <f t="shared" si="1"/>
        <v/>
      </c>
    </row>
    <row r="104" spans="4:4" x14ac:dyDescent="0.25">
      <c r="D104" t="str">
        <f t="shared" si="1"/>
        <v/>
      </c>
    </row>
    <row r="105" spans="4:4" x14ac:dyDescent="0.25">
      <c r="D105" t="str">
        <f t="shared" si="1"/>
        <v/>
      </c>
    </row>
    <row r="106" spans="4:4" x14ac:dyDescent="0.25">
      <c r="D106" t="str">
        <f t="shared" si="1"/>
        <v/>
      </c>
    </row>
    <row r="107" spans="4:4" x14ac:dyDescent="0.25">
      <c r="D107" t="str">
        <f t="shared" si="1"/>
        <v/>
      </c>
    </row>
    <row r="108" spans="4:4" x14ac:dyDescent="0.25">
      <c r="D108" t="str">
        <f t="shared" si="1"/>
        <v/>
      </c>
    </row>
    <row r="109" spans="4:4" x14ac:dyDescent="0.25">
      <c r="D109" t="str">
        <f t="shared" si="1"/>
        <v/>
      </c>
    </row>
    <row r="110" spans="4:4" x14ac:dyDescent="0.25">
      <c r="D110" t="str">
        <f t="shared" si="1"/>
        <v/>
      </c>
    </row>
    <row r="111" spans="4:4" x14ac:dyDescent="0.25">
      <c r="D111" t="str">
        <f t="shared" si="1"/>
        <v/>
      </c>
    </row>
    <row r="112" spans="4:4" x14ac:dyDescent="0.25">
      <c r="D112" t="str">
        <f t="shared" si="1"/>
        <v/>
      </c>
    </row>
    <row r="113" spans="4:4" x14ac:dyDescent="0.25">
      <c r="D113" t="str">
        <f t="shared" si="1"/>
        <v/>
      </c>
    </row>
    <row r="114" spans="4:4" x14ac:dyDescent="0.25">
      <c r="D114" t="str">
        <f t="shared" si="1"/>
        <v/>
      </c>
    </row>
    <row r="115" spans="4:4" x14ac:dyDescent="0.25">
      <c r="D115" t="str">
        <f t="shared" si="1"/>
        <v/>
      </c>
    </row>
    <row r="116" spans="4:4" x14ac:dyDescent="0.25">
      <c r="D116" t="str">
        <f t="shared" si="1"/>
        <v/>
      </c>
    </row>
    <row r="117" spans="4:4" x14ac:dyDescent="0.25">
      <c r="D117" t="str">
        <f t="shared" si="1"/>
        <v/>
      </c>
    </row>
    <row r="118" spans="4:4" x14ac:dyDescent="0.25">
      <c r="D118" t="str">
        <f t="shared" si="1"/>
        <v/>
      </c>
    </row>
    <row r="119" spans="4:4" x14ac:dyDescent="0.25">
      <c r="D119" t="str">
        <f t="shared" si="1"/>
        <v/>
      </c>
    </row>
    <row r="120" spans="4:4" x14ac:dyDescent="0.25">
      <c r="D120" t="str">
        <f t="shared" si="1"/>
        <v/>
      </c>
    </row>
    <row r="121" spans="4:4" x14ac:dyDescent="0.25">
      <c r="D121" t="str">
        <f t="shared" si="1"/>
        <v/>
      </c>
    </row>
    <row r="122" spans="4:4" x14ac:dyDescent="0.25">
      <c r="D122" t="str">
        <f t="shared" si="1"/>
        <v/>
      </c>
    </row>
    <row r="123" spans="4:4" x14ac:dyDescent="0.25">
      <c r="D123" t="str">
        <f t="shared" si="1"/>
        <v/>
      </c>
    </row>
    <row r="124" spans="4:4" x14ac:dyDescent="0.25">
      <c r="D124" t="str">
        <f t="shared" si="1"/>
        <v/>
      </c>
    </row>
    <row r="125" spans="4:4" x14ac:dyDescent="0.25">
      <c r="D125" t="str">
        <f t="shared" si="1"/>
        <v/>
      </c>
    </row>
    <row r="126" spans="4:4" x14ac:dyDescent="0.25">
      <c r="D126" t="str">
        <f t="shared" si="1"/>
        <v/>
      </c>
    </row>
    <row r="127" spans="4:4" x14ac:dyDescent="0.25">
      <c r="D127" t="str">
        <f t="shared" si="1"/>
        <v/>
      </c>
    </row>
    <row r="128" spans="4:4" x14ac:dyDescent="0.25">
      <c r="D128" t="str">
        <f t="shared" si="1"/>
        <v/>
      </c>
    </row>
    <row r="129" spans="4:4" x14ac:dyDescent="0.25">
      <c r="D129" t="str">
        <f t="shared" si="1"/>
        <v/>
      </c>
    </row>
    <row r="130" spans="4:4" x14ac:dyDescent="0.25">
      <c r="D130" t="str">
        <f t="shared" si="1"/>
        <v/>
      </c>
    </row>
    <row r="131" spans="4:4" x14ac:dyDescent="0.25">
      <c r="D131" t="str">
        <f t="shared" si="1"/>
        <v/>
      </c>
    </row>
    <row r="132" spans="4:4" x14ac:dyDescent="0.25">
      <c r="D132" t="str">
        <f t="shared" si="1"/>
        <v/>
      </c>
    </row>
    <row r="133" spans="4:4" x14ac:dyDescent="0.25">
      <c r="D133" t="str">
        <f t="shared" ref="D133:D175" si="2">A133&amp;B133</f>
        <v/>
      </c>
    </row>
    <row r="134" spans="4:4" x14ac:dyDescent="0.25">
      <c r="D134" t="str">
        <f t="shared" si="2"/>
        <v/>
      </c>
    </row>
    <row r="135" spans="4:4" x14ac:dyDescent="0.25">
      <c r="D135" t="str">
        <f t="shared" si="2"/>
        <v/>
      </c>
    </row>
    <row r="136" spans="4:4" x14ac:dyDescent="0.25">
      <c r="D136" t="str">
        <f t="shared" si="2"/>
        <v/>
      </c>
    </row>
    <row r="137" spans="4:4" x14ac:dyDescent="0.25">
      <c r="D137" t="str">
        <f t="shared" si="2"/>
        <v/>
      </c>
    </row>
    <row r="138" spans="4:4" x14ac:dyDescent="0.25">
      <c r="D138" t="str">
        <f t="shared" si="2"/>
        <v/>
      </c>
    </row>
    <row r="139" spans="4:4" x14ac:dyDescent="0.25">
      <c r="D139" t="str">
        <f t="shared" si="2"/>
        <v/>
      </c>
    </row>
    <row r="140" spans="4:4" x14ac:dyDescent="0.25">
      <c r="D140" t="str">
        <f t="shared" si="2"/>
        <v/>
      </c>
    </row>
    <row r="141" spans="4:4" x14ac:dyDescent="0.25">
      <c r="D141" t="str">
        <f t="shared" si="2"/>
        <v/>
      </c>
    </row>
    <row r="142" spans="4:4" x14ac:dyDescent="0.25">
      <c r="D142" t="str">
        <f t="shared" si="2"/>
        <v/>
      </c>
    </row>
    <row r="143" spans="4:4" x14ac:dyDescent="0.25">
      <c r="D143" t="str">
        <f t="shared" si="2"/>
        <v/>
      </c>
    </row>
    <row r="144" spans="4:4" x14ac:dyDescent="0.25">
      <c r="D144" t="str">
        <f t="shared" si="2"/>
        <v/>
      </c>
    </row>
    <row r="145" spans="4:4" x14ac:dyDescent="0.25">
      <c r="D145" t="str">
        <f t="shared" si="2"/>
        <v/>
      </c>
    </row>
    <row r="146" spans="4:4" x14ac:dyDescent="0.25">
      <c r="D146" t="str">
        <f t="shared" si="2"/>
        <v/>
      </c>
    </row>
    <row r="147" spans="4:4" x14ac:dyDescent="0.25">
      <c r="D147" t="str">
        <f t="shared" si="2"/>
        <v/>
      </c>
    </row>
    <row r="148" spans="4:4" x14ac:dyDescent="0.25">
      <c r="D148" t="str">
        <f t="shared" si="2"/>
        <v/>
      </c>
    </row>
    <row r="149" spans="4:4" x14ac:dyDescent="0.25">
      <c r="D149" t="str">
        <f t="shared" si="2"/>
        <v/>
      </c>
    </row>
    <row r="150" spans="4:4" x14ac:dyDescent="0.25">
      <c r="D150" t="str">
        <f t="shared" si="2"/>
        <v/>
      </c>
    </row>
    <row r="151" spans="4:4" x14ac:dyDescent="0.25">
      <c r="D151" t="str">
        <f t="shared" si="2"/>
        <v/>
      </c>
    </row>
    <row r="152" spans="4:4" x14ac:dyDescent="0.25">
      <c r="D152" t="str">
        <f t="shared" si="2"/>
        <v/>
      </c>
    </row>
    <row r="153" spans="4:4" x14ac:dyDescent="0.25">
      <c r="D153" t="str">
        <f t="shared" si="2"/>
        <v/>
      </c>
    </row>
    <row r="154" spans="4:4" x14ac:dyDescent="0.25">
      <c r="D154" t="str">
        <f t="shared" si="2"/>
        <v/>
      </c>
    </row>
    <row r="155" spans="4:4" x14ac:dyDescent="0.25">
      <c r="D155" t="str">
        <f t="shared" si="2"/>
        <v/>
      </c>
    </row>
    <row r="156" spans="4:4" x14ac:dyDescent="0.25">
      <c r="D156" t="str">
        <f t="shared" si="2"/>
        <v/>
      </c>
    </row>
    <row r="157" spans="4:4" x14ac:dyDescent="0.25">
      <c r="D157" t="str">
        <f t="shared" si="2"/>
        <v/>
      </c>
    </row>
    <row r="158" spans="4:4" x14ac:dyDescent="0.25">
      <c r="D158" t="str">
        <f t="shared" si="2"/>
        <v/>
      </c>
    </row>
    <row r="159" spans="4:4" x14ac:dyDescent="0.25">
      <c r="D159" t="str">
        <f t="shared" si="2"/>
        <v/>
      </c>
    </row>
    <row r="160" spans="4:4" x14ac:dyDescent="0.25">
      <c r="D160" t="str">
        <f t="shared" si="2"/>
        <v/>
      </c>
    </row>
    <row r="161" spans="4:4" x14ac:dyDescent="0.25">
      <c r="D161" t="str">
        <f t="shared" si="2"/>
        <v/>
      </c>
    </row>
    <row r="162" spans="4:4" x14ac:dyDescent="0.25">
      <c r="D162" t="str">
        <f t="shared" si="2"/>
        <v/>
      </c>
    </row>
    <row r="163" spans="4:4" x14ac:dyDescent="0.25">
      <c r="D163" t="str">
        <f t="shared" si="2"/>
        <v/>
      </c>
    </row>
    <row r="164" spans="4:4" x14ac:dyDescent="0.25">
      <c r="D164" t="str">
        <f t="shared" si="2"/>
        <v/>
      </c>
    </row>
    <row r="165" spans="4:4" x14ac:dyDescent="0.25">
      <c r="D165" t="str">
        <f t="shared" si="2"/>
        <v/>
      </c>
    </row>
    <row r="166" spans="4:4" x14ac:dyDescent="0.25">
      <c r="D166" t="str">
        <f t="shared" si="2"/>
        <v/>
      </c>
    </row>
    <row r="167" spans="4:4" x14ac:dyDescent="0.25">
      <c r="D167" t="str">
        <f t="shared" si="2"/>
        <v/>
      </c>
    </row>
    <row r="168" spans="4:4" x14ac:dyDescent="0.25">
      <c r="D168" t="str">
        <f t="shared" si="2"/>
        <v/>
      </c>
    </row>
    <row r="169" spans="4:4" x14ac:dyDescent="0.25">
      <c r="D169" t="str">
        <f t="shared" si="2"/>
        <v/>
      </c>
    </row>
    <row r="170" spans="4:4" x14ac:dyDescent="0.25">
      <c r="D170" t="str">
        <f t="shared" si="2"/>
        <v/>
      </c>
    </row>
    <row r="171" spans="4:4" x14ac:dyDescent="0.25">
      <c r="D171" t="str">
        <f t="shared" si="2"/>
        <v/>
      </c>
    </row>
    <row r="172" spans="4:4" x14ac:dyDescent="0.25">
      <c r="D172" t="str">
        <f t="shared" si="2"/>
        <v/>
      </c>
    </row>
    <row r="173" spans="4:4" x14ac:dyDescent="0.25">
      <c r="D173" t="str">
        <f t="shared" si="2"/>
        <v/>
      </c>
    </row>
    <row r="174" spans="4:4" x14ac:dyDescent="0.25">
      <c r="D174" t="str">
        <f t="shared" si="2"/>
        <v/>
      </c>
    </row>
    <row r="175" spans="4:4" x14ac:dyDescent="0.25">
      <c r="D175" t="str">
        <f t="shared" si="2"/>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22EAA-BE98-440F-813B-241598C67C60}">
  <sheetPr codeName="Sheet5"/>
  <dimension ref="A1:AG816"/>
  <sheetViews>
    <sheetView workbookViewId="0">
      <selection activeCell="B3" sqref="B3"/>
    </sheetView>
  </sheetViews>
  <sheetFormatPr defaultColWidth="9" defaultRowHeight="15" x14ac:dyDescent="0.25"/>
  <cols>
    <col min="1" max="1" width="7.140625" bestFit="1" customWidth="1"/>
    <col min="2" max="2" width="31.140625" bestFit="1" customWidth="1"/>
    <col min="3" max="3" width="32.140625" bestFit="1" customWidth="1"/>
    <col min="4" max="4" width="11.5703125" bestFit="1" customWidth="1"/>
    <col min="5" max="5" width="24.85546875" bestFit="1" customWidth="1"/>
    <col min="6" max="6" width="18.85546875" bestFit="1" customWidth="1"/>
    <col min="7" max="7" width="11.28515625" bestFit="1" customWidth="1"/>
    <col min="8" max="8" width="15.7109375" bestFit="1" customWidth="1"/>
    <col min="10" max="10" width="12.42578125" style="9" bestFit="1" customWidth="1"/>
    <col min="11" max="11" width="10.42578125" bestFit="1" customWidth="1"/>
    <col min="12" max="12" width="11.140625" bestFit="1" customWidth="1"/>
    <col min="13" max="13" width="11.28515625" bestFit="1" customWidth="1"/>
    <col min="14" max="14" width="6.42578125" bestFit="1" customWidth="1"/>
    <col min="15" max="15" width="10" bestFit="1" customWidth="1"/>
    <col min="17" max="17" width="31.42578125" bestFit="1" customWidth="1"/>
    <col min="18" max="19" width="12.7109375" bestFit="1" customWidth="1"/>
    <col min="20" max="20" width="4.5703125" bestFit="1" customWidth="1"/>
    <col min="21" max="22" width="12.7109375" bestFit="1" customWidth="1"/>
    <col min="23" max="23" width="4.5703125" bestFit="1" customWidth="1"/>
    <col min="24" max="25" width="11.7109375" bestFit="1" customWidth="1"/>
    <col min="26" max="26" width="4.5703125" bestFit="1" customWidth="1"/>
    <col min="27" max="27" width="13.85546875" bestFit="1" customWidth="1"/>
    <col min="28" max="28" width="12.7109375" bestFit="1" customWidth="1"/>
    <col min="29" max="29" width="7.85546875" bestFit="1" customWidth="1"/>
    <col min="30" max="30" width="2" bestFit="1" customWidth="1"/>
    <col min="31" max="31" width="15.28515625" bestFit="1" customWidth="1"/>
    <col min="32" max="32" width="11" bestFit="1" customWidth="1"/>
    <col min="33" max="33" width="11.85546875" bestFit="1" customWidth="1"/>
  </cols>
  <sheetData>
    <row r="1" spans="1:33" ht="24" x14ac:dyDescent="0.25">
      <c r="A1" s="1" t="s">
        <v>194</v>
      </c>
      <c r="B1" s="1" t="s">
        <v>77</v>
      </c>
      <c r="C1" s="1" t="s">
        <v>195</v>
      </c>
      <c r="D1" s="1" t="s">
        <v>196</v>
      </c>
      <c r="E1" s="1" t="s">
        <v>84</v>
      </c>
      <c r="F1" s="1" t="s">
        <v>197</v>
      </c>
      <c r="G1" s="1" t="s">
        <v>186</v>
      </c>
      <c r="H1" s="1" t="s">
        <v>198</v>
      </c>
      <c r="I1" s="51" t="s">
        <v>199</v>
      </c>
      <c r="J1" s="51" t="s">
        <v>200</v>
      </c>
      <c r="K1" s="51" t="s">
        <v>201</v>
      </c>
      <c r="L1" s="2" t="s">
        <v>86</v>
      </c>
      <c r="M1" s="1" t="s">
        <v>202</v>
      </c>
      <c r="N1" s="3" t="s">
        <v>203</v>
      </c>
      <c r="O1" s="1" t="s">
        <v>204</v>
      </c>
    </row>
    <row r="2" spans="1:33" x14ac:dyDescent="0.25">
      <c r="A2" s="4" t="str">
        <f>'[3]M.C UNPIV'!B3</f>
        <v>Delta A</v>
      </c>
      <c r="B2" s="5" t="str">
        <f>'[3]M.C UNPIV'!C3</f>
        <v>Dakahlia Aga – Al Yasmine</v>
      </c>
      <c r="C2" s="5" t="str">
        <f>'[3]M.C UNPIV'!D3</f>
        <v>Ahmed Saad Ibrahim</v>
      </c>
      <c r="D2" s="5" t="str">
        <f>'[3]M.C UNPIV'!E3</f>
        <v>D24_G00704</v>
      </c>
      <c r="E2" s="5" t="str">
        <f>'[3]M.C UNPIV'!F3</f>
        <v>أسواق الندى</v>
      </c>
      <c r="F2" s="5" t="str">
        <f>'[3]M.C UNPIV'!G3</f>
        <v>K-Retail</v>
      </c>
      <c r="G2" s="6">
        <f>'[3]M.C UNPIV'!H3</f>
        <v>46090.622637847198</v>
      </c>
      <c r="H2" s="5" t="str">
        <f>'[3]M.C UNPIV'!I3</f>
        <v>D24_O_00120803</v>
      </c>
      <c r="I2" s="5">
        <f>'[3]M.C UNPIV'!J3</f>
        <v>0</v>
      </c>
      <c r="J2" s="7">
        <f>'[3]M.C UNPIV'!K3</f>
        <v>65180.93</v>
      </c>
      <c r="K2" s="5">
        <f>'[3]M.C UNPIV'!L3</f>
        <v>65180.93</v>
      </c>
      <c r="L2" s="5" t="str">
        <f>'[3]M.C UNPIV'!M3</f>
        <v>61 : 120 Days</v>
      </c>
      <c r="M2" s="6">
        <f>'[3]M.C UNPIV'!N3</f>
        <v>46106</v>
      </c>
      <c r="N2" s="5" t="str">
        <f>'[3]M.C UNPIV'!O3</f>
        <v>PASTA</v>
      </c>
      <c r="O2" s="5">
        <f>'[3]M.C UNPIV'!P3</f>
        <v>96</v>
      </c>
      <c r="Q2" s="62" t="str">
        <f>[4]M.C!B5</f>
        <v>AFIA</v>
      </c>
      <c r="R2" s="63">
        <f>[4]M.C!C5</f>
        <v>0</v>
      </c>
      <c r="S2" s="63">
        <f>[4]M.C!D5</f>
        <v>0</v>
      </c>
      <c r="T2" s="63" t="str">
        <f>[4]M.C!E5</f>
        <v>PASTA</v>
      </c>
      <c r="U2" s="63">
        <f>[4]M.C!F5</f>
        <v>0</v>
      </c>
      <c r="V2" s="63">
        <f>[4]M.C!G5</f>
        <v>0</v>
      </c>
      <c r="W2" s="63" t="str">
        <f>[4]M.C!H5</f>
        <v>SFIE</v>
      </c>
      <c r="X2" s="63">
        <f>[4]M.C!I5</f>
        <v>0</v>
      </c>
      <c r="Y2" s="63">
        <f>[4]M.C!J5</f>
        <v>0</v>
      </c>
      <c r="Z2" s="63">
        <f>[4]M.C!K5</f>
        <v>0</v>
      </c>
      <c r="AA2" s="64" t="str">
        <f>[4]M.C!L5</f>
        <v>ALL</v>
      </c>
      <c r="AB2" s="64">
        <f>[4]M.C!M5</f>
        <v>0</v>
      </c>
      <c r="AC2" s="64">
        <f>[4]M.C!N5</f>
        <v>0</v>
      </c>
      <c r="AD2" s="56" t="str">
        <f>[4]M.C!O5</f>
        <v>M.C Vs</v>
      </c>
      <c r="AE2" s="56" t="str">
        <f>[4]M.C!P5</f>
        <v>TAR</v>
      </c>
      <c r="AF2" s="76">
        <f>[4]M.C!Q5</f>
        <v>0</v>
      </c>
      <c r="AG2" s="76"/>
    </row>
    <row r="3" spans="1:33" x14ac:dyDescent="0.25">
      <c r="A3" s="4" t="str">
        <f>'[3]M.C UNPIV'!B4</f>
        <v>Delta A</v>
      </c>
      <c r="B3" s="5" t="str">
        <f>'[3]M.C UNPIV'!C4</f>
        <v>Dakahlia Aga – Al Yasmine</v>
      </c>
      <c r="C3" s="5" t="str">
        <f>'[3]M.C UNPIV'!D4</f>
        <v>El Sayed Omar Attiah</v>
      </c>
      <c r="D3" s="5" t="str">
        <f>'[3]M.C UNPIV'!E4</f>
        <v>D24_R00704</v>
      </c>
      <c r="E3" s="5" t="str">
        <f>'[3]M.C UNPIV'!F4</f>
        <v>أسواق الندى</v>
      </c>
      <c r="F3" s="5" t="str">
        <f>'[3]M.C UNPIV'!G4</f>
        <v>K-Retail</v>
      </c>
      <c r="G3" s="6">
        <f>'[3]M.C UNPIV'!H4</f>
        <v>46088.632650081003</v>
      </c>
      <c r="H3" s="5" t="str">
        <f>'[3]M.C UNPIV'!I4</f>
        <v>D24_O_00120635</v>
      </c>
      <c r="I3" s="5">
        <f>'[3]M.C UNPIV'!J4</f>
        <v>0</v>
      </c>
      <c r="J3" s="7">
        <f>'[3]M.C UNPIV'!K4</f>
        <v>66136.759999999995</v>
      </c>
      <c r="K3" s="5">
        <f>'[3]M.C UNPIV'!L4</f>
        <v>66136.759999999995</v>
      </c>
      <c r="L3" s="5" t="str">
        <f>'[3]M.C UNPIV'!M4</f>
        <v>61 : 120 Days</v>
      </c>
      <c r="M3" s="6">
        <f>'[3]M.C UNPIV'!N4</f>
        <v>46104</v>
      </c>
      <c r="N3" s="5" t="str">
        <f>'[3]M.C UNPIV'!O4</f>
        <v>AFIA</v>
      </c>
      <c r="O3" s="5">
        <f>'[3]M.C UNPIV'!P4</f>
        <v>98</v>
      </c>
      <c r="Q3" s="62" t="str">
        <f>[4]M.C!B6</f>
        <v xml:space="preserve">M.C </v>
      </c>
      <c r="R3" s="63" t="str">
        <f>[4]M.C!C6</f>
        <v xml:space="preserve"> O.D</v>
      </c>
      <c r="S3" s="64" t="str">
        <f>[4]M.C!D6</f>
        <v xml:space="preserve"> %</v>
      </c>
      <c r="T3" s="64" t="str">
        <f>[4]M.C!E6</f>
        <v xml:space="preserve">M.C </v>
      </c>
      <c r="U3" s="63" t="str">
        <f>[4]M.C!F6</f>
        <v xml:space="preserve"> O.D</v>
      </c>
      <c r="V3" s="64" t="str">
        <f>[4]M.C!G6</f>
        <v xml:space="preserve"> %</v>
      </c>
      <c r="W3" s="64" t="str">
        <f>[4]M.C!H6</f>
        <v xml:space="preserve">M.C </v>
      </c>
      <c r="X3" s="63" t="str">
        <f>[4]M.C!I6</f>
        <v xml:space="preserve"> O.D</v>
      </c>
      <c r="Y3" s="63" t="str">
        <f>[4]M.C!J6</f>
        <v xml:space="preserve"> %</v>
      </c>
      <c r="Z3" s="63" t="str">
        <f>[4]M.C!K6</f>
        <v xml:space="preserve">Total M.C </v>
      </c>
      <c r="AA3" s="64" t="str">
        <f>[4]M.C!L6</f>
        <v>Total  O.D</v>
      </c>
      <c r="AB3" s="64" t="str">
        <f>[4]M.C!M6</f>
        <v>Total  %</v>
      </c>
      <c r="AC3" s="64">
        <f>[4]M.C!N6</f>
        <v>0</v>
      </c>
      <c r="AD3" s="56" t="str">
        <f>[4]M.C!O6</f>
        <v>M.C Vs TAR</v>
      </c>
      <c r="AE3" s="57" t="str">
        <f>[4]M.C!P6</f>
        <v>O.D VS TAR</v>
      </c>
      <c r="AF3" s="57" t="str">
        <f>[4]M.C!Q6</f>
        <v>TAR</v>
      </c>
      <c r="AG3" s="57">
        <f>[4]M.C!R6</f>
        <v>0</v>
      </c>
    </row>
    <row r="4" spans="1:33" x14ac:dyDescent="0.25">
      <c r="A4" s="4" t="str">
        <f>'[3]M.C UNPIV'!B5</f>
        <v>Delta A</v>
      </c>
      <c r="B4" s="5" t="str">
        <f>'[3]M.C UNPIV'!C5</f>
        <v>Dakahlia Aga – Al Yasmine</v>
      </c>
      <c r="C4" s="5" t="str">
        <f>'[3]M.C UNPIV'!D5</f>
        <v>Mahmoud Arafa Mohamed Salama</v>
      </c>
      <c r="D4" s="5" t="str">
        <f>'[3]M.C UNPIV'!E5</f>
        <v>D24_G00274</v>
      </c>
      <c r="E4" s="5" t="str">
        <f>'[3]M.C UNPIV'!F5</f>
        <v>بطوطة ماركت</v>
      </c>
      <c r="F4" s="5" t="str">
        <f>'[3]M.C UNPIV'!G5</f>
        <v>K-Retail</v>
      </c>
      <c r="G4" s="6">
        <f>'[3]M.C UNPIV'!H5</f>
        <v>46088.538537766202</v>
      </c>
      <c r="H4" s="5" t="str">
        <f>'[3]M.C UNPIV'!I5</f>
        <v>D24_O_00120589</v>
      </c>
      <c r="I4" s="5">
        <f>'[3]M.C UNPIV'!J5</f>
        <v>0</v>
      </c>
      <c r="J4" s="7">
        <f>'[3]M.C UNPIV'!K5</f>
        <v>21755.56</v>
      </c>
      <c r="K4" s="5">
        <f>'[3]M.C UNPIV'!L5</f>
        <v>21755.56</v>
      </c>
      <c r="L4" s="5" t="str">
        <f>'[3]M.C UNPIV'!M5</f>
        <v>61 : 120 Days</v>
      </c>
      <c r="M4" s="6">
        <f>'[3]M.C UNPIV'!N5</f>
        <v>46104</v>
      </c>
      <c r="N4" s="5" t="str">
        <f>'[3]M.C UNPIV'!O5</f>
        <v>PASTA</v>
      </c>
      <c r="O4" s="5">
        <f>'[3]M.C UNPIV'!P5</f>
        <v>98</v>
      </c>
      <c r="Q4" s="65">
        <f>[4]M.C!B7</f>
        <v>30857984.669999994</v>
      </c>
      <c r="R4" s="66">
        <f>[4]M.C!C7</f>
        <v>30149648.740000002</v>
      </c>
      <c r="S4" s="67" t="str">
        <f>[4]M.C!D7</f>
        <v>98% ⛔</v>
      </c>
      <c r="T4" s="68">
        <f>[4]M.C!E7</f>
        <v>5746867.7299999995</v>
      </c>
      <c r="U4" s="66">
        <f>[4]M.C!F7</f>
        <v>4982921.01</v>
      </c>
      <c r="V4" s="67" t="str">
        <f>[4]M.C!G7</f>
        <v>87% ⛔</v>
      </c>
      <c r="W4" s="68">
        <f>[4]M.C!H7</f>
        <v>0</v>
      </c>
      <c r="X4" s="66">
        <f>[4]M.C!I7</f>
        <v>0</v>
      </c>
      <c r="Y4" s="67" t="str">
        <f>[4]M.C!J7</f>
        <v/>
      </c>
      <c r="Z4" s="68">
        <f>[4]M.C!K7</f>
        <v>36604852.399999999</v>
      </c>
      <c r="AA4" s="66">
        <f>[4]M.C!L7</f>
        <v>35132569.75</v>
      </c>
      <c r="AB4" s="67" t="str">
        <f>[4]M.C!M7</f>
        <v>96% ⛔</v>
      </c>
      <c r="AC4" s="68">
        <f>[4]M.C!N7</f>
        <v>0</v>
      </c>
      <c r="AD4" s="56">
        <f>[4]M.C!O7</f>
        <v>0.566626825238425</v>
      </c>
      <c r="AE4" s="58">
        <f>[4]M.C!P7</f>
        <v>0.54383654501254119</v>
      </c>
      <c r="AF4" s="59">
        <f>[4]M.C!Q7</f>
        <v>64601340.369999997</v>
      </c>
      <c r="AG4" s="59">
        <f>[4]M.C!R7</f>
        <v>0</v>
      </c>
    </row>
    <row r="5" spans="1:33" x14ac:dyDescent="0.25">
      <c r="A5" s="4" t="str">
        <f>'[3]M.C UNPIV'!B6</f>
        <v>Delta A</v>
      </c>
      <c r="B5" s="5" t="str">
        <f>'[3]M.C UNPIV'!C6</f>
        <v>Dakahlia Aga – Al Yasmine</v>
      </c>
      <c r="C5" s="5" t="str">
        <f>'[3]M.C UNPIV'!D6</f>
        <v>Mohamed Ali Al sayed Al sayed</v>
      </c>
      <c r="D5" s="5" t="str">
        <f>'[3]M.C UNPIV'!E6</f>
        <v>D24_R01104</v>
      </c>
      <c r="E5" s="5" t="str">
        <f>'[3]M.C UNPIV'!F6</f>
        <v>صلاح غلوش</v>
      </c>
      <c r="F5" s="5" t="str">
        <f>'[3]M.C UNPIV'!G6</f>
        <v>W/s Consumer &amp; Industrial</v>
      </c>
      <c r="G5" s="6">
        <f>'[3]M.C UNPIV'!H6</f>
        <v>46088.698774108801</v>
      </c>
      <c r="H5" s="5" t="str">
        <f>'[3]M.C UNPIV'!I6</f>
        <v>D24_O_00120614</v>
      </c>
      <c r="I5" s="5">
        <f>'[3]M.C UNPIV'!J6</f>
        <v>3500000</v>
      </c>
      <c r="J5" s="7">
        <f>'[3]M.C UNPIV'!K6</f>
        <v>1602863.43</v>
      </c>
      <c r="K5" s="5">
        <f>'[3]M.C UNPIV'!L6</f>
        <v>1602863.43</v>
      </c>
      <c r="L5" s="5" t="str">
        <f>'[3]M.C UNPIV'!M6</f>
        <v>61 : 120 Days</v>
      </c>
      <c r="M5" s="6">
        <f>'[3]M.C UNPIV'!N6</f>
        <v>46099</v>
      </c>
      <c r="N5" s="5" t="str">
        <f>'[3]M.C UNPIV'!O6</f>
        <v>AFIA</v>
      </c>
      <c r="O5" s="5">
        <f>'[3]M.C UNPIV'!P6</f>
        <v>103</v>
      </c>
      <c r="Q5" s="65">
        <f>[4]M.C!B8</f>
        <v>8062959.0499999998</v>
      </c>
      <c r="R5" s="66">
        <f>[4]M.C!C8</f>
        <v>8062959.0499999998</v>
      </c>
      <c r="S5" s="67" t="str">
        <f>[4]M.C!D8</f>
        <v>100% ⛔</v>
      </c>
      <c r="T5" s="68">
        <f>[4]M.C!E8</f>
        <v>372943.53</v>
      </c>
      <c r="U5" s="66">
        <f>[4]M.C!F8</f>
        <v>372943.53</v>
      </c>
      <c r="V5" s="67" t="str">
        <f>[4]M.C!G8</f>
        <v>100% ⛔</v>
      </c>
      <c r="W5" s="68">
        <f>[4]M.C!H8</f>
        <v>0</v>
      </c>
      <c r="X5" s="66">
        <f>[4]M.C!I8</f>
        <v>0</v>
      </c>
      <c r="Y5" s="67" t="str">
        <f>[4]M.C!J8</f>
        <v/>
      </c>
      <c r="Z5" s="68">
        <f>[4]M.C!K8</f>
        <v>8435902.5800000001</v>
      </c>
      <c r="AA5" s="66">
        <f>[4]M.C!L8</f>
        <v>8435902.5800000001</v>
      </c>
      <c r="AB5" s="67" t="str">
        <f>[4]M.C!M8</f>
        <v>100% ⛔</v>
      </c>
      <c r="AC5" s="68">
        <f>[4]M.C!N8</f>
        <v>0</v>
      </c>
      <c r="AD5" s="56">
        <f>[4]M.C!O8</f>
        <v>0.22726304364806826</v>
      </c>
      <c r="AE5" s="58">
        <f>[4]M.C!P8</f>
        <v>0.22726304364806826</v>
      </c>
      <c r="AF5" s="59">
        <f>[4]M.C!Q8</f>
        <v>37119552.939999998</v>
      </c>
      <c r="AG5" s="59">
        <f>[4]M.C!R8</f>
        <v>0</v>
      </c>
    </row>
    <row r="6" spans="1:33" x14ac:dyDescent="0.25">
      <c r="A6" s="4" t="str">
        <f>'[3]M.C UNPIV'!B7</f>
        <v>Delta A</v>
      </c>
      <c r="B6" s="5" t="str">
        <f>'[3]M.C UNPIV'!C7</f>
        <v>Dakahlia Aga – Al Yasmine</v>
      </c>
      <c r="C6" s="5" t="str">
        <f>'[3]M.C UNPIV'!D7</f>
        <v>Mohamed Kamel Ali - Ganna Mix</v>
      </c>
      <c r="D6" s="5" t="str">
        <f>'[3]M.C UNPIV'!E7</f>
        <v>D24_01212</v>
      </c>
      <c r="E6" s="5" t="str">
        <f>'[3]M.C UNPIV'!F7</f>
        <v>مؤسسة محمد حسن</v>
      </c>
      <c r="F6" s="5" t="str">
        <f>'[3]M.C UNPIV'!G7</f>
        <v>W/s Consumer &amp; Industrial</v>
      </c>
      <c r="G6" s="6">
        <f>'[3]M.C UNPIV'!H7</f>
        <v>46194</v>
      </c>
      <c r="H6" s="5" t="str">
        <f>'[3]M.C UNPIV'!I7</f>
        <v>D24_O_00126984</v>
      </c>
      <c r="I6" s="5">
        <f>'[3]M.C UNPIV'!J7</f>
        <v>300000</v>
      </c>
      <c r="J6" s="7">
        <f>'[3]M.C UNPIV'!K7</f>
        <v>211989.26</v>
      </c>
      <c r="K6" s="5">
        <f>'[3]M.C UNPIV'!L7</f>
        <v>211989.26</v>
      </c>
      <c r="L6" s="5" t="str">
        <f>'[3]M.C UNPIV'!M7</f>
        <v>1 : 10 Days</v>
      </c>
      <c r="M6" s="6">
        <f>'[3]M.C UNPIV'!N7</f>
        <v>46195</v>
      </c>
      <c r="N6" s="5" t="str">
        <f>'[3]M.C UNPIV'!O7</f>
        <v>AFIA</v>
      </c>
      <c r="O6" s="5">
        <f>'[3]M.C UNPIV'!P7</f>
        <v>7</v>
      </c>
      <c r="Q6" s="65">
        <f>[4]M.C!B9</f>
        <v>9791597.3999990001</v>
      </c>
      <c r="R6" s="66">
        <f>[4]M.C!C9</f>
        <v>6540712.1399989994</v>
      </c>
      <c r="S6" s="67" t="str">
        <f>[4]M.C!D9</f>
        <v>67% ⚠</v>
      </c>
      <c r="T6" s="68">
        <f>[4]M.C!E9</f>
        <v>4514071.38</v>
      </c>
      <c r="U6" s="66">
        <f>[4]M.C!F9</f>
        <v>2840046.0599999996</v>
      </c>
      <c r="V6" s="67" t="str">
        <f>[4]M.C!G9</f>
        <v>63% ⚠</v>
      </c>
      <c r="W6" s="68">
        <f>[4]M.C!H9</f>
        <v>0</v>
      </c>
      <c r="X6" s="66">
        <f>[4]M.C!I9</f>
        <v>0</v>
      </c>
      <c r="Y6" s="67" t="str">
        <f>[4]M.C!J9</f>
        <v/>
      </c>
      <c r="Z6" s="68">
        <f>[4]M.C!K9</f>
        <v>14305668.779999005</v>
      </c>
      <c r="AA6" s="66">
        <f>[4]M.C!L9</f>
        <v>9380758.1999990009</v>
      </c>
      <c r="AB6" s="67" t="str">
        <f>[4]M.C!M9</f>
        <v>66% ⚠</v>
      </c>
      <c r="AC6" s="68">
        <f>[4]M.C!N9</f>
        <v>0</v>
      </c>
      <c r="AD6" s="56">
        <f>[4]M.C!O9</f>
        <v>0.32037415836478872</v>
      </c>
      <c r="AE6" s="58">
        <f>[4]M.C!P9</f>
        <v>0.21008123138920312</v>
      </c>
      <c r="AF6" s="59">
        <f>[4]M.C!Q9</f>
        <v>44653004.640000001</v>
      </c>
      <c r="AG6" s="59">
        <f>[4]M.C!R9</f>
        <v>0</v>
      </c>
    </row>
    <row r="7" spans="1:33" x14ac:dyDescent="0.25">
      <c r="A7" s="4" t="str">
        <f>'[3]M.C UNPIV'!B8</f>
        <v>Delta A</v>
      </c>
      <c r="B7" s="5" t="str">
        <f>'[3]M.C UNPIV'!C8</f>
        <v>Dakahlia Aga – Al Yasmine</v>
      </c>
      <c r="C7" s="5" t="str">
        <f>'[3]M.C UNPIV'!D8</f>
        <v>Tawakkol Mustafa Enab</v>
      </c>
      <c r="D7" s="5" t="str">
        <f>'[3]M.C UNPIV'!E8</f>
        <v>D24_G01094</v>
      </c>
      <c r="E7" s="5" t="str">
        <f>'[3]M.C UNPIV'!F8</f>
        <v>أحمد الشنيطى</v>
      </c>
      <c r="F7" s="5" t="str">
        <f>'[3]M.C UNPIV'!G8</f>
        <v>W/s Consumer &amp; Industrial</v>
      </c>
      <c r="G7" s="6">
        <f>'[3]M.C UNPIV'!H8</f>
        <v>46184.453129085698</v>
      </c>
      <c r="H7" s="5" t="str">
        <f>'[3]M.C UNPIV'!I8</f>
        <v>D24_O_00126600</v>
      </c>
      <c r="I7" s="5">
        <f>'[3]M.C UNPIV'!J8</f>
        <v>200000</v>
      </c>
      <c r="J7" s="7">
        <f>'[3]M.C UNPIV'!K8</f>
        <v>39624</v>
      </c>
      <c r="K7" s="5">
        <f>'[3]M.C UNPIV'!L8</f>
        <v>39624</v>
      </c>
      <c r="L7" s="5" t="str">
        <f>'[3]M.C UNPIV'!M8</f>
        <v>1 : 10 Days</v>
      </c>
      <c r="M7" s="6">
        <f>'[3]M.C UNPIV'!N8</f>
        <v>46195</v>
      </c>
      <c r="N7" s="5" t="str">
        <f>'[3]M.C UNPIV'!O8</f>
        <v>PASTA</v>
      </c>
      <c r="O7" s="5">
        <f>'[3]M.C UNPIV'!P8</f>
        <v>7</v>
      </c>
      <c r="Q7" s="62">
        <f>[4]M.C!B10</f>
        <v>48712541.119998991</v>
      </c>
      <c r="R7" s="66">
        <f>[4]M.C!C10</f>
        <v>66367499.920000002</v>
      </c>
      <c r="S7" s="67" t="str">
        <f>[4]M.C!D10</f>
        <v>136% ⛔</v>
      </c>
      <c r="T7" s="68">
        <f>[4]M.C!E10</f>
        <v>10633882.640000001</v>
      </c>
      <c r="U7" s="66">
        <f>[4]M.C!F10</f>
        <v>8195910.5999999996</v>
      </c>
      <c r="V7" s="67" t="str">
        <f>[4]M.C!G10</f>
        <v>77% ⛔</v>
      </c>
      <c r="W7" s="68">
        <f>[4]M.C!H10</f>
        <v>0</v>
      </c>
      <c r="X7" s="66">
        <f>[4]M.C!I10</f>
        <v>0</v>
      </c>
      <c r="Y7" s="66" t="str">
        <f>[4]M.C!J10</f>
        <v/>
      </c>
      <c r="Z7" s="69">
        <f>[4]M.C!K10</f>
        <v>59346423.759999</v>
      </c>
      <c r="AA7" s="66">
        <f>[4]M.C!L10</f>
        <v>52949230.529999003</v>
      </c>
      <c r="AB7" s="67" t="str">
        <f>[4]M.C!M10</f>
        <v>89% ⛔</v>
      </c>
      <c r="AC7" s="68">
        <f>[4]M.C!N10</f>
        <v>0</v>
      </c>
      <c r="AD7" s="56">
        <f>[4]M.C!O10</f>
        <v>0.40544403470262985</v>
      </c>
      <c r="AE7" s="60">
        <f>[4]M.C!P10</f>
        <v>0.36173956744723695</v>
      </c>
      <c r="AF7" s="61">
        <f>[4]M.C!Q10</f>
        <v>146373897.94999999</v>
      </c>
      <c r="AG7" s="61">
        <f>[4]M.C!R10</f>
        <v>0</v>
      </c>
    </row>
    <row r="8" spans="1:33" x14ac:dyDescent="0.25">
      <c r="A8" s="4" t="str">
        <f>'[3]M.C UNPIV'!B9</f>
        <v>Delta A</v>
      </c>
      <c r="B8" s="5" t="str">
        <f>'[3]M.C UNPIV'!C9</f>
        <v>Dakahlia Aga – Al Yasmine</v>
      </c>
      <c r="C8" s="5" t="str">
        <f>'[3]M.C UNPIV'!D9</f>
        <v>Tawakkol Mustafa Enab</v>
      </c>
      <c r="D8" s="5" t="str">
        <f>'[3]M.C UNPIV'!E9</f>
        <v>D24_G01096</v>
      </c>
      <c r="E8" s="5" t="str">
        <f>'[3]M.C UNPIV'!F9</f>
        <v>تجارة ضيف الله</v>
      </c>
      <c r="F8" s="5" t="str">
        <f>'[3]M.C UNPIV'!G9</f>
        <v>W/s Consumer &amp; Industrial</v>
      </c>
      <c r="G8" s="6">
        <f>'[3]M.C UNPIV'!H9</f>
        <v>46179.400064814799</v>
      </c>
      <c r="H8" s="5" t="str">
        <f>'[3]M.C UNPIV'!I9</f>
        <v>D24_O_00126202</v>
      </c>
      <c r="I8" s="5">
        <f>'[3]M.C UNPIV'!J9</f>
        <v>200000</v>
      </c>
      <c r="J8" s="7">
        <f>'[3]M.C UNPIV'!K9</f>
        <v>49382.57</v>
      </c>
      <c r="K8" s="5">
        <f>'[3]M.C UNPIV'!L9</f>
        <v>49382.57</v>
      </c>
      <c r="L8" s="5" t="str">
        <f>'[3]M.C UNPIV'!M9</f>
        <v>11 : 20 Days</v>
      </c>
      <c r="M8" s="6">
        <f>'[3]M.C UNPIV'!N9</f>
        <v>46190</v>
      </c>
      <c r="N8" s="5" t="str">
        <f>'[3]M.C UNPIV'!O9</f>
        <v>PASTA</v>
      </c>
      <c r="O8" s="5">
        <f>'[3]M.C UNPIV'!P9</f>
        <v>12</v>
      </c>
      <c r="AD8" s="36"/>
      <c r="AE8" s="37"/>
      <c r="AF8" s="36"/>
      <c r="AG8" s="36"/>
    </row>
    <row r="9" spans="1:33" x14ac:dyDescent="0.25">
      <c r="A9" s="4" t="str">
        <f>'[3]M.C UNPIV'!B10</f>
        <v>Delta A</v>
      </c>
      <c r="B9" s="5" t="str">
        <f>'[3]M.C UNPIV'!C10</f>
        <v>Dakahlia Aga – Al Yasmine</v>
      </c>
      <c r="C9" s="5" t="str">
        <f>'[3]M.C UNPIV'!D10</f>
        <v>Tawakkol Mustafa Enab</v>
      </c>
      <c r="D9" s="5" t="str">
        <f>'[3]M.C UNPIV'!E10</f>
        <v>D24_G01102</v>
      </c>
      <c r="E9" s="5" t="str">
        <f>'[3]M.C UNPIV'!F10</f>
        <v>صلاح الطناحى</v>
      </c>
      <c r="F9" s="5" t="str">
        <f>'[3]M.C UNPIV'!G10</f>
        <v>W/s Consumer &amp; Industrial</v>
      </c>
      <c r="G9" s="6">
        <f>'[3]M.C UNPIV'!H10</f>
        <v>46180.403225000002</v>
      </c>
      <c r="H9" s="5" t="str">
        <f>'[3]M.C UNPIV'!I10</f>
        <v>D24_O_00126280</v>
      </c>
      <c r="I9" s="5">
        <f>'[3]M.C UNPIV'!J10</f>
        <v>200000</v>
      </c>
      <c r="J9" s="7">
        <f>'[3]M.C UNPIV'!K10</f>
        <v>52832</v>
      </c>
      <c r="K9" s="5">
        <f>'[3]M.C UNPIV'!L10</f>
        <v>52832</v>
      </c>
      <c r="L9" s="5" t="str">
        <f>'[3]M.C UNPIV'!M10</f>
        <v>11 : 20 Days</v>
      </c>
      <c r="M9" s="6">
        <f>'[3]M.C UNPIV'!N10</f>
        <v>46191</v>
      </c>
      <c r="N9" s="5" t="str">
        <f>'[3]M.C UNPIV'!O10</f>
        <v>PASTA</v>
      </c>
      <c r="O9" s="5">
        <f>'[3]M.C UNPIV'!P10</f>
        <v>11</v>
      </c>
    </row>
    <row r="10" spans="1:33" x14ac:dyDescent="0.25">
      <c r="A10" s="4" t="str">
        <f>'[3]M.C UNPIV'!B11</f>
        <v>Delta A</v>
      </c>
      <c r="B10" s="5" t="str">
        <f>'[3]M.C UNPIV'!C11</f>
        <v>Dakahlia Aga – Al Yasmine</v>
      </c>
      <c r="C10" s="5" t="str">
        <f>'[3]M.C UNPIV'!D11</f>
        <v>Tawakkol Mustafa Enab</v>
      </c>
      <c r="D10" s="5" t="str">
        <f>'[3]M.C UNPIV'!E11</f>
        <v>D24_G01108</v>
      </c>
      <c r="E10" s="5" t="str">
        <f>'[3]M.C UNPIV'!F11</f>
        <v>شركة مسلم للتجارة</v>
      </c>
      <c r="F10" s="5" t="str">
        <f>'[3]M.C UNPIV'!G11</f>
        <v>W/s Consumer &amp; Industrial</v>
      </c>
      <c r="G10" s="6">
        <f>'[3]M.C UNPIV'!H11</f>
        <v>46180.503390081001</v>
      </c>
      <c r="H10" s="5" t="str">
        <f>'[3]M.C UNPIV'!I11</f>
        <v>D24_O_00126285</v>
      </c>
      <c r="I10" s="5">
        <f>'[3]M.C UNPIV'!J11</f>
        <v>1500000</v>
      </c>
      <c r="J10" s="7">
        <f>'[3]M.C UNPIV'!K11</f>
        <v>97517</v>
      </c>
      <c r="K10" s="5">
        <f>'[3]M.C UNPIV'!L11</f>
        <v>97517</v>
      </c>
      <c r="L10" s="5" t="str">
        <f>'[3]M.C UNPIV'!M11</f>
        <v>11 : 20 Days</v>
      </c>
      <c r="M10" s="6">
        <f>'[3]M.C UNPIV'!N11</f>
        <v>46191</v>
      </c>
      <c r="N10" s="5" t="str">
        <f>'[3]M.C UNPIV'!O11</f>
        <v>PASTA</v>
      </c>
      <c r="O10" s="5">
        <f>'[3]M.C UNPIV'!P11</f>
        <v>11</v>
      </c>
    </row>
    <row r="11" spans="1:33" x14ac:dyDescent="0.25">
      <c r="A11" s="4" t="str">
        <f>'[3]M.C UNPIV'!B12</f>
        <v>Delta A</v>
      </c>
      <c r="B11" s="5" t="str">
        <f>'[3]M.C UNPIV'!C12</f>
        <v>Dakahlia Aga – Al Yasmine</v>
      </c>
      <c r="C11" s="5" t="str">
        <f>'[3]M.C UNPIV'!D12</f>
        <v>Tawakkol Mustafa Enab</v>
      </c>
      <c r="D11" s="5" t="str">
        <f>'[3]M.C UNPIV'!E12</f>
        <v>D24_G01108</v>
      </c>
      <c r="E11" s="5" t="str">
        <f>'[3]M.C UNPIV'!F12</f>
        <v>شركة مسلم للتجارة</v>
      </c>
      <c r="F11" s="5" t="str">
        <f>'[3]M.C UNPIV'!G12</f>
        <v>W/s Consumer &amp; Industrial</v>
      </c>
      <c r="G11" s="6">
        <f>'[3]M.C UNPIV'!H12</f>
        <v>46183.522294756898</v>
      </c>
      <c r="H11" s="5" t="str">
        <f>'[3]M.C UNPIV'!I12</f>
        <v>D24_O_00126540</v>
      </c>
      <c r="I11" s="5">
        <f>'[3]M.C UNPIV'!J12</f>
        <v>1500000</v>
      </c>
      <c r="J11" s="7">
        <f>'[3]M.C UNPIV'!K12</f>
        <v>26550.57</v>
      </c>
      <c r="K11" s="5">
        <f>'[3]M.C UNPIV'!L12</f>
        <v>26550.57</v>
      </c>
      <c r="L11" s="5" t="str">
        <f>'[3]M.C UNPIV'!M12</f>
        <v>1 : 10 Days</v>
      </c>
      <c r="M11" s="6">
        <f>'[3]M.C UNPIV'!N12</f>
        <v>46194</v>
      </c>
      <c r="N11" s="5" t="str">
        <f>'[3]M.C UNPIV'!O12</f>
        <v>PASTA</v>
      </c>
      <c r="O11" s="5">
        <f>'[3]M.C UNPIV'!P12</f>
        <v>8</v>
      </c>
    </row>
    <row r="12" spans="1:33" x14ac:dyDescent="0.25">
      <c r="A12" s="4" t="str">
        <f>'[3]M.C UNPIV'!B13</f>
        <v>Delta A</v>
      </c>
      <c r="B12" s="5" t="str">
        <f>'[3]M.C UNPIV'!C13</f>
        <v>Dakahlia Aga – Al Yasmine</v>
      </c>
      <c r="C12" s="5" t="str">
        <f>'[3]M.C UNPIV'!D13</f>
        <v>Tawakkol Mustafa Enab</v>
      </c>
      <c r="D12" s="5" t="str">
        <f>'[3]M.C UNPIV'!E13</f>
        <v>D24_G01108</v>
      </c>
      <c r="E12" s="5" t="str">
        <f>'[3]M.C UNPIV'!F13</f>
        <v>شركة مسلم للتجارة</v>
      </c>
      <c r="F12" s="5" t="str">
        <f>'[3]M.C UNPIV'!G13</f>
        <v>W/s Consumer &amp; Industrial</v>
      </c>
      <c r="G12" s="6">
        <f>'[3]M.C UNPIV'!H13</f>
        <v>46189.497938738401</v>
      </c>
      <c r="H12" s="5" t="str">
        <f>'[3]M.C UNPIV'!I13</f>
        <v>D24_O_00126838</v>
      </c>
      <c r="I12" s="5">
        <f>'[3]M.C UNPIV'!J13</f>
        <v>1500000</v>
      </c>
      <c r="J12" s="7">
        <f>'[3]M.C UNPIV'!K13</f>
        <v>52832</v>
      </c>
      <c r="K12" s="5">
        <f>'[3]M.C UNPIV'!L13</f>
        <v>52832</v>
      </c>
      <c r="L12" s="5" t="str">
        <f>'[3]M.C UNPIV'!M13</f>
        <v>1 : 10 Days</v>
      </c>
      <c r="M12" s="6">
        <f>'[3]M.C UNPIV'!N13</f>
        <v>46200</v>
      </c>
      <c r="N12" s="5" t="str">
        <f>'[3]M.C UNPIV'!O13</f>
        <v>PASTA</v>
      </c>
      <c r="O12" s="5">
        <f>'[3]M.C UNPIV'!P13</f>
        <v>2</v>
      </c>
    </row>
    <row r="13" spans="1:33" x14ac:dyDescent="0.25">
      <c r="A13" s="4" t="str">
        <f>'[3]M.C UNPIV'!B14</f>
        <v>Delta A</v>
      </c>
      <c r="B13" s="5" t="str">
        <f>'[3]M.C UNPIV'!C14</f>
        <v>Dakahlia Aga – Al Yasmine</v>
      </c>
      <c r="C13" s="5" t="str">
        <f>'[3]M.C UNPIV'!D14</f>
        <v>Tawakkol Mustafa Enab</v>
      </c>
      <c r="D13" s="5" t="str">
        <f>'[3]M.C UNPIV'!E14</f>
        <v>D24_G01108</v>
      </c>
      <c r="E13" s="5" t="str">
        <f>'[3]M.C UNPIV'!F14</f>
        <v>شركة مسلم للتجارة</v>
      </c>
      <c r="F13" s="5" t="str">
        <f>'[3]M.C UNPIV'!G14</f>
        <v>W/s Consumer &amp; Industrial</v>
      </c>
      <c r="G13" s="6">
        <f>'[3]M.C UNPIV'!H14</f>
        <v>46190.514195219897</v>
      </c>
      <c r="H13" s="5" t="str">
        <f>'[3]M.C UNPIV'!I14</f>
        <v>D24_O_00126904</v>
      </c>
      <c r="I13" s="5">
        <f>'[3]M.C UNPIV'!J14</f>
        <v>1500000</v>
      </c>
      <c r="J13" s="7">
        <f>'[3]M.C UNPIV'!K14</f>
        <v>52832</v>
      </c>
      <c r="K13" s="5">
        <f>'[3]M.C UNPIV'!L14</f>
        <v>52832</v>
      </c>
      <c r="L13" s="5" t="str">
        <f>'[3]M.C UNPIV'!M14</f>
        <v>1 : 10 Days</v>
      </c>
      <c r="M13" s="6">
        <f>'[3]M.C UNPIV'!N14</f>
        <v>46201</v>
      </c>
      <c r="N13" s="5" t="str">
        <f>'[3]M.C UNPIV'!O14</f>
        <v>PASTA</v>
      </c>
      <c r="O13" s="5">
        <f>'[3]M.C UNPIV'!P14</f>
        <v>1</v>
      </c>
    </row>
    <row r="14" spans="1:33" x14ac:dyDescent="0.25">
      <c r="A14" s="4" t="str">
        <f>'[3]M.C UNPIV'!B15</f>
        <v>Delta A</v>
      </c>
      <c r="B14" s="5" t="str">
        <f>'[3]M.C UNPIV'!C15</f>
        <v>Dakahlia Aga – Al Yasmine</v>
      </c>
      <c r="C14" s="5" t="str">
        <f>'[3]M.C UNPIV'!D15</f>
        <v>Tawakkol Mustafa Enab</v>
      </c>
      <c r="D14" s="5" t="str">
        <f>'[3]M.C UNPIV'!E15</f>
        <v>D24_G01108</v>
      </c>
      <c r="E14" s="5" t="str">
        <f>'[3]M.C UNPIV'!F15</f>
        <v>شركة مسلم للتجارة</v>
      </c>
      <c r="F14" s="5" t="str">
        <f>'[3]M.C UNPIV'!G15</f>
        <v>W/s Consumer &amp; Industrial</v>
      </c>
      <c r="G14" s="6">
        <f>'[3]M.C UNPIV'!H15</f>
        <v>46191.577433912003</v>
      </c>
      <c r="H14" s="5" t="str">
        <f>'[3]M.C UNPIV'!I15</f>
        <v>D24_O_00126986</v>
      </c>
      <c r="I14" s="5">
        <f>'[3]M.C UNPIV'!J15</f>
        <v>1500000</v>
      </c>
      <c r="J14" s="7">
        <f>'[3]M.C UNPIV'!K15</f>
        <v>26550.58</v>
      </c>
      <c r="K14" s="5">
        <f>'[3]M.C UNPIV'!L15</f>
        <v>0</v>
      </c>
      <c r="L14" s="5" t="str">
        <f>'[3]M.C UNPIV'!M15</f>
        <v>Not Due</v>
      </c>
      <c r="M14" s="6">
        <f>'[3]M.C UNPIV'!N15</f>
        <v>46202</v>
      </c>
      <c r="N14" s="5" t="str">
        <f>'[3]M.C UNPIV'!O15</f>
        <v>PASTA</v>
      </c>
      <c r="O14" s="5">
        <f>'[3]M.C UNPIV'!P15</f>
        <v>0</v>
      </c>
    </row>
    <row r="15" spans="1:33" x14ac:dyDescent="0.25">
      <c r="A15" s="4" t="str">
        <f>'[3]M.C UNPIV'!B16</f>
        <v>Delta A</v>
      </c>
      <c r="B15" s="5" t="str">
        <f>'[3]M.C UNPIV'!C16</f>
        <v>Dakahlia Aga – Al Yasmine</v>
      </c>
      <c r="C15" s="5" t="str">
        <f>'[3]M.C UNPIV'!D16</f>
        <v>Tawakkol Mustafa Enab</v>
      </c>
      <c r="D15" s="5" t="str">
        <f>'[3]M.C UNPIV'!E16</f>
        <v>D24_G01108</v>
      </c>
      <c r="E15" s="5" t="str">
        <f>'[3]M.C UNPIV'!F16</f>
        <v>شركة مسلم للتجارة</v>
      </c>
      <c r="F15" s="5" t="str">
        <f>'[3]M.C UNPIV'!G16</f>
        <v>W/s Consumer &amp; Industrial</v>
      </c>
      <c r="G15" s="6">
        <f>'[3]M.C UNPIV'!H16</f>
        <v>46193.517413391201</v>
      </c>
      <c r="H15" s="5" t="str">
        <f>'[3]M.C UNPIV'!I16</f>
        <v>D24_O_00127040</v>
      </c>
      <c r="I15" s="5">
        <f>'[3]M.C UNPIV'!J16</f>
        <v>1500000</v>
      </c>
      <c r="J15" s="7">
        <f>'[3]M.C UNPIV'!K16</f>
        <v>52832</v>
      </c>
      <c r="K15" s="5">
        <f>'[3]M.C UNPIV'!L16</f>
        <v>0</v>
      </c>
      <c r="L15" s="5" t="str">
        <f>'[3]M.C UNPIV'!M16</f>
        <v>Not Due</v>
      </c>
      <c r="M15" s="6">
        <f>'[3]M.C UNPIV'!N16</f>
        <v>46204</v>
      </c>
      <c r="N15" s="5" t="str">
        <f>'[3]M.C UNPIV'!O16</f>
        <v>PASTA</v>
      </c>
      <c r="O15" s="5">
        <f>'[3]M.C UNPIV'!P16</f>
        <v>-2</v>
      </c>
    </row>
    <row r="16" spans="1:33" x14ac:dyDescent="0.25">
      <c r="A16" s="4" t="str">
        <f>'[3]M.C UNPIV'!B17</f>
        <v>Delta A</v>
      </c>
      <c r="B16" s="5" t="str">
        <f>'[3]M.C UNPIV'!C17</f>
        <v>Dakahlia Aga – Al Yasmine</v>
      </c>
      <c r="C16" s="5" t="str">
        <f>'[3]M.C UNPIV'!D17</f>
        <v>Tawakkol Mustafa Enab</v>
      </c>
      <c r="D16" s="5" t="str">
        <f>'[3]M.C UNPIV'!E17</f>
        <v>D24_G01108</v>
      </c>
      <c r="E16" s="5" t="str">
        <f>'[3]M.C UNPIV'!F17</f>
        <v>شركة مسلم للتجارة</v>
      </c>
      <c r="F16" s="5" t="str">
        <f>'[3]M.C UNPIV'!G17</f>
        <v>W/s Consumer &amp; Industrial</v>
      </c>
      <c r="G16" s="6">
        <f>'[3]M.C UNPIV'!H17</f>
        <v>46194.475553969904</v>
      </c>
      <c r="H16" s="5" t="str">
        <f>'[3]M.C UNPIV'!I17</f>
        <v>D24_O_00127115</v>
      </c>
      <c r="I16" s="5">
        <f>'[3]M.C UNPIV'!J17</f>
        <v>1500000</v>
      </c>
      <c r="J16" s="7">
        <f>'[3]M.C UNPIV'!K17</f>
        <v>52832</v>
      </c>
      <c r="K16" s="5">
        <f>'[3]M.C UNPIV'!L17</f>
        <v>0</v>
      </c>
      <c r="L16" s="5" t="str">
        <f>'[3]M.C UNPIV'!M17</f>
        <v>Not Due</v>
      </c>
      <c r="M16" s="6">
        <f>'[3]M.C UNPIV'!N17</f>
        <v>46205</v>
      </c>
      <c r="N16" s="5" t="str">
        <f>'[3]M.C UNPIV'!O17</f>
        <v>PASTA</v>
      </c>
      <c r="O16" s="5">
        <f>'[3]M.C UNPIV'!P17</f>
        <v>-3</v>
      </c>
    </row>
    <row r="17" spans="1:15" x14ac:dyDescent="0.25">
      <c r="A17" s="4" t="str">
        <f>'[3]M.C UNPIV'!B18</f>
        <v>Delta A</v>
      </c>
      <c r="B17" s="5" t="str">
        <f>'[3]M.C UNPIV'!C18</f>
        <v>Dakahlia Aga – Al Yasmine</v>
      </c>
      <c r="C17" s="5" t="str">
        <f>'[3]M.C UNPIV'!D18</f>
        <v>Tawakkol Mustafa Enab</v>
      </c>
      <c r="D17" s="5" t="str">
        <f>'[3]M.C UNPIV'!E18</f>
        <v>D24_G01108</v>
      </c>
      <c r="E17" s="5" t="str">
        <f>'[3]M.C UNPIV'!F18</f>
        <v>شركة مسلم للتجارة</v>
      </c>
      <c r="F17" s="5" t="str">
        <f>'[3]M.C UNPIV'!G18</f>
        <v>W/s Consumer &amp; Industrial</v>
      </c>
      <c r="G17" s="6">
        <f>'[3]M.C UNPIV'!H18</f>
        <v>46195.474172569498</v>
      </c>
      <c r="H17" s="5" t="str">
        <f>'[3]M.C UNPIV'!I18</f>
        <v>D24_O_00127202</v>
      </c>
      <c r="I17" s="5">
        <f>'[3]M.C UNPIV'!J18</f>
        <v>1500000</v>
      </c>
      <c r="J17" s="7">
        <f>'[3]M.C UNPIV'!K18</f>
        <v>92456</v>
      </c>
      <c r="K17" s="5">
        <f>'[3]M.C UNPIV'!L18</f>
        <v>0</v>
      </c>
      <c r="L17" s="5" t="str">
        <f>'[3]M.C UNPIV'!M18</f>
        <v>Not Due</v>
      </c>
      <c r="M17" s="6">
        <f>'[3]M.C UNPIV'!N18</f>
        <v>46206</v>
      </c>
      <c r="N17" s="5" t="str">
        <f>'[3]M.C UNPIV'!O18</f>
        <v>PASTA</v>
      </c>
      <c r="O17" s="5">
        <f>'[3]M.C UNPIV'!P18</f>
        <v>-4</v>
      </c>
    </row>
    <row r="18" spans="1:15" x14ac:dyDescent="0.25">
      <c r="A18" s="4" t="str">
        <f>'[3]M.C UNPIV'!B19</f>
        <v>Delta A</v>
      </c>
      <c r="B18" s="5" t="str">
        <f>'[3]M.C UNPIV'!C19</f>
        <v>Dakahlia Aga – Al Yasmine</v>
      </c>
      <c r="C18" s="5" t="str">
        <f>'[3]M.C UNPIV'!D19</f>
        <v>Tawakkol Mustafa Enab</v>
      </c>
      <c r="D18" s="5" t="str">
        <f>'[3]M.C UNPIV'!E19</f>
        <v>D24_G01108</v>
      </c>
      <c r="E18" s="5" t="str">
        <f>'[3]M.C UNPIV'!F19</f>
        <v>شركة مسلم للتجارة</v>
      </c>
      <c r="F18" s="5" t="str">
        <f>'[3]M.C UNPIV'!G19</f>
        <v>W/s Consumer &amp; Industrial</v>
      </c>
      <c r="G18" s="6">
        <f>'[3]M.C UNPIV'!H19</f>
        <v>46196.437388194499</v>
      </c>
      <c r="H18" s="5" t="str">
        <f>'[3]M.C UNPIV'!I19</f>
        <v>D24_O_00127284</v>
      </c>
      <c r="I18" s="5">
        <f>'[3]M.C UNPIV'!J19</f>
        <v>1500000</v>
      </c>
      <c r="J18" s="7">
        <f>'[3]M.C UNPIV'!K19</f>
        <v>92456</v>
      </c>
      <c r="K18" s="5">
        <f>'[3]M.C UNPIV'!L19</f>
        <v>0</v>
      </c>
      <c r="L18" s="5" t="str">
        <f>'[3]M.C UNPIV'!M19</f>
        <v>Not Due</v>
      </c>
      <c r="M18" s="6">
        <f>'[3]M.C UNPIV'!N19</f>
        <v>46207</v>
      </c>
      <c r="N18" s="5" t="str">
        <f>'[3]M.C UNPIV'!O19</f>
        <v>PASTA</v>
      </c>
      <c r="O18" s="5">
        <f>'[3]M.C UNPIV'!P19</f>
        <v>-5</v>
      </c>
    </row>
    <row r="19" spans="1:15" x14ac:dyDescent="0.25">
      <c r="A19" s="4" t="str">
        <f>'[3]M.C UNPIV'!B20</f>
        <v>Delta A</v>
      </c>
      <c r="B19" s="5" t="str">
        <f>'[3]M.C UNPIV'!C20</f>
        <v>Dakahlia Aga – Al Yasmine</v>
      </c>
      <c r="C19" s="5" t="str">
        <f>'[3]M.C UNPIV'!D20</f>
        <v>Tawakkol Mustafa Enab</v>
      </c>
      <c r="D19" s="5" t="str">
        <f>'[3]M.C UNPIV'!E20</f>
        <v>D24_G01108</v>
      </c>
      <c r="E19" s="5" t="str">
        <f>'[3]M.C UNPIV'!F20</f>
        <v>شركة مسلم للتجارة</v>
      </c>
      <c r="F19" s="5" t="str">
        <f>'[3]M.C UNPIV'!G20</f>
        <v>W/s Consumer &amp; Industrial</v>
      </c>
      <c r="G19" s="6">
        <f>'[3]M.C UNPIV'!H20</f>
        <v>46201.428869294003</v>
      </c>
      <c r="H19" s="5" t="str">
        <f>'[3]M.C UNPIV'!I20</f>
        <v>D24_O_00127584</v>
      </c>
      <c r="I19" s="5">
        <f>'[3]M.C UNPIV'!J20</f>
        <v>1500000</v>
      </c>
      <c r="J19" s="7">
        <f>'[3]M.C UNPIV'!K20</f>
        <v>79382.58</v>
      </c>
      <c r="K19" s="5">
        <f>'[3]M.C UNPIV'!L20</f>
        <v>0</v>
      </c>
      <c r="L19" s="5" t="str">
        <f>'[3]M.C UNPIV'!M20</f>
        <v>Not Due</v>
      </c>
      <c r="M19" s="6">
        <f>'[3]M.C UNPIV'!N20</f>
        <v>46212</v>
      </c>
      <c r="N19" s="5" t="str">
        <f>'[3]M.C UNPIV'!O20</f>
        <v>PASTA</v>
      </c>
      <c r="O19" s="5">
        <f>'[3]M.C UNPIV'!P20</f>
        <v>-10</v>
      </c>
    </row>
    <row r="20" spans="1:15" x14ac:dyDescent="0.25">
      <c r="A20" s="4" t="str">
        <f>'[3]M.C UNPIV'!B21</f>
        <v>Delta A</v>
      </c>
      <c r="B20" s="5" t="str">
        <f>'[3]M.C UNPIV'!C21</f>
        <v>Dakahlia Aga – Al Yasmine</v>
      </c>
      <c r="C20" s="5" t="str">
        <f>'[3]M.C UNPIV'!D21</f>
        <v>Tawakkol Mustafa Enab</v>
      </c>
      <c r="D20" s="5" t="str">
        <f>'[3]M.C UNPIV'!E21</f>
        <v>D24_G01116</v>
      </c>
      <c r="E20" s="5" t="str">
        <f>'[3]M.C UNPIV'!F21</f>
        <v>محمود ضيف الله</v>
      </c>
      <c r="F20" s="5" t="str">
        <f>'[3]M.C UNPIV'!G21</f>
        <v>W/s Consumer &amp; Industrial</v>
      </c>
      <c r="G20" s="6">
        <f>'[3]M.C UNPIV'!H21</f>
        <v>46183.4940158912</v>
      </c>
      <c r="H20" s="5" t="str">
        <f>'[3]M.C UNPIV'!I21</f>
        <v>D24_O_00126538</v>
      </c>
      <c r="I20" s="5">
        <f>'[3]M.C UNPIV'!J21</f>
        <v>200000</v>
      </c>
      <c r="J20" s="7">
        <f>'[3]M.C UNPIV'!K21</f>
        <v>98496</v>
      </c>
      <c r="K20" s="5">
        <f>'[3]M.C UNPIV'!L21</f>
        <v>98496</v>
      </c>
      <c r="L20" s="5" t="str">
        <f>'[3]M.C UNPIV'!M21</f>
        <v>1 : 10 Days</v>
      </c>
      <c r="M20" s="6">
        <f>'[3]M.C UNPIV'!N21</f>
        <v>46194</v>
      </c>
      <c r="N20" s="5" t="str">
        <f>'[3]M.C UNPIV'!O21</f>
        <v>PASTA</v>
      </c>
      <c r="O20" s="5">
        <f>'[3]M.C UNPIV'!P21</f>
        <v>8</v>
      </c>
    </row>
    <row r="21" spans="1:15" x14ac:dyDescent="0.25">
      <c r="A21" s="4" t="str">
        <f>'[3]M.C UNPIV'!B22</f>
        <v>Delta A</v>
      </c>
      <c r="B21" s="5" t="str">
        <f>'[3]M.C UNPIV'!C22</f>
        <v>Dakahlia Aga – Al Yasmine</v>
      </c>
      <c r="C21" s="5" t="str">
        <f>'[3]M.C UNPIV'!D22</f>
        <v>Tawakkol Mustafa Enab</v>
      </c>
      <c r="D21" s="5" t="str">
        <f>'[3]M.C UNPIV'!E22</f>
        <v>D24_G01633</v>
      </c>
      <c r="E21" s="5" t="str">
        <f>'[3]M.C UNPIV'!F22</f>
        <v xml:space="preserve">البنا </v>
      </c>
      <c r="F21" s="5" t="str">
        <f>'[3]M.C UNPIV'!G22</f>
        <v>W/s Consumer &amp; Industrial</v>
      </c>
      <c r="G21" s="6">
        <f>'[3]M.C UNPIV'!H22</f>
        <v>46194.424403854202</v>
      </c>
      <c r="H21" s="5" t="str">
        <f>'[3]M.C UNPIV'!I22</f>
        <v>D24_O_00127111</v>
      </c>
      <c r="I21" s="5">
        <f>'[3]M.C UNPIV'!J22</f>
        <v>200000</v>
      </c>
      <c r="J21" s="7">
        <f>'[3]M.C UNPIV'!K22</f>
        <v>67932</v>
      </c>
      <c r="K21" s="5">
        <f>'[3]M.C UNPIV'!L22</f>
        <v>0</v>
      </c>
      <c r="L21" s="5" t="str">
        <f>'[3]M.C UNPIV'!M22</f>
        <v>Not Due</v>
      </c>
      <c r="M21" s="6">
        <f>'[3]M.C UNPIV'!N22</f>
        <v>46205</v>
      </c>
      <c r="N21" s="5" t="str">
        <f>'[3]M.C UNPIV'!O22</f>
        <v>PASTA</v>
      </c>
      <c r="O21" s="5">
        <f>'[3]M.C UNPIV'!P22</f>
        <v>-3</v>
      </c>
    </row>
    <row r="22" spans="1:15" x14ac:dyDescent="0.25">
      <c r="A22" s="4" t="str">
        <f>'[3]M.C UNPIV'!B23</f>
        <v>Delta A</v>
      </c>
      <c r="B22" s="5" t="str">
        <f>'[3]M.C UNPIV'!C23</f>
        <v>Dakahlia Aga – Al Yasmine</v>
      </c>
      <c r="C22" s="5" t="str">
        <f>'[3]M.C UNPIV'!D23</f>
        <v>Tawakkol Mustafa Enab</v>
      </c>
      <c r="D22" s="5" t="str">
        <f>'[3]M.C UNPIV'!E23</f>
        <v>D24_G01633</v>
      </c>
      <c r="E22" s="5" t="str">
        <f>'[3]M.C UNPIV'!F23</f>
        <v xml:space="preserve">البنا </v>
      </c>
      <c r="F22" s="5" t="str">
        <f>'[3]M.C UNPIV'!G23</f>
        <v>W/s Consumer &amp; Industrial</v>
      </c>
      <c r="G22" s="6">
        <f>'[3]M.C UNPIV'!H23</f>
        <v>46197.463182951396</v>
      </c>
      <c r="H22" s="5" t="str">
        <f>'[3]M.C UNPIV'!I23</f>
        <v>D24_O_00127362</v>
      </c>
      <c r="I22" s="5">
        <f>'[3]M.C UNPIV'!J23</f>
        <v>200000</v>
      </c>
      <c r="J22" s="7">
        <f>'[3]M.C UNPIV'!K23</f>
        <v>24000</v>
      </c>
      <c r="K22" s="5">
        <f>'[3]M.C UNPIV'!L23</f>
        <v>0</v>
      </c>
      <c r="L22" s="5" t="str">
        <f>'[3]M.C UNPIV'!M23</f>
        <v>Not Due</v>
      </c>
      <c r="M22" s="6">
        <f>'[3]M.C UNPIV'!N23</f>
        <v>46208</v>
      </c>
      <c r="N22" s="5" t="str">
        <f>'[3]M.C UNPIV'!O23</f>
        <v>SFIE</v>
      </c>
      <c r="O22" s="5">
        <f>'[3]M.C UNPIV'!P23</f>
        <v>-6</v>
      </c>
    </row>
    <row r="23" spans="1:15" x14ac:dyDescent="0.25">
      <c r="A23" s="4" t="str">
        <f>'[3]M.C UNPIV'!B24</f>
        <v>Delta A</v>
      </c>
      <c r="B23" s="5" t="str">
        <f>'[3]M.C UNPIV'!C24</f>
        <v>Dakahlia Aga – Al Yasmine</v>
      </c>
      <c r="C23" s="5" t="str">
        <f>'[3]M.C UNPIV'!D24</f>
        <v>Tawakkol Mustafa Enab</v>
      </c>
      <c r="D23" s="5" t="str">
        <f>'[3]M.C UNPIV'!E24</f>
        <v>D24_G01655</v>
      </c>
      <c r="E23" s="5" t="str">
        <f>'[3]M.C UNPIV'!F24</f>
        <v xml:space="preserve">محمد عبد السميع </v>
      </c>
      <c r="F23" s="5" t="str">
        <f>'[3]M.C UNPIV'!G24</f>
        <v>W/s Consumer &amp; Industrial</v>
      </c>
      <c r="G23" s="6">
        <f>'[3]M.C UNPIV'!H24</f>
        <v>46196.432379548598</v>
      </c>
      <c r="H23" s="5" t="str">
        <f>'[3]M.C UNPIV'!I24</f>
        <v>D24_O_00127282</v>
      </c>
      <c r="I23" s="5">
        <f>'[3]M.C UNPIV'!J24</f>
        <v>300000</v>
      </c>
      <c r="J23" s="7">
        <f>'[3]M.C UNPIV'!K24</f>
        <v>132214.57999999999</v>
      </c>
      <c r="K23" s="5">
        <f>'[3]M.C UNPIV'!L24</f>
        <v>0</v>
      </c>
      <c r="L23" s="5" t="str">
        <f>'[3]M.C UNPIV'!M24</f>
        <v>Not Due</v>
      </c>
      <c r="M23" s="6">
        <f>'[3]M.C UNPIV'!N24</f>
        <v>46207</v>
      </c>
      <c r="N23" s="5" t="str">
        <f>'[3]M.C UNPIV'!O24</f>
        <v>PASTA</v>
      </c>
      <c r="O23" s="5">
        <f>'[3]M.C UNPIV'!P24</f>
        <v>-5</v>
      </c>
    </row>
    <row r="24" spans="1:15" x14ac:dyDescent="0.25">
      <c r="A24" s="4" t="str">
        <f>'[3]M.C UNPIV'!B25</f>
        <v>Delta A</v>
      </c>
      <c r="B24" s="5" t="str">
        <f>'[3]M.C UNPIV'!C25</f>
        <v>Dakahlia Aga – Al Yasmine</v>
      </c>
      <c r="C24" s="5" t="str">
        <f>'[3]M.C UNPIV'!D25</f>
        <v>Tawakkol Mustafa Enab</v>
      </c>
      <c r="D24" s="5" t="str">
        <f>'[3]M.C UNPIV'!E25</f>
        <v>D24_G01655</v>
      </c>
      <c r="E24" s="5" t="str">
        <f>'[3]M.C UNPIV'!F25</f>
        <v xml:space="preserve">محمد عبد السميع </v>
      </c>
      <c r="F24" s="5" t="str">
        <f>'[3]M.C UNPIV'!G25</f>
        <v>W/s Consumer &amp; Industrial</v>
      </c>
      <c r="G24" s="6">
        <f>'[3]M.C UNPIV'!H25</f>
        <v>46196.4364714931</v>
      </c>
      <c r="H24" s="5" t="str">
        <f>'[3]M.C UNPIV'!I25</f>
        <v>D24_O_00127283</v>
      </c>
      <c r="I24" s="5">
        <f>'[3]M.C UNPIV'!J25</f>
        <v>300000</v>
      </c>
      <c r="J24" s="7">
        <f>'[3]M.C UNPIV'!K25</f>
        <v>60000</v>
      </c>
      <c r="K24" s="5">
        <f>'[3]M.C UNPIV'!L25</f>
        <v>0</v>
      </c>
      <c r="L24" s="5" t="str">
        <f>'[3]M.C UNPIV'!M25</f>
        <v>Not Due</v>
      </c>
      <c r="M24" s="6">
        <f>'[3]M.C UNPIV'!N25</f>
        <v>46207</v>
      </c>
      <c r="N24" s="5" t="str">
        <f>'[3]M.C UNPIV'!O25</f>
        <v>SFIE</v>
      </c>
      <c r="O24" s="5">
        <f>'[3]M.C UNPIV'!P25</f>
        <v>-5</v>
      </c>
    </row>
    <row r="25" spans="1:15" x14ac:dyDescent="0.25">
      <c r="A25" s="4" t="str">
        <f>'[3]M.C UNPIV'!B26</f>
        <v>Delta A</v>
      </c>
      <c r="B25" s="5" t="str">
        <f>'[3]M.C UNPIV'!C26</f>
        <v>Dakahlia Aga – Al Yasmine</v>
      </c>
      <c r="C25" s="5" t="str">
        <f>'[3]M.C UNPIV'!D26</f>
        <v>Tawakkol Mustafa Enab</v>
      </c>
      <c r="D25" s="5" t="str">
        <f>'[3]M.C UNPIV'!E26</f>
        <v>D24_G01660</v>
      </c>
      <c r="E25" s="5" t="str">
        <f>'[3]M.C UNPIV'!F26</f>
        <v xml:space="preserve">محمد عيطة </v>
      </c>
      <c r="F25" s="5" t="str">
        <f>'[3]M.C UNPIV'!G26</f>
        <v>W/s Consumer &amp; Industrial</v>
      </c>
      <c r="G25" s="6">
        <f>'[3]M.C UNPIV'!H26</f>
        <v>46179.446192557902</v>
      </c>
      <c r="H25" s="5" t="str">
        <f>'[3]M.C UNPIV'!I26</f>
        <v>D24_O_00126205</v>
      </c>
      <c r="I25" s="5">
        <f>'[3]M.C UNPIV'!J26</f>
        <v>200000</v>
      </c>
      <c r="J25" s="7">
        <f>'[3]M.C UNPIV'!K26</f>
        <v>52832</v>
      </c>
      <c r="K25" s="5">
        <f>'[3]M.C UNPIV'!L26</f>
        <v>52832</v>
      </c>
      <c r="L25" s="5" t="str">
        <f>'[3]M.C UNPIV'!M26</f>
        <v>11 : 20 Days</v>
      </c>
      <c r="M25" s="6">
        <f>'[3]M.C UNPIV'!N26</f>
        <v>46190</v>
      </c>
      <c r="N25" s="5" t="str">
        <f>'[3]M.C UNPIV'!O26</f>
        <v>PASTA</v>
      </c>
      <c r="O25" s="5">
        <f>'[3]M.C UNPIV'!P26</f>
        <v>12</v>
      </c>
    </row>
    <row r="26" spans="1:15" x14ac:dyDescent="0.25">
      <c r="A26" s="4" t="str">
        <f>'[3]M.C UNPIV'!B27</f>
        <v>Delta A</v>
      </c>
      <c r="B26" s="5" t="str">
        <f>'[3]M.C UNPIV'!C27</f>
        <v>Dakahlia Aga – Al Yasmine</v>
      </c>
      <c r="C26" s="5" t="str">
        <f>'[3]M.C UNPIV'!D27</f>
        <v>Tawakkol Mustafa Enab</v>
      </c>
      <c r="D26" s="5" t="str">
        <f>'[3]M.C UNPIV'!E27</f>
        <v>D24_G01674</v>
      </c>
      <c r="E26" s="5" t="str">
        <f>'[3]M.C UNPIV'!F27</f>
        <v xml:space="preserve">ورثة محمد المرسى </v>
      </c>
      <c r="F26" s="5" t="str">
        <f>'[3]M.C UNPIV'!G27</f>
        <v>W/s Consumer &amp; Industrial</v>
      </c>
      <c r="G26" s="6">
        <f>'[3]M.C UNPIV'!H27</f>
        <v>46194.528437118097</v>
      </c>
      <c r="H26" s="5" t="str">
        <f>'[3]M.C UNPIV'!I27</f>
        <v>D24_O_00127121</v>
      </c>
      <c r="I26" s="5">
        <f>'[3]M.C UNPIV'!J27</f>
        <v>200000</v>
      </c>
      <c r="J26" s="7">
        <f>'[3]M.C UNPIV'!K27</f>
        <v>26550.57</v>
      </c>
      <c r="K26" s="5">
        <f>'[3]M.C UNPIV'!L27</f>
        <v>0</v>
      </c>
      <c r="L26" s="5" t="str">
        <f>'[3]M.C UNPIV'!M27</f>
        <v>Not Due</v>
      </c>
      <c r="M26" s="6">
        <f>'[3]M.C UNPIV'!N27</f>
        <v>46205</v>
      </c>
      <c r="N26" s="5" t="str">
        <f>'[3]M.C UNPIV'!O27</f>
        <v>PASTA</v>
      </c>
      <c r="O26" s="5">
        <f>'[3]M.C UNPIV'!P27</f>
        <v>-3</v>
      </c>
    </row>
    <row r="27" spans="1:15" x14ac:dyDescent="0.25">
      <c r="A27" s="4" t="str">
        <f>'[3]M.C UNPIV'!B28</f>
        <v>Delta A</v>
      </c>
      <c r="B27" s="5" t="str">
        <f>'[3]M.C UNPIV'!C28</f>
        <v>Dakahlia Aga – Al Yasmine</v>
      </c>
      <c r="C27" s="5" t="str">
        <f>'[3]M.C UNPIV'!D28</f>
        <v>مندوب جملة احتياطي عافية</v>
      </c>
      <c r="D27" s="5" t="str">
        <f>'[3]M.C UNPIV'!E28</f>
        <v>D24_R01092</v>
      </c>
      <c r="E27" s="5" t="str">
        <f>'[3]M.C UNPIV'!F28</f>
        <v>عبد القادر جودة</v>
      </c>
      <c r="F27" s="5" t="str">
        <f>'[3]M.C UNPIV'!G28</f>
        <v>W/s Consumer &amp; Industrial</v>
      </c>
      <c r="G27" s="6">
        <f>'[3]M.C UNPIV'!H28</f>
        <v>46180.434050463002</v>
      </c>
      <c r="H27" s="5" t="str">
        <f>'[3]M.C UNPIV'!I28</f>
        <v>D24_O_00126283</v>
      </c>
      <c r="I27" s="5">
        <f>'[3]M.C UNPIV'!J28</f>
        <v>300000</v>
      </c>
      <c r="J27" s="7">
        <f>'[3]M.C UNPIV'!K28</f>
        <v>169917.99</v>
      </c>
      <c r="K27" s="5">
        <f>'[3]M.C UNPIV'!L28</f>
        <v>169917.99</v>
      </c>
      <c r="L27" s="5" t="str">
        <f>'[3]M.C UNPIV'!M28</f>
        <v>11 : 20 Days</v>
      </c>
      <c r="M27" s="6">
        <f>'[3]M.C UNPIV'!N28</f>
        <v>46191</v>
      </c>
      <c r="N27" s="5" t="str">
        <f>'[3]M.C UNPIV'!O28</f>
        <v>AFIA</v>
      </c>
      <c r="O27" s="5">
        <f>'[3]M.C UNPIV'!P28</f>
        <v>11</v>
      </c>
    </row>
    <row r="28" spans="1:15" x14ac:dyDescent="0.25">
      <c r="A28" s="4" t="str">
        <f>'[3]M.C UNPIV'!B29</f>
        <v>Delta A</v>
      </c>
      <c r="B28" s="5" t="str">
        <f>'[3]M.C UNPIV'!C29</f>
        <v>Dakahlia Aga – Al Yasmine</v>
      </c>
      <c r="C28" s="5" t="str">
        <f>'[3]M.C UNPIV'!D29</f>
        <v>مندوب جملة احتياطي عافية</v>
      </c>
      <c r="D28" s="5" t="str">
        <f>'[3]M.C UNPIV'!E29</f>
        <v>D24_R01095</v>
      </c>
      <c r="E28" s="5" t="str">
        <f>'[3]M.C UNPIV'!F29</f>
        <v>سامى حلمى</v>
      </c>
      <c r="F28" s="5" t="str">
        <f>'[3]M.C UNPIV'!G29</f>
        <v>W/s Consumer &amp; Industrial</v>
      </c>
      <c r="G28" s="6">
        <f>'[3]M.C UNPIV'!H29</f>
        <v>46184.435458993103</v>
      </c>
      <c r="H28" s="5" t="str">
        <f>'[3]M.C UNPIV'!I29</f>
        <v>D24_O_00126599</v>
      </c>
      <c r="I28" s="5">
        <f>'[3]M.C UNPIV'!J29</f>
        <v>250000</v>
      </c>
      <c r="J28" s="7">
        <f>'[3]M.C UNPIV'!K29</f>
        <v>137006.82</v>
      </c>
      <c r="K28" s="5">
        <f>'[3]M.C UNPIV'!L29</f>
        <v>137006.82</v>
      </c>
      <c r="L28" s="5" t="str">
        <f>'[3]M.C UNPIV'!M29</f>
        <v>1 : 10 Days</v>
      </c>
      <c r="M28" s="6">
        <f>'[3]M.C UNPIV'!N29</f>
        <v>46195</v>
      </c>
      <c r="N28" s="5" t="str">
        <f>'[3]M.C UNPIV'!O29</f>
        <v>AFIA</v>
      </c>
      <c r="O28" s="5">
        <f>'[3]M.C UNPIV'!P29</f>
        <v>7</v>
      </c>
    </row>
    <row r="29" spans="1:15" x14ac:dyDescent="0.25">
      <c r="A29" s="4" t="str">
        <f>'[3]M.C UNPIV'!B30</f>
        <v>Delta A</v>
      </c>
      <c r="B29" s="5" t="str">
        <f>'[3]M.C UNPIV'!C30</f>
        <v>Dakahlia Aga – Al Yasmine</v>
      </c>
      <c r="C29" s="5" t="str">
        <f>'[3]M.C UNPIV'!D30</f>
        <v>مندوب جملة احتياطي عافية</v>
      </c>
      <c r="D29" s="5" t="str">
        <f>'[3]M.C UNPIV'!E30</f>
        <v>D24_R01106</v>
      </c>
      <c r="E29" s="5" t="str">
        <f>'[3]M.C UNPIV'!F30</f>
        <v>أحمد عبد السميع</v>
      </c>
      <c r="F29" s="5" t="str">
        <f>'[3]M.C UNPIV'!G30</f>
        <v>W/s Consumer &amp; Industrial</v>
      </c>
      <c r="G29" s="6">
        <f>'[3]M.C UNPIV'!H30</f>
        <v>46180.531061886599</v>
      </c>
      <c r="H29" s="5" t="str">
        <f>'[3]M.C UNPIV'!I30</f>
        <v>D24_O_00126286</v>
      </c>
      <c r="I29" s="5">
        <f>'[3]M.C UNPIV'!J30</f>
        <v>500000</v>
      </c>
      <c r="J29" s="7">
        <f>'[3]M.C UNPIV'!K30</f>
        <v>159048.14000000001</v>
      </c>
      <c r="K29" s="5">
        <f>'[3]M.C UNPIV'!L30</f>
        <v>159048.14000000001</v>
      </c>
      <c r="L29" s="5" t="str">
        <f>'[3]M.C UNPIV'!M30</f>
        <v>11 : 20 Days</v>
      </c>
      <c r="M29" s="6">
        <f>'[3]M.C UNPIV'!N30</f>
        <v>46191</v>
      </c>
      <c r="N29" s="5" t="str">
        <f>'[3]M.C UNPIV'!O30</f>
        <v>AFIA</v>
      </c>
      <c r="O29" s="5">
        <f>'[3]M.C UNPIV'!P30</f>
        <v>11</v>
      </c>
    </row>
    <row r="30" spans="1:15" x14ac:dyDescent="0.25">
      <c r="A30" s="4" t="str">
        <f>'[3]M.C UNPIV'!B31</f>
        <v>Delta A</v>
      </c>
      <c r="B30" s="5" t="str">
        <f>'[3]M.C UNPIV'!C31</f>
        <v>Dakahlia Aga – Al Yasmine</v>
      </c>
      <c r="C30" s="5" t="str">
        <f>'[3]M.C UNPIV'!D31</f>
        <v>مندوب جملة احتياطي عافية</v>
      </c>
      <c r="D30" s="5" t="str">
        <f>'[3]M.C UNPIV'!E31</f>
        <v>D24_R01107</v>
      </c>
      <c r="E30" s="5" t="str">
        <f>'[3]M.C UNPIV'!F31</f>
        <v>المتحدة للتجارة والتوكيلات</v>
      </c>
      <c r="F30" s="5" t="str">
        <f>'[3]M.C UNPIV'!G31</f>
        <v>W/s Consumer &amp; Industrial</v>
      </c>
      <c r="G30" s="6">
        <f>'[3]M.C UNPIV'!H31</f>
        <v>46160.711743020802</v>
      </c>
      <c r="H30" s="5" t="str">
        <f>'[3]M.C UNPIV'!I31</f>
        <v>D24_O_00125287</v>
      </c>
      <c r="I30" s="5">
        <f>'[3]M.C UNPIV'!J31</f>
        <v>5000000</v>
      </c>
      <c r="J30" s="7">
        <f>'[3]M.C UNPIV'!K31</f>
        <v>2172584</v>
      </c>
      <c r="K30" s="5">
        <f>'[3]M.C UNPIV'!L31</f>
        <v>2172584</v>
      </c>
      <c r="L30" s="5" t="str">
        <f>'[3]M.C UNPIV'!M31</f>
        <v>31 : 60 Days</v>
      </c>
      <c r="M30" s="6">
        <f>'[3]M.C UNPIV'!N31</f>
        <v>46171</v>
      </c>
      <c r="N30" s="5" t="str">
        <f>'[3]M.C UNPIV'!O31</f>
        <v>AFIA</v>
      </c>
      <c r="O30" s="5">
        <f>'[3]M.C UNPIV'!P31</f>
        <v>31</v>
      </c>
    </row>
    <row r="31" spans="1:15" x14ac:dyDescent="0.25">
      <c r="A31" s="4" t="str">
        <f>'[3]M.C UNPIV'!B32</f>
        <v>Delta A</v>
      </c>
      <c r="B31" s="5" t="str">
        <f>'[3]M.C UNPIV'!C32</f>
        <v>Dakahlia Aga – Al Yasmine</v>
      </c>
      <c r="C31" s="5" t="str">
        <f>'[3]M.C UNPIV'!D32</f>
        <v>مندوب جملة احتياطي عافية</v>
      </c>
      <c r="D31" s="5" t="str">
        <f>'[3]M.C UNPIV'!E32</f>
        <v>D24_R01107</v>
      </c>
      <c r="E31" s="5" t="str">
        <f>'[3]M.C UNPIV'!F32</f>
        <v>المتحدة للتجارة والتوكيلات</v>
      </c>
      <c r="F31" s="5" t="str">
        <f>'[3]M.C UNPIV'!G32</f>
        <v>W/s Consumer &amp; Industrial</v>
      </c>
      <c r="G31" s="6">
        <f>'[3]M.C UNPIV'!H32</f>
        <v>46163.570505752301</v>
      </c>
      <c r="H31" s="5" t="str">
        <f>'[3]M.C UNPIV'!I32</f>
        <v>D24_O_00125473</v>
      </c>
      <c r="I31" s="5">
        <f>'[3]M.C UNPIV'!J32</f>
        <v>5000000</v>
      </c>
      <c r="J31" s="7">
        <f>'[3]M.C UNPIV'!K32</f>
        <v>824000</v>
      </c>
      <c r="K31" s="5">
        <f>'[3]M.C UNPIV'!L32</f>
        <v>824000</v>
      </c>
      <c r="L31" s="5" t="str">
        <f>'[3]M.C UNPIV'!M32</f>
        <v>21 : 30 Days</v>
      </c>
      <c r="M31" s="6">
        <f>'[3]M.C UNPIV'!N32</f>
        <v>46174</v>
      </c>
      <c r="N31" s="5" t="str">
        <f>'[3]M.C UNPIV'!O32</f>
        <v>AFIA</v>
      </c>
      <c r="O31" s="5">
        <f>'[3]M.C UNPIV'!P32</f>
        <v>28</v>
      </c>
    </row>
    <row r="32" spans="1:15" x14ac:dyDescent="0.25">
      <c r="A32" s="4" t="str">
        <f>'[3]M.C UNPIV'!B33</f>
        <v>Delta A</v>
      </c>
      <c r="B32" s="5" t="str">
        <f>'[3]M.C UNPIV'!C33</f>
        <v>Dakahlia Aga – Al Yasmine</v>
      </c>
      <c r="C32" s="5" t="str">
        <f>'[3]M.C UNPIV'!D33</f>
        <v>مندوب جملة احتياطي عافية</v>
      </c>
      <c r="D32" s="5" t="str">
        <f>'[3]M.C UNPIV'!E33</f>
        <v>D24_R01107</v>
      </c>
      <c r="E32" s="5" t="str">
        <f>'[3]M.C UNPIV'!F33</f>
        <v>المتحدة للتجارة والتوكيلات</v>
      </c>
      <c r="F32" s="5" t="str">
        <f>'[3]M.C UNPIV'!G33</f>
        <v>W/s Consumer &amp; Industrial</v>
      </c>
      <c r="G32" s="6">
        <f>'[3]M.C UNPIV'!H33</f>
        <v>46177.549567326401</v>
      </c>
      <c r="H32" s="5" t="str">
        <f>'[3]M.C UNPIV'!I33</f>
        <v>D24_O_00126096</v>
      </c>
      <c r="I32" s="5">
        <f>'[3]M.C UNPIV'!J33</f>
        <v>5000000</v>
      </c>
      <c r="J32" s="7">
        <f>'[3]M.C UNPIV'!K33</f>
        <v>1065600</v>
      </c>
      <c r="K32" s="5">
        <f>'[3]M.C UNPIV'!L33</f>
        <v>1065600</v>
      </c>
      <c r="L32" s="5" t="str">
        <f>'[3]M.C UNPIV'!M33</f>
        <v>11 : 20 Days</v>
      </c>
      <c r="M32" s="6">
        <f>'[3]M.C UNPIV'!N33</f>
        <v>46188</v>
      </c>
      <c r="N32" s="5" t="str">
        <f>'[3]M.C UNPIV'!O33</f>
        <v>AFIA</v>
      </c>
      <c r="O32" s="5">
        <f>'[3]M.C UNPIV'!P33</f>
        <v>14</v>
      </c>
    </row>
    <row r="33" spans="1:15" x14ac:dyDescent="0.25">
      <c r="A33" s="4" t="str">
        <f>'[3]M.C UNPIV'!B34</f>
        <v>Delta A</v>
      </c>
      <c r="B33" s="5" t="str">
        <f>'[3]M.C UNPIV'!C34</f>
        <v>Dakahlia Aga – Al Yasmine</v>
      </c>
      <c r="C33" s="5" t="str">
        <f>'[3]M.C UNPIV'!D34</f>
        <v>مندوب جملة احتياطي عافية</v>
      </c>
      <c r="D33" s="5" t="str">
        <f>'[3]M.C UNPIV'!E34</f>
        <v>D24_R01107</v>
      </c>
      <c r="E33" s="5" t="str">
        <f>'[3]M.C UNPIV'!F34</f>
        <v>المتحدة للتجارة والتوكيلات</v>
      </c>
      <c r="F33" s="5" t="str">
        <f>'[3]M.C UNPIV'!G34</f>
        <v>W/s Consumer &amp; Industrial</v>
      </c>
      <c r="G33" s="6">
        <f>'[3]M.C UNPIV'!H34</f>
        <v>46187.523970219903</v>
      </c>
      <c r="H33" s="5" t="str">
        <f>'[3]M.C UNPIV'!I34</f>
        <v>D24_O_00126695</v>
      </c>
      <c r="I33" s="5">
        <f>'[3]M.C UNPIV'!J34</f>
        <v>5000000</v>
      </c>
      <c r="J33" s="7">
        <f>'[3]M.C UNPIV'!K34</f>
        <v>828800</v>
      </c>
      <c r="K33" s="5">
        <f>'[3]M.C UNPIV'!L34</f>
        <v>828800</v>
      </c>
      <c r="L33" s="5" t="str">
        <f>'[3]M.C UNPIV'!M34</f>
        <v>1 : 10 Days</v>
      </c>
      <c r="M33" s="6">
        <f>'[3]M.C UNPIV'!N34</f>
        <v>46198</v>
      </c>
      <c r="N33" s="5" t="str">
        <f>'[3]M.C UNPIV'!O34</f>
        <v>AFIA</v>
      </c>
      <c r="O33" s="5">
        <f>'[3]M.C UNPIV'!P34</f>
        <v>4</v>
      </c>
    </row>
    <row r="34" spans="1:15" x14ac:dyDescent="0.25">
      <c r="A34" s="4" t="str">
        <f>'[3]M.C UNPIV'!B35</f>
        <v>Delta A</v>
      </c>
      <c r="B34" s="5" t="str">
        <f>'[3]M.C UNPIV'!C35</f>
        <v>Dakahlia Aga – Al Yasmine</v>
      </c>
      <c r="C34" s="5" t="str">
        <f>'[3]M.C UNPIV'!D35</f>
        <v>مندوب جملة احتياطي عافية</v>
      </c>
      <c r="D34" s="5" t="str">
        <f>'[3]M.C UNPIV'!E35</f>
        <v>D24_R01633</v>
      </c>
      <c r="E34" s="5" t="str">
        <f>'[3]M.C UNPIV'!F35</f>
        <v xml:space="preserve">البنا </v>
      </c>
      <c r="F34" s="5" t="str">
        <f>'[3]M.C UNPIV'!G35</f>
        <v>W/s Consumer &amp; Industrial</v>
      </c>
      <c r="G34" s="6">
        <f>'[3]M.C UNPIV'!H35</f>
        <v>46181.582124965302</v>
      </c>
      <c r="H34" s="5" t="str">
        <f>'[3]M.C UNPIV'!I35</f>
        <v>D24_O_00126383</v>
      </c>
      <c r="I34" s="5">
        <f>'[3]M.C UNPIV'!J35</f>
        <v>250000</v>
      </c>
      <c r="J34" s="7">
        <f>'[3]M.C UNPIV'!K35</f>
        <v>149999.45000000001</v>
      </c>
      <c r="K34" s="5">
        <f>'[3]M.C UNPIV'!L35</f>
        <v>149999.45000000001</v>
      </c>
      <c r="L34" s="5" t="str">
        <f>'[3]M.C UNPIV'!M35</f>
        <v>1 : 10 Days</v>
      </c>
      <c r="M34" s="6">
        <f>'[3]M.C UNPIV'!N35</f>
        <v>46192</v>
      </c>
      <c r="N34" s="5" t="str">
        <f>'[3]M.C UNPIV'!O35</f>
        <v>AFIA</v>
      </c>
      <c r="O34" s="5">
        <f>'[3]M.C UNPIV'!P35</f>
        <v>10</v>
      </c>
    </row>
    <row r="35" spans="1:15" x14ac:dyDescent="0.25">
      <c r="A35" s="4" t="str">
        <f>'[3]M.C UNPIV'!B36</f>
        <v>Delta A</v>
      </c>
      <c r="B35" s="5" t="str">
        <f>'[3]M.C UNPIV'!C36</f>
        <v>Dakahlia Aga – Al Yasmine</v>
      </c>
      <c r="C35" s="5" t="str">
        <f>'[3]M.C UNPIV'!D36</f>
        <v>مندوب جملة احتياطي عافية</v>
      </c>
      <c r="D35" s="5" t="str">
        <f>'[3]M.C UNPIV'!E36</f>
        <v>D24_R01633</v>
      </c>
      <c r="E35" s="5" t="str">
        <f>'[3]M.C UNPIV'!F36</f>
        <v xml:space="preserve">البنا </v>
      </c>
      <c r="F35" s="5" t="str">
        <f>'[3]M.C UNPIV'!G36</f>
        <v>W/s Consumer &amp; Industrial</v>
      </c>
      <c r="G35" s="6">
        <f>'[3]M.C UNPIV'!H36</f>
        <v>46197.477991817097</v>
      </c>
      <c r="H35" s="5" t="str">
        <f>'[3]M.C UNPIV'!I36</f>
        <v>D24_O_00127365</v>
      </c>
      <c r="I35" s="5">
        <f>'[3]M.C UNPIV'!J36</f>
        <v>250000</v>
      </c>
      <c r="J35" s="7">
        <f>'[3]M.C UNPIV'!K36</f>
        <v>90657.35</v>
      </c>
      <c r="K35" s="5">
        <f>'[3]M.C UNPIV'!L36</f>
        <v>0</v>
      </c>
      <c r="L35" s="5" t="str">
        <f>'[3]M.C UNPIV'!M36</f>
        <v>Not Due</v>
      </c>
      <c r="M35" s="6">
        <f>'[3]M.C UNPIV'!N36</f>
        <v>46208</v>
      </c>
      <c r="N35" s="5" t="str">
        <f>'[3]M.C UNPIV'!O36</f>
        <v>AFIA</v>
      </c>
      <c r="O35" s="5">
        <f>'[3]M.C UNPIV'!P36</f>
        <v>-6</v>
      </c>
    </row>
    <row r="36" spans="1:15" x14ac:dyDescent="0.25">
      <c r="A36" s="4" t="str">
        <f>'[3]M.C UNPIV'!B37</f>
        <v>Delta A</v>
      </c>
      <c r="B36" s="5" t="str">
        <f>'[3]M.C UNPIV'!C37</f>
        <v>Dakahlia Aga – Al Yasmine</v>
      </c>
      <c r="C36" s="5" t="str">
        <f>'[3]M.C UNPIV'!D37</f>
        <v>مندوب جملة احتياطي عافية</v>
      </c>
      <c r="D36" s="5" t="str">
        <f>'[3]M.C UNPIV'!E37</f>
        <v>D24_R01655</v>
      </c>
      <c r="E36" s="5" t="str">
        <f>'[3]M.C UNPIV'!F37</f>
        <v xml:space="preserve">محمد عبد السميع </v>
      </c>
      <c r="F36" s="5" t="str">
        <f>'[3]M.C UNPIV'!G37</f>
        <v>W/s Consumer &amp; Industrial</v>
      </c>
      <c r="G36" s="6">
        <f>'[3]M.C UNPIV'!H37</f>
        <v>46190.514693715297</v>
      </c>
      <c r="H36" s="5" t="str">
        <f>'[3]M.C UNPIV'!I37</f>
        <v>D24_O_00126903</v>
      </c>
      <c r="I36" s="5">
        <f>'[3]M.C UNPIV'!J37</f>
        <v>500000</v>
      </c>
      <c r="J36" s="7">
        <f>'[3]M.C UNPIV'!K37</f>
        <v>248014.28</v>
      </c>
      <c r="K36" s="5">
        <f>'[3]M.C UNPIV'!L37</f>
        <v>248014.28</v>
      </c>
      <c r="L36" s="5" t="str">
        <f>'[3]M.C UNPIV'!M37</f>
        <v>1 : 10 Days</v>
      </c>
      <c r="M36" s="6">
        <f>'[3]M.C UNPIV'!N37</f>
        <v>46201</v>
      </c>
      <c r="N36" s="5" t="str">
        <f>'[3]M.C UNPIV'!O37</f>
        <v>AFIA</v>
      </c>
      <c r="O36" s="5">
        <f>'[3]M.C UNPIV'!P37</f>
        <v>1</v>
      </c>
    </row>
    <row r="37" spans="1:15" x14ac:dyDescent="0.25">
      <c r="A37" s="4" t="str">
        <f>'[3]M.C UNPIV'!B38</f>
        <v>Delta A</v>
      </c>
      <c r="B37" s="5" t="str">
        <f>'[3]M.C UNPIV'!C38</f>
        <v>Dakahlia Aga – Al Yasmine</v>
      </c>
      <c r="C37" s="5" t="str">
        <f>'[3]M.C UNPIV'!D38</f>
        <v>مندوب جملة احتياطي عافية</v>
      </c>
      <c r="D37" s="5" t="str">
        <f>'[3]M.C UNPIV'!E38</f>
        <v>D24_R01655</v>
      </c>
      <c r="E37" s="5" t="str">
        <f>'[3]M.C UNPIV'!F38</f>
        <v xml:space="preserve">محمد عبد السميع </v>
      </c>
      <c r="F37" s="5" t="str">
        <f>'[3]M.C UNPIV'!G38</f>
        <v>W/s Consumer &amp; Industrial</v>
      </c>
      <c r="G37" s="6">
        <f>'[3]M.C UNPIV'!H38</f>
        <v>46201.588458368104</v>
      </c>
      <c r="H37" s="5" t="str">
        <f>'[3]M.C UNPIV'!I38</f>
        <v>D24_O_00127610</v>
      </c>
      <c r="I37" s="5">
        <f>'[3]M.C UNPIV'!J38</f>
        <v>500000</v>
      </c>
      <c r="J37" s="7">
        <f>'[3]M.C UNPIV'!K38</f>
        <v>250926.98</v>
      </c>
      <c r="K37" s="5">
        <f>'[3]M.C UNPIV'!L38</f>
        <v>0</v>
      </c>
      <c r="L37" s="5" t="str">
        <f>'[3]M.C UNPIV'!M38</f>
        <v>Not Due</v>
      </c>
      <c r="M37" s="6">
        <f>'[3]M.C UNPIV'!N38</f>
        <v>46212</v>
      </c>
      <c r="N37" s="5" t="str">
        <f>'[3]M.C UNPIV'!O38</f>
        <v>AFIA</v>
      </c>
      <c r="O37" s="5">
        <f>'[3]M.C UNPIV'!P38</f>
        <v>-10</v>
      </c>
    </row>
    <row r="38" spans="1:15" x14ac:dyDescent="0.25">
      <c r="A38" s="4" t="str">
        <f>'[3]M.C UNPIV'!B39</f>
        <v>Delta A</v>
      </c>
      <c r="B38" s="5" t="str">
        <f>'[3]M.C UNPIV'!C39</f>
        <v>Dakahlia Aga – Al Yasmine</v>
      </c>
      <c r="C38" s="5" t="str">
        <f>'[3]M.C UNPIV'!D39</f>
        <v>مندوب جملة احتياطي عافية</v>
      </c>
      <c r="D38" s="5" t="str">
        <f>'[3]M.C UNPIV'!E39</f>
        <v>D24_R01660</v>
      </c>
      <c r="E38" s="5" t="str">
        <f>'[3]M.C UNPIV'!F39</f>
        <v xml:space="preserve">محمد عيطة </v>
      </c>
      <c r="F38" s="5" t="str">
        <f>'[3]M.C UNPIV'!G39</f>
        <v>W/s Consumer &amp; Industrial</v>
      </c>
      <c r="G38" s="6">
        <f>'[3]M.C UNPIV'!H39</f>
        <v>46179.447442511599</v>
      </c>
      <c r="H38" s="5" t="str">
        <f>'[3]M.C UNPIV'!I39</f>
        <v>D24_O_00126204</v>
      </c>
      <c r="I38" s="5">
        <f>'[3]M.C UNPIV'!J39</f>
        <v>250000</v>
      </c>
      <c r="J38" s="7">
        <f>'[3]M.C UNPIV'!K39</f>
        <v>64972.97</v>
      </c>
      <c r="K38" s="5">
        <f>'[3]M.C UNPIV'!L39</f>
        <v>64972.97</v>
      </c>
      <c r="L38" s="5" t="str">
        <f>'[3]M.C UNPIV'!M39</f>
        <v>11 : 20 Days</v>
      </c>
      <c r="M38" s="6">
        <f>'[3]M.C UNPIV'!N39</f>
        <v>46190</v>
      </c>
      <c r="N38" s="5" t="str">
        <f>'[3]M.C UNPIV'!O39</f>
        <v>AFIA</v>
      </c>
      <c r="O38" s="5">
        <f>'[3]M.C UNPIV'!P39</f>
        <v>12</v>
      </c>
    </row>
    <row r="39" spans="1:15" x14ac:dyDescent="0.25">
      <c r="A39" s="4" t="str">
        <f>'[3]M.C UNPIV'!B40</f>
        <v>Delta A</v>
      </c>
      <c r="B39" s="5" t="str">
        <f>'[3]M.C UNPIV'!C40</f>
        <v>Dakahlia Aga – Al Yasmine</v>
      </c>
      <c r="C39" s="5" t="str">
        <f>'[3]M.C UNPIV'!D40</f>
        <v>مندوب جملة احتياطي عافية</v>
      </c>
      <c r="D39" s="5" t="str">
        <f>'[3]M.C UNPIV'!E40</f>
        <v>D24_R01663</v>
      </c>
      <c r="E39" s="5" t="str">
        <f>'[3]M.C UNPIV'!F40</f>
        <v>الشركة المصرية للتجارة</v>
      </c>
      <c r="F39" s="5" t="str">
        <f>'[3]M.C UNPIV'!G40</f>
        <v>W/s Consumer &amp; Industrial</v>
      </c>
      <c r="G39" s="6">
        <f>'[3]M.C UNPIV'!H40</f>
        <v>46200.630117280103</v>
      </c>
      <c r="H39" s="5" t="str">
        <f>'[3]M.C UNPIV'!I40</f>
        <v>D24_O_00127548</v>
      </c>
      <c r="I39" s="5">
        <f>'[3]M.C UNPIV'!J40</f>
        <v>250000</v>
      </c>
      <c r="J39" s="7">
        <f>'[3]M.C UNPIV'!K40</f>
        <v>54281.52</v>
      </c>
      <c r="K39" s="5">
        <f>'[3]M.C UNPIV'!L40</f>
        <v>0</v>
      </c>
      <c r="L39" s="5" t="str">
        <f>'[3]M.C UNPIV'!M40</f>
        <v>Not Due</v>
      </c>
      <c r="M39" s="6">
        <f>'[3]M.C UNPIV'!N40</f>
        <v>46211</v>
      </c>
      <c r="N39" s="5" t="str">
        <f>'[3]M.C UNPIV'!O40</f>
        <v>AFIA</v>
      </c>
      <c r="O39" s="5">
        <f>'[3]M.C UNPIV'!P40</f>
        <v>-9</v>
      </c>
    </row>
    <row r="40" spans="1:15" x14ac:dyDescent="0.25">
      <c r="A40" s="4" t="str">
        <f>'[3]M.C UNPIV'!B41</f>
        <v>Delta A</v>
      </c>
      <c r="B40" s="5" t="str">
        <f>'[3]M.C UNPIV'!C41</f>
        <v>Dakahlia Aga – Al Yasmine</v>
      </c>
      <c r="C40" s="5" t="str">
        <f>'[3]M.C UNPIV'!D41</f>
        <v>مندوب جملة احتياطي عافية</v>
      </c>
      <c r="D40" s="5" t="str">
        <f>'[3]M.C UNPIV'!E41</f>
        <v>D24_R01668</v>
      </c>
      <c r="E40" s="5" t="str">
        <f>'[3]M.C UNPIV'!F41</f>
        <v xml:space="preserve">أحمد صلاح مسلم </v>
      </c>
      <c r="F40" s="5" t="str">
        <f>'[3]M.C UNPIV'!G41</f>
        <v>W/s Consumer &amp; Industrial</v>
      </c>
      <c r="G40" s="6">
        <f>'[3]M.C UNPIV'!H41</f>
        <v>46177.722797766197</v>
      </c>
      <c r="H40" s="5" t="str">
        <f>'[3]M.C UNPIV'!I41</f>
        <v>D24_O_00126197</v>
      </c>
      <c r="I40" s="5">
        <f>'[3]M.C UNPIV'!J41</f>
        <v>200000</v>
      </c>
      <c r="J40" s="7">
        <f>'[3]M.C UNPIV'!K41</f>
        <v>30275.56</v>
      </c>
      <c r="K40" s="5">
        <f>'[3]M.C UNPIV'!L41</f>
        <v>30275.56</v>
      </c>
      <c r="L40" s="5" t="str">
        <f>'[3]M.C UNPIV'!M41</f>
        <v>11 : 20 Days</v>
      </c>
      <c r="M40" s="6">
        <f>'[3]M.C UNPIV'!N41</f>
        <v>46188</v>
      </c>
      <c r="N40" s="5" t="str">
        <f>'[3]M.C UNPIV'!O41</f>
        <v>AFIA</v>
      </c>
      <c r="O40" s="5">
        <f>'[3]M.C UNPIV'!P41</f>
        <v>14</v>
      </c>
    </row>
    <row r="41" spans="1:15" x14ac:dyDescent="0.25">
      <c r="A41" s="4" t="str">
        <f>'[3]M.C UNPIV'!B42</f>
        <v>Delta A</v>
      </c>
      <c r="B41" s="5" t="str">
        <f>'[3]M.C UNPIV'!C42</f>
        <v>Dakahlia Aga – Al Yasmine</v>
      </c>
      <c r="C41" s="5" t="str">
        <f>'[3]M.C UNPIV'!D42</f>
        <v>مندوب جملة احتياطي عافية</v>
      </c>
      <c r="D41" s="5" t="str">
        <f>'[3]M.C UNPIV'!E42</f>
        <v>D24_R01668</v>
      </c>
      <c r="E41" s="5" t="str">
        <f>'[3]M.C UNPIV'!F42</f>
        <v xml:space="preserve">أحمد صلاح مسلم </v>
      </c>
      <c r="F41" s="5" t="str">
        <f>'[3]M.C UNPIV'!G42</f>
        <v>W/s Consumer &amp; Industrial</v>
      </c>
      <c r="G41" s="6">
        <f>'[3]M.C UNPIV'!H42</f>
        <v>46191.5113712616</v>
      </c>
      <c r="H41" s="5" t="str">
        <f>'[3]M.C UNPIV'!I42</f>
        <v>D24_O_00126982</v>
      </c>
      <c r="I41" s="5">
        <f>'[3]M.C UNPIV'!J42</f>
        <v>200000</v>
      </c>
      <c r="J41" s="7">
        <f>'[3]M.C UNPIV'!K42</f>
        <v>122435.49</v>
      </c>
      <c r="K41" s="5">
        <f>'[3]M.C UNPIV'!L42</f>
        <v>0</v>
      </c>
      <c r="L41" s="5" t="str">
        <f>'[3]M.C UNPIV'!M42</f>
        <v>Not Due</v>
      </c>
      <c r="M41" s="6">
        <f>'[3]M.C UNPIV'!N42</f>
        <v>46202</v>
      </c>
      <c r="N41" s="5" t="str">
        <f>'[3]M.C UNPIV'!O42</f>
        <v>AFIA</v>
      </c>
      <c r="O41" s="5">
        <f>'[3]M.C UNPIV'!P42</f>
        <v>0</v>
      </c>
    </row>
    <row r="42" spans="1:15" x14ac:dyDescent="0.25">
      <c r="A42" s="4" t="str">
        <f>'[3]M.C UNPIV'!B43</f>
        <v>Delta A</v>
      </c>
      <c r="B42" s="5" t="str">
        <f>'[3]M.C UNPIV'!C43</f>
        <v>Dakahlia Aga – Al Yasmine</v>
      </c>
      <c r="C42" s="5" t="str">
        <f>'[3]M.C UNPIV'!D43</f>
        <v>مندوب جملة احتياطي عافية</v>
      </c>
      <c r="D42" s="5" t="str">
        <f>'[3]M.C UNPIV'!E43</f>
        <v>D24_R01668</v>
      </c>
      <c r="E42" s="5" t="str">
        <f>'[3]M.C UNPIV'!F43</f>
        <v xml:space="preserve">أحمد صلاح مسلم </v>
      </c>
      <c r="F42" s="5" t="str">
        <f>'[3]M.C UNPIV'!G43</f>
        <v>W/s Consumer &amp; Industrial</v>
      </c>
      <c r="G42" s="6">
        <f>'[3]M.C UNPIV'!H43</f>
        <v>46195.465888275503</v>
      </c>
      <c r="H42" s="5" t="str">
        <f>'[3]M.C UNPIV'!I43</f>
        <v>D24_O_00127201</v>
      </c>
      <c r="I42" s="5">
        <f>'[3]M.C UNPIV'!J43</f>
        <v>200000</v>
      </c>
      <c r="J42" s="7">
        <f>'[3]M.C UNPIV'!K43</f>
        <v>46400</v>
      </c>
      <c r="K42" s="5">
        <f>'[3]M.C UNPIV'!L43</f>
        <v>0</v>
      </c>
      <c r="L42" s="5" t="str">
        <f>'[3]M.C UNPIV'!M43</f>
        <v>Not Due</v>
      </c>
      <c r="M42" s="6">
        <f>'[3]M.C UNPIV'!N43</f>
        <v>46206</v>
      </c>
      <c r="N42" s="5" t="str">
        <f>'[3]M.C UNPIV'!O43</f>
        <v>AFIA</v>
      </c>
      <c r="O42" s="5">
        <f>'[3]M.C UNPIV'!P43</f>
        <v>-4</v>
      </c>
    </row>
    <row r="43" spans="1:15" x14ac:dyDescent="0.25">
      <c r="A43" s="4" t="str">
        <f>'[3]M.C UNPIV'!B44</f>
        <v>Delta A</v>
      </c>
      <c r="B43" s="5" t="str">
        <f>'[3]M.C UNPIV'!C44</f>
        <v>Dakahlia Aga – Al Yasmine</v>
      </c>
      <c r="C43" s="5" t="str">
        <f>'[3]M.C UNPIV'!D44</f>
        <v>مندوب جملة احتياطي عافية</v>
      </c>
      <c r="D43" s="5" t="str">
        <f>'[3]M.C UNPIV'!E44</f>
        <v>D24_R01674</v>
      </c>
      <c r="E43" s="5" t="str">
        <f>'[3]M.C UNPIV'!F44</f>
        <v xml:space="preserve">ورثة محمد المرسى </v>
      </c>
      <c r="F43" s="5" t="str">
        <f>'[3]M.C UNPIV'!G44</f>
        <v>W/s Consumer &amp; Industrial</v>
      </c>
      <c r="G43" s="6">
        <f>'[3]M.C UNPIV'!H44</f>
        <v>46181</v>
      </c>
      <c r="H43" s="5" t="str">
        <f>'[3]M.C UNPIV'!I44</f>
        <v>D24_O_00126282</v>
      </c>
      <c r="I43" s="5">
        <f>'[3]M.C UNPIV'!J44</f>
        <v>250000</v>
      </c>
      <c r="J43" s="7">
        <f>'[3]M.C UNPIV'!K44</f>
        <v>63170.69</v>
      </c>
      <c r="K43" s="5">
        <f>'[3]M.C UNPIV'!L44</f>
        <v>63170.69</v>
      </c>
      <c r="L43" s="5" t="str">
        <f>'[3]M.C UNPIV'!M44</f>
        <v>1 : 10 Days</v>
      </c>
      <c r="M43" s="6">
        <f>'[3]M.C UNPIV'!N44</f>
        <v>46192</v>
      </c>
      <c r="N43" s="5" t="str">
        <f>'[3]M.C UNPIV'!O44</f>
        <v>AFIA</v>
      </c>
      <c r="O43" s="5">
        <f>'[3]M.C UNPIV'!P44</f>
        <v>10</v>
      </c>
    </row>
    <row r="44" spans="1:15" x14ac:dyDescent="0.25">
      <c r="A44" s="4" t="str">
        <f>'[3]M.C UNPIV'!B45</f>
        <v>Delta A</v>
      </c>
      <c r="B44" s="5" t="str">
        <f>'[3]M.C UNPIV'!C45</f>
        <v>Dakahlia Aga – Al Yasmine</v>
      </c>
      <c r="C44" s="5" t="str">
        <f>'[3]M.C UNPIV'!D45</f>
        <v>مندوب جملة احتياطي عافية</v>
      </c>
      <c r="D44" s="5" t="str">
        <f>'[3]M.C UNPIV'!E45</f>
        <v>D24_R01674</v>
      </c>
      <c r="E44" s="5" t="str">
        <f>'[3]M.C UNPIV'!F45</f>
        <v xml:space="preserve">ورثة محمد المرسى </v>
      </c>
      <c r="F44" s="5" t="str">
        <f>'[3]M.C UNPIV'!G45</f>
        <v>W/s Consumer &amp; Industrial</v>
      </c>
      <c r="G44" s="6">
        <f>'[3]M.C UNPIV'!H45</f>
        <v>46194.527841400501</v>
      </c>
      <c r="H44" s="5" t="str">
        <f>'[3]M.C UNPIV'!I45</f>
        <v>D24_O_00127120</v>
      </c>
      <c r="I44" s="5">
        <f>'[3]M.C UNPIV'!J45</f>
        <v>250000</v>
      </c>
      <c r="J44" s="7">
        <f>'[3]M.C UNPIV'!K45</f>
        <v>25770</v>
      </c>
      <c r="K44" s="5">
        <f>'[3]M.C UNPIV'!L45</f>
        <v>0</v>
      </c>
      <c r="L44" s="5" t="str">
        <f>'[3]M.C UNPIV'!M45</f>
        <v>Not Due</v>
      </c>
      <c r="M44" s="6">
        <f>'[3]M.C UNPIV'!N45</f>
        <v>46205</v>
      </c>
      <c r="N44" s="5" t="str">
        <f>'[3]M.C UNPIV'!O45</f>
        <v>AFIA</v>
      </c>
      <c r="O44" s="5">
        <f>'[3]M.C UNPIV'!P45</f>
        <v>-3</v>
      </c>
    </row>
    <row r="45" spans="1:15" x14ac:dyDescent="0.25">
      <c r="A45" s="4" t="str">
        <f>'[3]M.C UNPIV'!B46</f>
        <v>Delta A</v>
      </c>
      <c r="B45" s="5" t="str">
        <f>'[3]M.C UNPIV'!C46</f>
        <v>Dakahlia Aga – Al Yasmine</v>
      </c>
      <c r="C45" s="5" t="str">
        <f>'[3]M.C UNPIV'!D46</f>
        <v>مندوب جملة احتياطي عافية</v>
      </c>
      <c r="D45" s="5" t="str">
        <f>'[3]M.C UNPIV'!E46</f>
        <v>D24_R01748</v>
      </c>
      <c r="E45" s="5" t="str">
        <f>'[3]M.C UNPIV'!F46</f>
        <v xml:space="preserve">صرح للاستيراد والتصدير </v>
      </c>
      <c r="F45" s="5" t="str">
        <f>'[3]M.C UNPIV'!G46</f>
        <v>W/s Consumer &amp; Industrial</v>
      </c>
      <c r="G45" s="6">
        <f>'[3]M.C UNPIV'!H46</f>
        <v>46179.4076325231</v>
      </c>
      <c r="H45" s="5" t="str">
        <f>'[3]M.C UNPIV'!I46</f>
        <v>D24_O_00126203</v>
      </c>
      <c r="I45" s="5">
        <f>'[3]M.C UNPIV'!J46</f>
        <v>250000</v>
      </c>
      <c r="J45" s="7">
        <f>'[3]M.C UNPIV'!K46</f>
        <v>151630.31</v>
      </c>
      <c r="K45" s="5">
        <f>'[3]M.C UNPIV'!L46</f>
        <v>151630.31</v>
      </c>
      <c r="L45" s="5" t="str">
        <f>'[3]M.C UNPIV'!M46</f>
        <v>11 : 20 Days</v>
      </c>
      <c r="M45" s="6">
        <f>'[3]M.C UNPIV'!N46</f>
        <v>46190</v>
      </c>
      <c r="N45" s="5" t="str">
        <f>'[3]M.C UNPIV'!O46</f>
        <v>AFIA</v>
      </c>
      <c r="O45" s="5">
        <f>'[3]M.C UNPIV'!P46</f>
        <v>12</v>
      </c>
    </row>
    <row r="46" spans="1:15" x14ac:dyDescent="0.25">
      <c r="A46" s="4" t="str">
        <f>'[3]M.C UNPIV'!B47</f>
        <v>Delta A</v>
      </c>
      <c r="B46" s="5" t="str">
        <f>'[3]M.C UNPIV'!C47</f>
        <v>Dakahlia Aga – Al Yasmine</v>
      </c>
      <c r="C46" s="5" t="str">
        <f>'[3]M.C UNPIV'!D47</f>
        <v>مندوب جملة احتياطي عافية</v>
      </c>
      <c r="D46" s="5" t="str">
        <f>'[3]M.C UNPIV'!E47</f>
        <v>D24_R01748</v>
      </c>
      <c r="E46" s="5" t="str">
        <f>'[3]M.C UNPIV'!F47</f>
        <v xml:space="preserve">صرح للاستيراد والتصدير </v>
      </c>
      <c r="F46" s="5" t="str">
        <f>'[3]M.C UNPIV'!G47</f>
        <v>W/s Consumer &amp; Industrial</v>
      </c>
      <c r="G46" s="6">
        <f>'[3]M.C UNPIV'!H47</f>
        <v>46198.511711377301</v>
      </c>
      <c r="H46" s="5" t="str">
        <f>'[3]M.C UNPIV'!I47</f>
        <v>D24_O_00127422</v>
      </c>
      <c r="I46" s="5">
        <f>'[3]M.C UNPIV'!J47</f>
        <v>250000</v>
      </c>
      <c r="J46" s="7">
        <f>'[3]M.C UNPIV'!K47</f>
        <v>83078.289999999994</v>
      </c>
      <c r="K46" s="5">
        <f>'[3]M.C UNPIV'!L47</f>
        <v>0</v>
      </c>
      <c r="L46" s="5" t="str">
        <f>'[3]M.C UNPIV'!M47</f>
        <v>Not Due</v>
      </c>
      <c r="M46" s="6">
        <f>'[3]M.C UNPIV'!N47</f>
        <v>46209</v>
      </c>
      <c r="N46" s="5" t="str">
        <f>'[3]M.C UNPIV'!O47</f>
        <v>AFIA</v>
      </c>
      <c r="O46" s="5">
        <f>'[3]M.C UNPIV'!P47</f>
        <v>-7</v>
      </c>
    </row>
    <row r="47" spans="1:15" x14ac:dyDescent="0.25">
      <c r="A47" s="4" t="str">
        <f>'[3]M.C UNPIV'!B48</f>
        <v>Delta A</v>
      </c>
      <c r="B47" s="5" t="str">
        <f>'[3]M.C UNPIV'!C48</f>
        <v>Dakahlia Aga – Al Yasmine</v>
      </c>
      <c r="C47" s="5" t="str">
        <f>'[3]M.C UNPIV'!D48</f>
        <v>#MULTIVALUE</v>
      </c>
      <c r="D47" s="5" t="str">
        <f>'[3]M.C UNPIV'!E48</f>
        <v>D24_R01547</v>
      </c>
      <c r="E47" s="5" t="str">
        <f>'[3]M.C UNPIV'!F48</f>
        <v>العوضى غلوش</v>
      </c>
      <c r="F47" s="5" t="str">
        <f>'[3]M.C UNPIV'!G48</f>
        <v>W/s Consumer &amp; Industrial</v>
      </c>
      <c r="G47" s="6">
        <f>'[3]M.C UNPIV'!H48</f>
        <v>46088.700488078699</v>
      </c>
      <c r="H47" s="5" t="str">
        <f>'[3]M.C UNPIV'!I48</f>
        <v>D24_O_00120615</v>
      </c>
      <c r="I47" s="5">
        <f>'[3]M.C UNPIV'!J48</f>
        <v>3500000</v>
      </c>
      <c r="J47" s="7">
        <f>'[3]M.C UNPIV'!K48</f>
        <v>1097867.52</v>
      </c>
      <c r="K47" s="5">
        <f>'[3]M.C UNPIV'!L48</f>
        <v>1097867.52</v>
      </c>
      <c r="L47" s="5" t="str">
        <f>'[3]M.C UNPIV'!M48</f>
        <v>61 : 120 Days</v>
      </c>
      <c r="M47" s="6">
        <f>'[3]M.C UNPIV'!N48</f>
        <v>46099</v>
      </c>
      <c r="N47" s="5" t="str">
        <f>'[3]M.C UNPIV'!O48</f>
        <v>AFIA</v>
      </c>
      <c r="O47" s="5">
        <f>'[3]M.C UNPIV'!P48</f>
        <v>103</v>
      </c>
    </row>
    <row r="48" spans="1:15" x14ac:dyDescent="0.25">
      <c r="A48" s="4" t="str">
        <f>'[3]M.C UNPIV'!B49</f>
        <v>Delta A</v>
      </c>
      <c r="B48" s="5" t="str">
        <f>'[3]M.C UNPIV'!C49</f>
        <v>Dakahlia Aga – Al Yasmine</v>
      </c>
      <c r="C48" s="5" t="str">
        <f>'[3]M.C UNPIV'!D49</f>
        <v>#MULTIVALUE</v>
      </c>
      <c r="D48" s="5" t="str">
        <f>'[3]M.C UNPIV'!E49</f>
        <v>D24_R01547</v>
      </c>
      <c r="E48" s="5" t="str">
        <f>'[3]M.C UNPIV'!F49</f>
        <v>العوضى غلوش</v>
      </c>
      <c r="F48" s="5" t="str">
        <f>'[3]M.C UNPIV'!G49</f>
        <v>W/s Consumer &amp; Industrial</v>
      </c>
      <c r="G48" s="6">
        <f>'[3]M.C UNPIV'!H49</f>
        <v>46186.413918136597</v>
      </c>
      <c r="H48" s="5" t="str">
        <f>'[3]M.C UNPIV'!I49</f>
        <v>D24_O_00126645</v>
      </c>
      <c r="I48" s="5">
        <f>'[3]M.C UNPIV'!J49</f>
        <v>3500000</v>
      </c>
      <c r="J48" s="7">
        <f>'[3]M.C UNPIV'!K49</f>
        <v>328720</v>
      </c>
      <c r="K48" s="5">
        <f>'[3]M.C UNPIV'!L49</f>
        <v>328720</v>
      </c>
      <c r="L48" s="5" t="str">
        <f>'[3]M.C UNPIV'!M49</f>
        <v>1 : 10 Days</v>
      </c>
      <c r="M48" s="6">
        <f>'[3]M.C UNPIV'!N49</f>
        <v>46197</v>
      </c>
      <c r="N48" s="5" t="str">
        <f>'[3]M.C UNPIV'!O49</f>
        <v>AFIA</v>
      </c>
      <c r="O48" s="5">
        <f>'[3]M.C UNPIV'!P49</f>
        <v>5</v>
      </c>
    </row>
    <row r="49" spans="1:15" x14ac:dyDescent="0.25">
      <c r="A49" s="4" t="str">
        <f>'[3]M.C UNPIV'!B50</f>
        <v>Delta A</v>
      </c>
      <c r="B49" s="5" t="str">
        <f>'[3]M.C UNPIV'!C50</f>
        <v>Dakahlia Aga – Al Yasmine</v>
      </c>
      <c r="C49" s="5" t="str">
        <f>'[3]M.C UNPIV'!D50</f>
        <v>#MULTIVALUE</v>
      </c>
      <c r="D49" s="5" t="str">
        <f>'[3]M.C UNPIV'!E50</f>
        <v>D24_R01547</v>
      </c>
      <c r="E49" s="5" t="str">
        <f>'[3]M.C UNPIV'!F50</f>
        <v>العوضى غلوش</v>
      </c>
      <c r="F49" s="5" t="str">
        <f>'[3]M.C UNPIV'!G50</f>
        <v>W/s Consumer &amp; Industrial</v>
      </c>
      <c r="G49" s="6">
        <f>'[3]M.C UNPIV'!H50</f>
        <v>46191.525426469903</v>
      </c>
      <c r="H49" s="5" t="str">
        <f>'[3]M.C UNPIV'!I50</f>
        <v>D24_O_00126983</v>
      </c>
      <c r="I49" s="5">
        <f>'[3]M.C UNPIV'!J50</f>
        <v>3500000</v>
      </c>
      <c r="J49" s="7">
        <f>'[3]M.C UNPIV'!K50</f>
        <v>779520</v>
      </c>
      <c r="K49" s="5">
        <f>'[3]M.C UNPIV'!L50</f>
        <v>0</v>
      </c>
      <c r="L49" s="5" t="str">
        <f>'[3]M.C UNPIV'!M50</f>
        <v>Not Due</v>
      </c>
      <c r="M49" s="6">
        <f>'[3]M.C UNPIV'!N50</f>
        <v>46202</v>
      </c>
      <c r="N49" s="5" t="str">
        <f>'[3]M.C UNPIV'!O50</f>
        <v>AFIA</v>
      </c>
      <c r="O49" s="5">
        <f>'[3]M.C UNPIV'!P50</f>
        <v>0</v>
      </c>
    </row>
    <row r="50" spans="1:15" x14ac:dyDescent="0.25">
      <c r="A50" s="4" t="str">
        <f>'[3]M.C UNPIV'!B51</f>
        <v>Delta A</v>
      </c>
      <c r="B50" s="5" t="str">
        <f>'[3]M.C UNPIV'!C51</f>
        <v>Dakahlia - Al Yasmine</v>
      </c>
      <c r="C50" s="5" t="str">
        <f>'[3]M.C UNPIV'!D51</f>
        <v>Ahmed Abdl Hadi Abdl Galil</v>
      </c>
      <c r="D50" s="5" t="str">
        <f>'[3]M.C UNPIV'!E51</f>
        <v>D21_R01107</v>
      </c>
      <c r="E50" s="5" t="str">
        <f>'[3]M.C UNPIV'!F51</f>
        <v>محمود النحاس</v>
      </c>
      <c r="F50" s="5" t="str">
        <f>'[3]M.C UNPIV'!G51</f>
        <v>W/s Consumer &amp; Industrial</v>
      </c>
      <c r="G50" s="6">
        <f>'[3]M.C UNPIV'!H51</f>
        <v>46200.425881134302</v>
      </c>
      <c r="H50" s="5" t="str">
        <f>'[3]M.C UNPIV'!I51</f>
        <v>D21_O_00269895</v>
      </c>
      <c r="I50" s="5">
        <f>'[3]M.C UNPIV'!J51</f>
        <v>150000</v>
      </c>
      <c r="J50" s="7">
        <f>'[3]M.C UNPIV'!K51</f>
        <v>40000</v>
      </c>
      <c r="K50" s="5">
        <f>'[3]M.C UNPIV'!L51</f>
        <v>0</v>
      </c>
      <c r="L50" s="5" t="str">
        <f>'[3]M.C UNPIV'!M51</f>
        <v>Not Due</v>
      </c>
      <c r="M50" s="6">
        <f>'[3]M.C UNPIV'!N51</f>
        <v>46211</v>
      </c>
      <c r="N50" s="5" t="str">
        <f>'[3]M.C UNPIV'!O51</f>
        <v>AFIA</v>
      </c>
      <c r="O50" s="5">
        <f>'[3]M.C UNPIV'!P51</f>
        <v>-9</v>
      </c>
    </row>
    <row r="51" spans="1:15" x14ac:dyDescent="0.25">
      <c r="A51" s="4" t="str">
        <f>'[3]M.C UNPIV'!B52</f>
        <v>Delta A</v>
      </c>
      <c r="B51" s="5" t="str">
        <f>'[3]M.C UNPIV'!C52</f>
        <v>Dakahlia - Al Yasmine</v>
      </c>
      <c r="C51" s="5" t="str">
        <f>'[3]M.C UNPIV'!D52</f>
        <v>Ahmed Abdl Hadi Abdl Galil</v>
      </c>
      <c r="D51" s="5" t="str">
        <f>'[3]M.C UNPIV'!E52</f>
        <v>D21_R01157</v>
      </c>
      <c r="E51" s="5" t="str">
        <f>'[3]M.C UNPIV'!F52</f>
        <v>محمد حنيجل</v>
      </c>
      <c r="F51" s="5" t="str">
        <f>'[3]M.C UNPIV'!G52</f>
        <v>W/s Consumer &amp; Industrial</v>
      </c>
      <c r="G51" s="6">
        <f>'[3]M.C UNPIV'!H52</f>
        <v>46160.401683993099</v>
      </c>
      <c r="H51" s="5" t="str">
        <f>'[3]M.C UNPIV'!I52</f>
        <v>D21_O_00263609</v>
      </c>
      <c r="I51" s="5">
        <f>'[3]M.C UNPIV'!J52</f>
        <v>500000</v>
      </c>
      <c r="J51" s="7">
        <f>'[3]M.C UNPIV'!K52</f>
        <v>174790.94</v>
      </c>
      <c r="K51" s="5">
        <f>'[3]M.C UNPIV'!L52</f>
        <v>174790.94</v>
      </c>
      <c r="L51" s="5" t="str">
        <f>'[3]M.C UNPIV'!M52</f>
        <v>31 : 60 Days</v>
      </c>
      <c r="M51" s="6">
        <f>'[3]M.C UNPIV'!N52</f>
        <v>46171</v>
      </c>
      <c r="N51" s="5" t="str">
        <f>'[3]M.C UNPIV'!O52</f>
        <v>AFIA</v>
      </c>
      <c r="O51" s="5">
        <f>'[3]M.C UNPIV'!P52</f>
        <v>31</v>
      </c>
    </row>
    <row r="52" spans="1:15" x14ac:dyDescent="0.25">
      <c r="A52" s="4" t="str">
        <f>'[3]M.C UNPIV'!B53</f>
        <v>Delta A</v>
      </c>
      <c r="B52" s="5" t="str">
        <f>'[3]M.C UNPIV'!C53</f>
        <v>Dakahlia - Al Yasmine</v>
      </c>
      <c r="C52" s="5" t="str">
        <f>'[3]M.C UNPIV'!D53</f>
        <v>Ahmed Abdl Hadi Abdl Galil</v>
      </c>
      <c r="D52" s="5" t="str">
        <f>'[3]M.C UNPIV'!E53</f>
        <v>D21_R01195</v>
      </c>
      <c r="E52" s="5" t="str">
        <f>'[3]M.C UNPIV'!F53</f>
        <v>شركة مكسب للتجارة و الالكترونية</v>
      </c>
      <c r="F52" s="5" t="str">
        <f>'[3]M.C UNPIV'!G53</f>
        <v>W/s Consumer &amp; Industrial</v>
      </c>
      <c r="G52" s="6">
        <f>'[3]M.C UNPIV'!H53</f>
        <v>46190</v>
      </c>
      <c r="H52" s="5" t="str">
        <f>'[3]M.C UNPIV'!I53</f>
        <v>D21_O_00268536</v>
      </c>
      <c r="I52" s="5">
        <f>'[3]M.C UNPIV'!J53</f>
        <v>1500000</v>
      </c>
      <c r="J52" s="7">
        <f>'[3]M.C UNPIV'!K53</f>
        <v>71902.100000000006</v>
      </c>
      <c r="K52" s="5">
        <f>'[3]M.C UNPIV'!L53</f>
        <v>71902.100000000006</v>
      </c>
      <c r="L52" s="5" t="str">
        <f>'[3]M.C UNPIV'!M53</f>
        <v>1 : 10 Days</v>
      </c>
      <c r="M52" s="6">
        <f>'[3]M.C UNPIV'!N53</f>
        <v>46201</v>
      </c>
      <c r="N52" s="5" t="str">
        <f>'[3]M.C UNPIV'!O53</f>
        <v>AFIA</v>
      </c>
      <c r="O52" s="5">
        <f>'[3]M.C UNPIV'!P53</f>
        <v>1</v>
      </c>
    </row>
    <row r="53" spans="1:15" x14ac:dyDescent="0.25">
      <c r="A53" s="4" t="str">
        <f>'[3]M.C UNPIV'!B54</f>
        <v>Delta A</v>
      </c>
      <c r="B53" s="5" t="str">
        <f>'[3]M.C UNPIV'!C54</f>
        <v>Dakahlia - Al Yasmine</v>
      </c>
      <c r="C53" s="5" t="str">
        <f>'[3]M.C UNPIV'!D54</f>
        <v>Ahmed Abdl Hadi Abdl Galil</v>
      </c>
      <c r="D53" s="5" t="str">
        <f>'[3]M.C UNPIV'!E54</f>
        <v>D21_R01195</v>
      </c>
      <c r="E53" s="5" t="str">
        <f>'[3]M.C UNPIV'!F54</f>
        <v>شركة مكسب للتجارة و الالكترونية</v>
      </c>
      <c r="F53" s="5" t="str">
        <f>'[3]M.C UNPIV'!G54</f>
        <v>W/s Consumer &amp; Industrial</v>
      </c>
      <c r="G53" s="6">
        <f>'[3]M.C UNPIV'!H54</f>
        <v>46194.398748379601</v>
      </c>
      <c r="H53" s="5" t="str">
        <f>'[3]M.C UNPIV'!I54</f>
        <v>D21_O_00269103</v>
      </c>
      <c r="I53" s="5">
        <f>'[3]M.C UNPIV'!J54</f>
        <v>1500000</v>
      </c>
      <c r="J53" s="7">
        <f>'[3]M.C UNPIV'!K54</f>
        <v>91431.07</v>
      </c>
      <c r="K53" s="5">
        <f>'[3]M.C UNPIV'!L54</f>
        <v>0</v>
      </c>
      <c r="L53" s="5" t="str">
        <f>'[3]M.C UNPIV'!M54</f>
        <v>Not Due</v>
      </c>
      <c r="M53" s="6">
        <f>'[3]M.C UNPIV'!N54</f>
        <v>46205</v>
      </c>
      <c r="N53" s="5" t="str">
        <f>'[3]M.C UNPIV'!O54</f>
        <v>AFIA</v>
      </c>
      <c r="O53" s="5">
        <f>'[3]M.C UNPIV'!P54</f>
        <v>-3</v>
      </c>
    </row>
    <row r="54" spans="1:15" x14ac:dyDescent="0.25">
      <c r="A54" s="4" t="str">
        <f>'[3]M.C UNPIV'!B55</f>
        <v>Delta A</v>
      </c>
      <c r="B54" s="5" t="str">
        <f>'[3]M.C UNPIV'!C55</f>
        <v>Dakahlia - Al Yasmine</v>
      </c>
      <c r="C54" s="5" t="str">
        <f>'[3]M.C UNPIV'!D55</f>
        <v>Ahmed Abdl Hadi Abdl Galil</v>
      </c>
      <c r="D54" s="5" t="str">
        <f>'[3]M.C UNPIV'!E55</f>
        <v>D21_R01195</v>
      </c>
      <c r="E54" s="5" t="str">
        <f>'[3]M.C UNPIV'!F55</f>
        <v>شركة مكسب للتجارة و الالكترونية</v>
      </c>
      <c r="F54" s="5" t="str">
        <f>'[3]M.C UNPIV'!G55</f>
        <v>W/s Consumer &amp; Industrial</v>
      </c>
      <c r="G54" s="6">
        <f>'[3]M.C UNPIV'!H55</f>
        <v>46194.401162268499</v>
      </c>
      <c r="H54" s="5" t="str">
        <f>'[3]M.C UNPIV'!I55</f>
        <v>D21_O_00269104</v>
      </c>
      <c r="I54" s="5">
        <f>'[3]M.C UNPIV'!J55</f>
        <v>1500000</v>
      </c>
      <c r="J54" s="7">
        <f>'[3]M.C UNPIV'!K55</f>
        <v>94168.94</v>
      </c>
      <c r="K54" s="5">
        <f>'[3]M.C UNPIV'!L55</f>
        <v>0</v>
      </c>
      <c r="L54" s="5" t="str">
        <f>'[3]M.C UNPIV'!M55</f>
        <v>Not Due</v>
      </c>
      <c r="M54" s="6">
        <f>'[3]M.C UNPIV'!N55</f>
        <v>46205</v>
      </c>
      <c r="N54" s="5" t="str">
        <f>'[3]M.C UNPIV'!O55</f>
        <v>AFIA</v>
      </c>
      <c r="O54" s="5">
        <f>'[3]M.C UNPIV'!P55</f>
        <v>-3</v>
      </c>
    </row>
    <row r="55" spans="1:15" x14ac:dyDescent="0.25">
      <c r="A55" s="4" t="str">
        <f>'[3]M.C UNPIV'!B56</f>
        <v>Delta A</v>
      </c>
      <c r="B55" s="5" t="str">
        <f>'[3]M.C UNPIV'!C56</f>
        <v>Dakahlia - Al Yasmine</v>
      </c>
      <c r="C55" s="5" t="str">
        <f>'[3]M.C UNPIV'!D56</f>
        <v>Ahmed Abdl Hadi Abdl Galil</v>
      </c>
      <c r="D55" s="5" t="str">
        <f>'[3]M.C UNPIV'!E56</f>
        <v>D21_R01195</v>
      </c>
      <c r="E55" s="5" t="str">
        <f>'[3]M.C UNPIV'!F56</f>
        <v>شركة مكسب للتجارة و الالكترونية</v>
      </c>
      <c r="F55" s="5" t="str">
        <f>'[3]M.C UNPIV'!G56</f>
        <v>W/s Consumer &amp; Industrial</v>
      </c>
      <c r="G55" s="6">
        <f>'[3]M.C UNPIV'!H56</f>
        <v>46201.408461770799</v>
      </c>
      <c r="H55" s="5" t="str">
        <f>'[3]M.C UNPIV'!I56</f>
        <v>D21_O_00270087</v>
      </c>
      <c r="I55" s="5">
        <f>'[3]M.C UNPIV'!J56</f>
        <v>1500000</v>
      </c>
      <c r="J55" s="7">
        <f>'[3]M.C UNPIV'!K56</f>
        <v>147205.06</v>
      </c>
      <c r="K55" s="5">
        <f>'[3]M.C UNPIV'!L56</f>
        <v>0</v>
      </c>
      <c r="L55" s="5" t="str">
        <f>'[3]M.C UNPIV'!M56</f>
        <v>Not Due</v>
      </c>
      <c r="M55" s="6">
        <f>'[3]M.C UNPIV'!N56</f>
        <v>46212</v>
      </c>
      <c r="N55" s="5" t="str">
        <f>'[3]M.C UNPIV'!O56</f>
        <v>AFIA</v>
      </c>
      <c r="O55" s="5">
        <f>'[3]M.C UNPIV'!P56</f>
        <v>-10</v>
      </c>
    </row>
    <row r="56" spans="1:15" x14ac:dyDescent="0.25">
      <c r="A56" s="4" t="str">
        <f>'[3]M.C UNPIV'!B57</f>
        <v>Delta A</v>
      </c>
      <c r="B56" s="5" t="str">
        <f>'[3]M.C UNPIV'!C57</f>
        <v>Dakahlia - Al Yasmine</v>
      </c>
      <c r="C56" s="5" t="str">
        <f>'[3]M.C UNPIV'!D57</f>
        <v>Ahmed Abdl Hadi Abdl Galil</v>
      </c>
      <c r="D56" s="5" t="str">
        <f>'[3]M.C UNPIV'!E57</f>
        <v>D21_R02240</v>
      </c>
      <c r="E56" s="5" t="str">
        <f>'[3]M.C UNPIV'!F57</f>
        <v>المصباح للتسويق و التجاره الالكترونيه</v>
      </c>
      <c r="F56" s="5" t="str">
        <f>'[3]M.C UNPIV'!G57</f>
        <v>W/s Consumer &amp; Industrial</v>
      </c>
      <c r="G56" s="6">
        <f>'[3]M.C UNPIV'!H57</f>
        <v>46165</v>
      </c>
      <c r="H56" s="5" t="str">
        <f>'[3]M.C UNPIV'!I57</f>
        <v>D21_O_00264359</v>
      </c>
      <c r="I56" s="5">
        <f>'[3]M.C UNPIV'!J57</f>
        <v>3000000</v>
      </c>
      <c r="J56" s="7">
        <f>'[3]M.C UNPIV'!K57</f>
        <v>39835</v>
      </c>
      <c r="K56" s="5">
        <f>'[3]M.C UNPIV'!L57</f>
        <v>39835</v>
      </c>
      <c r="L56" s="5" t="str">
        <f>'[3]M.C UNPIV'!M57</f>
        <v>21 : 30 Days</v>
      </c>
      <c r="M56" s="6">
        <f>'[3]M.C UNPIV'!N57</f>
        <v>46176</v>
      </c>
      <c r="N56" s="5" t="str">
        <f>'[3]M.C UNPIV'!O57</f>
        <v>AFIA</v>
      </c>
      <c r="O56" s="5">
        <f>'[3]M.C UNPIV'!P57</f>
        <v>26</v>
      </c>
    </row>
    <row r="57" spans="1:15" x14ac:dyDescent="0.25">
      <c r="A57" s="4" t="str">
        <f>'[3]M.C UNPIV'!B58</f>
        <v>Delta A</v>
      </c>
      <c r="B57" s="5" t="str">
        <f>'[3]M.C UNPIV'!C58</f>
        <v>Dakahlia - Al Yasmine</v>
      </c>
      <c r="C57" s="5" t="str">
        <f>'[3]M.C UNPIV'!D58</f>
        <v>Ahmed Abdl Hadi Abdl Galil</v>
      </c>
      <c r="D57" s="5" t="str">
        <f>'[3]M.C UNPIV'!E58</f>
        <v>D21_R02347</v>
      </c>
      <c r="E57" s="5" t="str">
        <f>'[3]M.C UNPIV'!F58</f>
        <v>مصطفى حسيب</v>
      </c>
      <c r="F57" s="5" t="str">
        <f>'[3]M.C UNPIV'!G58</f>
        <v>W/s Consumer &amp; Industrial</v>
      </c>
      <c r="G57" s="6">
        <f>'[3]M.C UNPIV'!H58</f>
        <v>46079.796307638899</v>
      </c>
      <c r="H57" s="5" t="str">
        <f>'[3]M.C UNPIV'!I58</f>
        <v>D21_O_00250572</v>
      </c>
      <c r="I57" s="5">
        <f>'[3]M.C UNPIV'!J58</f>
        <v>12000000</v>
      </c>
      <c r="J57" s="7">
        <f>'[3]M.C UNPIV'!K58</f>
        <v>109149.19</v>
      </c>
      <c r="K57" s="5">
        <f>'[3]M.C UNPIV'!L58</f>
        <v>109149.19</v>
      </c>
      <c r="L57" s="5" t="str">
        <f>'[3]M.C UNPIV'!M58</f>
        <v>61 : 120 Days</v>
      </c>
      <c r="M57" s="6">
        <f>'[3]M.C UNPIV'!N58</f>
        <v>46095</v>
      </c>
      <c r="N57" s="5" t="str">
        <f>'[3]M.C UNPIV'!O58</f>
        <v>AFIA</v>
      </c>
      <c r="O57" s="5">
        <f>'[3]M.C UNPIV'!P58</f>
        <v>107</v>
      </c>
    </row>
    <row r="58" spans="1:15" x14ac:dyDescent="0.25">
      <c r="A58" s="4" t="str">
        <f>'[3]M.C UNPIV'!B59</f>
        <v>Delta A</v>
      </c>
      <c r="B58" s="5" t="str">
        <f>'[3]M.C UNPIV'!C59</f>
        <v>Dakahlia - Al Yasmine</v>
      </c>
      <c r="C58" s="5" t="str">
        <f>'[3]M.C UNPIV'!D59</f>
        <v>Ahmed Abdl Hadi Abdl Galil</v>
      </c>
      <c r="D58" s="5" t="str">
        <f>'[3]M.C UNPIV'!E59</f>
        <v>D21_R02347</v>
      </c>
      <c r="E58" s="5" t="str">
        <f>'[3]M.C UNPIV'!F59</f>
        <v>مصطفى حسيب</v>
      </c>
      <c r="F58" s="5" t="str">
        <f>'[3]M.C UNPIV'!G59</f>
        <v>W/s Consumer &amp; Industrial</v>
      </c>
      <c r="G58" s="6">
        <f>'[3]M.C UNPIV'!H59</f>
        <v>46081.727950544002</v>
      </c>
      <c r="H58" s="5" t="str">
        <f>'[3]M.C UNPIV'!I59</f>
        <v>D21_O_00250744</v>
      </c>
      <c r="I58" s="5">
        <f>'[3]M.C UNPIV'!J59</f>
        <v>12000000</v>
      </c>
      <c r="J58" s="7">
        <f>'[3]M.C UNPIV'!K59</f>
        <v>1239804.1399999999</v>
      </c>
      <c r="K58" s="5">
        <f>'[3]M.C UNPIV'!L59</f>
        <v>1239804.1399999999</v>
      </c>
      <c r="L58" s="5" t="str">
        <f>'[3]M.C UNPIV'!M59</f>
        <v>61 : 120 Days</v>
      </c>
      <c r="M58" s="6">
        <f>'[3]M.C UNPIV'!N59</f>
        <v>46097</v>
      </c>
      <c r="N58" s="5" t="str">
        <f>'[3]M.C UNPIV'!O59</f>
        <v>AFIA</v>
      </c>
      <c r="O58" s="5">
        <f>'[3]M.C UNPIV'!P59</f>
        <v>105</v>
      </c>
    </row>
    <row r="59" spans="1:15" x14ac:dyDescent="0.25">
      <c r="A59" s="4" t="str">
        <f>'[3]M.C UNPIV'!B60</f>
        <v>Delta A</v>
      </c>
      <c r="B59" s="5" t="str">
        <f>'[3]M.C UNPIV'!C60</f>
        <v>Dakahlia - Al Yasmine</v>
      </c>
      <c r="C59" s="5" t="str">
        <f>'[3]M.C UNPIV'!D60</f>
        <v>Ahmed Abdl Hadi Abdl Galil</v>
      </c>
      <c r="D59" s="5" t="str">
        <f>'[3]M.C UNPIV'!E60</f>
        <v>D21_R02347</v>
      </c>
      <c r="E59" s="5" t="str">
        <f>'[3]M.C UNPIV'!F60</f>
        <v>مصطفى حسيب</v>
      </c>
      <c r="F59" s="5" t="str">
        <f>'[3]M.C UNPIV'!G60</f>
        <v>W/s Consumer &amp; Industrial</v>
      </c>
      <c r="G59" s="6">
        <f>'[3]M.C UNPIV'!H60</f>
        <v>46088.342437580999</v>
      </c>
      <c r="H59" s="5" t="str">
        <f>'[3]M.C UNPIV'!I60</f>
        <v>D21_O_00251954</v>
      </c>
      <c r="I59" s="5">
        <f>'[3]M.C UNPIV'!J60</f>
        <v>12000000</v>
      </c>
      <c r="J59" s="7">
        <f>'[3]M.C UNPIV'!K60</f>
        <v>9048827.1699999999</v>
      </c>
      <c r="K59" s="5">
        <f>'[3]M.C UNPIV'!L60</f>
        <v>9048827.1699999999</v>
      </c>
      <c r="L59" s="5" t="str">
        <f>'[3]M.C UNPIV'!M60</f>
        <v>61 : 120 Days</v>
      </c>
      <c r="M59" s="6">
        <f>'[3]M.C UNPIV'!N60</f>
        <v>46104</v>
      </c>
      <c r="N59" s="5" t="str">
        <f>'[3]M.C UNPIV'!O60</f>
        <v>AFIA</v>
      </c>
      <c r="O59" s="5">
        <f>'[3]M.C UNPIV'!P60</f>
        <v>98</v>
      </c>
    </row>
    <row r="60" spans="1:15" x14ac:dyDescent="0.25">
      <c r="A60" s="4" t="str">
        <f>'[3]M.C UNPIV'!B61</f>
        <v>Delta A</v>
      </c>
      <c r="B60" s="5" t="str">
        <f>'[3]M.C UNPIV'!C61</f>
        <v>Dakahlia - Al Yasmine</v>
      </c>
      <c r="C60" s="5" t="str">
        <f>'[3]M.C UNPIV'!D61</f>
        <v>Ahmed Abdl Hadi Abdl Galil</v>
      </c>
      <c r="D60" s="5" t="str">
        <f>'[3]M.C UNPIV'!E61</f>
        <v>D21_R02347</v>
      </c>
      <c r="E60" s="5" t="str">
        <f>'[3]M.C UNPIV'!F61</f>
        <v>مصطفى حسيب</v>
      </c>
      <c r="F60" s="5" t="str">
        <f>'[3]M.C UNPIV'!G61</f>
        <v>W/s Consumer &amp; Industrial</v>
      </c>
      <c r="G60" s="6">
        <f>'[3]M.C UNPIV'!H61</f>
        <v>46182.751140162</v>
      </c>
      <c r="H60" s="5" t="str">
        <f>'[3]M.C UNPIV'!I61</f>
        <v>D21_O_00267314</v>
      </c>
      <c r="I60" s="5">
        <f>'[3]M.C UNPIV'!J61</f>
        <v>12000000</v>
      </c>
      <c r="J60" s="7">
        <f>'[3]M.C UNPIV'!K61</f>
        <v>366422.07</v>
      </c>
      <c r="K60" s="5">
        <f>'[3]M.C UNPIV'!L61</f>
        <v>366422.07</v>
      </c>
      <c r="L60" s="5" t="str">
        <f>'[3]M.C UNPIV'!M61</f>
        <v>1 : 10 Days</v>
      </c>
      <c r="M60" s="6">
        <f>'[3]M.C UNPIV'!N61</f>
        <v>46193</v>
      </c>
      <c r="N60" s="5" t="str">
        <f>'[3]M.C UNPIV'!O61</f>
        <v>AFIA</v>
      </c>
      <c r="O60" s="5">
        <f>'[3]M.C UNPIV'!P61</f>
        <v>9</v>
      </c>
    </row>
    <row r="61" spans="1:15" x14ac:dyDescent="0.25">
      <c r="A61" s="4" t="str">
        <f>'[3]M.C UNPIV'!B62</f>
        <v>Delta A</v>
      </c>
      <c r="B61" s="5" t="str">
        <f>'[3]M.C UNPIV'!C62</f>
        <v>Dakahlia - Al Yasmine</v>
      </c>
      <c r="C61" s="5" t="str">
        <f>'[3]M.C UNPIV'!D62</f>
        <v>Ahmed Abdl Hadi Abdl Galil</v>
      </c>
      <c r="D61" s="5" t="str">
        <f>'[3]M.C UNPIV'!E62</f>
        <v>D21_R02347</v>
      </c>
      <c r="E61" s="5" t="str">
        <f>'[3]M.C UNPIV'!F62</f>
        <v>مصطفى حسيب</v>
      </c>
      <c r="F61" s="5" t="str">
        <f>'[3]M.C UNPIV'!G62</f>
        <v>W/s Consumer &amp; Industrial</v>
      </c>
      <c r="G61" s="6">
        <f>'[3]M.C UNPIV'!H62</f>
        <v>46184.600157604204</v>
      </c>
      <c r="H61" s="5" t="str">
        <f>'[3]M.C UNPIV'!I62</f>
        <v>D21_O_00267624</v>
      </c>
      <c r="I61" s="5">
        <f>'[3]M.C UNPIV'!J62</f>
        <v>12000000</v>
      </c>
      <c r="J61" s="7">
        <f>'[3]M.C UNPIV'!K62</f>
        <v>453649.62</v>
      </c>
      <c r="K61" s="5">
        <f>'[3]M.C UNPIV'!L62</f>
        <v>453649.62</v>
      </c>
      <c r="L61" s="5" t="str">
        <f>'[3]M.C UNPIV'!M62</f>
        <v>1 : 10 Days</v>
      </c>
      <c r="M61" s="6">
        <f>'[3]M.C UNPIV'!N62</f>
        <v>46195</v>
      </c>
      <c r="N61" s="5" t="str">
        <f>'[3]M.C UNPIV'!O62</f>
        <v>AFIA</v>
      </c>
      <c r="O61" s="5">
        <f>'[3]M.C UNPIV'!P62</f>
        <v>7</v>
      </c>
    </row>
    <row r="62" spans="1:15" x14ac:dyDescent="0.25">
      <c r="A62" s="4" t="str">
        <f>'[3]M.C UNPIV'!B63</f>
        <v>Delta A</v>
      </c>
      <c r="B62" s="5" t="str">
        <f>'[3]M.C UNPIV'!C63</f>
        <v>Dakahlia - Al Yasmine</v>
      </c>
      <c r="C62" s="5" t="str">
        <f>'[3]M.C UNPIV'!D63</f>
        <v>Ahmed Abdl Hadi Abdl Galil</v>
      </c>
      <c r="D62" s="5" t="str">
        <f>'[3]M.C UNPIV'!E63</f>
        <v>D21_R02347</v>
      </c>
      <c r="E62" s="5" t="str">
        <f>'[3]M.C UNPIV'!F63</f>
        <v>مصطفى حسيب</v>
      </c>
      <c r="F62" s="5" t="str">
        <f>'[3]M.C UNPIV'!G63</f>
        <v>W/s Consumer &amp; Industrial</v>
      </c>
      <c r="G62" s="6">
        <f>'[3]M.C UNPIV'!H63</f>
        <v>46190.612848807898</v>
      </c>
      <c r="H62" s="5" t="str">
        <f>'[3]M.C UNPIV'!I63</f>
        <v>D21_O_00268606</v>
      </c>
      <c r="I62" s="5">
        <f>'[3]M.C UNPIV'!J63</f>
        <v>12000000</v>
      </c>
      <c r="J62" s="7">
        <f>'[3]M.C UNPIV'!K63</f>
        <v>356250.75</v>
      </c>
      <c r="K62" s="5">
        <f>'[3]M.C UNPIV'!L63</f>
        <v>356250.75</v>
      </c>
      <c r="L62" s="5" t="str">
        <f>'[3]M.C UNPIV'!M63</f>
        <v>1 : 10 Days</v>
      </c>
      <c r="M62" s="6">
        <f>'[3]M.C UNPIV'!N63</f>
        <v>46201</v>
      </c>
      <c r="N62" s="5" t="str">
        <f>'[3]M.C UNPIV'!O63</f>
        <v>AFIA</v>
      </c>
      <c r="O62" s="5">
        <f>'[3]M.C UNPIV'!P63</f>
        <v>1</v>
      </c>
    </row>
    <row r="63" spans="1:15" x14ac:dyDescent="0.25">
      <c r="A63" s="4" t="str">
        <f>'[3]M.C UNPIV'!B64</f>
        <v>Delta A</v>
      </c>
      <c r="B63" s="5" t="str">
        <f>'[3]M.C UNPIV'!C64</f>
        <v>Dakahlia - Al Yasmine</v>
      </c>
      <c r="C63" s="5" t="str">
        <f>'[3]M.C UNPIV'!D64</f>
        <v>Ahmed Abdl Hadi Abdl Galil</v>
      </c>
      <c r="D63" s="5" t="str">
        <f>'[3]M.C UNPIV'!E64</f>
        <v>D21_R02347</v>
      </c>
      <c r="E63" s="5" t="str">
        <f>'[3]M.C UNPIV'!F64</f>
        <v>مصطفى حسيب</v>
      </c>
      <c r="F63" s="5" t="str">
        <f>'[3]M.C UNPIV'!G64</f>
        <v>W/s Consumer &amp; Industrial</v>
      </c>
      <c r="G63" s="6">
        <f>'[3]M.C UNPIV'!H64</f>
        <v>46191.528789120399</v>
      </c>
      <c r="H63" s="5" t="str">
        <f>'[3]M.C UNPIV'!I64</f>
        <v>D21_O_00268754</v>
      </c>
      <c r="I63" s="5">
        <f>'[3]M.C UNPIV'!J64</f>
        <v>12000000</v>
      </c>
      <c r="J63" s="7">
        <f>'[3]M.C UNPIV'!K64</f>
        <v>216077.89</v>
      </c>
      <c r="K63" s="5">
        <f>'[3]M.C UNPIV'!L64</f>
        <v>0</v>
      </c>
      <c r="L63" s="5" t="str">
        <f>'[3]M.C UNPIV'!M64</f>
        <v>Not Due</v>
      </c>
      <c r="M63" s="6">
        <f>'[3]M.C UNPIV'!N64</f>
        <v>46202</v>
      </c>
      <c r="N63" s="5" t="str">
        <f>'[3]M.C UNPIV'!O64</f>
        <v>AFIA</v>
      </c>
      <c r="O63" s="5">
        <f>'[3]M.C UNPIV'!P64</f>
        <v>0</v>
      </c>
    </row>
    <row r="64" spans="1:15" x14ac:dyDescent="0.25">
      <c r="A64" s="4" t="str">
        <f>'[3]M.C UNPIV'!B65</f>
        <v>Delta A</v>
      </c>
      <c r="B64" s="5" t="str">
        <f>'[3]M.C UNPIV'!C65</f>
        <v>Dakahlia - Al Yasmine</v>
      </c>
      <c r="C64" s="5" t="str">
        <f>'[3]M.C UNPIV'!D65</f>
        <v>Ahmed Al Taneeb Aboda</v>
      </c>
      <c r="D64" s="5" t="str">
        <f>'[3]M.C UNPIV'!E65</f>
        <v>D21_M01115</v>
      </c>
      <c r="E64" s="5" t="str">
        <f>'[3]M.C UNPIV'!F65</f>
        <v>محمود عبداللطيف</v>
      </c>
      <c r="F64" s="5" t="str">
        <f>'[3]M.C UNPIV'!G65</f>
        <v>W/s Consumer &amp; Industrial</v>
      </c>
      <c r="G64" s="6">
        <f>'[3]M.C UNPIV'!H65</f>
        <v>46182.4041480671</v>
      </c>
      <c r="H64" s="5" t="str">
        <f>'[3]M.C UNPIV'!I65</f>
        <v>D21_O_00267118</v>
      </c>
      <c r="I64" s="5">
        <f>'[3]M.C UNPIV'!J65</f>
        <v>150000</v>
      </c>
      <c r="J64" s="7">
        <f>'[3]M.C UNPIV'!K65</f>
        <v>27148</v>
      </c>
      <c r="K64" s="5">
        <f>'[3]M.C UNPIV'!L65</f>
        <v>27148</v>
      </c>
      <c r="L64" s="5" t="str">
        <f>'[3]M.C UNPIV'!M65</f>
        <v>1 : 10 Days</v>
      </c>
      <c r="M64" s="6">
        <f>'[3]M.C UNPIV'!N65</f>
        <v>46193</v>
      </c>
      <c r="N64" s="5" t="str">
        <f>'[3]M.C UNPIV'!O65</f>
        <v>PASTA</v>
      </c>
      <c r="O64" s="5">
        <f>'[3]M.C UNPIV'!P65</f>
        <v>9</v>
      </c>
    </row>
    <row r="65" spans="1:15" x14ac:dyDescent="0.25">
      <c r="A65" s="4" t="str">
        <f>'[3]M.C UNPIV'!B66</f>
        <v>Delta A</v>
      </c>
      <c r="B65" s="5" t="str">
        <f>'[3]M.C UNPIV'!C66</f>
        <v>Dakahlia - Al Yasmine</v>
      </c>
      <c r="C65" s="5" t="str">
        <f>'[3]M.C UNPIV'!D66</f>
        <v>Ahmed Al Taneeb Aboda</v>
      </c>
      <c r="D65" s="5" t="str">
        <f>'[3]M.C UNPIV'!E66</f>
        <v>D21_M01123</v>
      </c>
      <c r="E65" s="5" t="str">
        <f>'[3]M.C UNPIV'!F66</f>
        <v>عبد الله شطا</v>
      </c>
      <c r="F65" s="5" t="str">
        <f>'[3]M.C UNPIV'!G66</f>
        <v>W/s Consumer &amp; Industrial</v>
      </c>
      <c r="G65" s="6">
        <f>'[3]M.C UNPIV'!H66</f>
        <v>46186.3910020486</v>
      </c>
      <c r="H65" s="5" t="str">
        <f>'[3]M.C UNPIV'!I66</f>
        <v>D21_O_00267800</v>
      </c>
      <c r="I65" s="5">
        <f>'[3]M.C UNPIV'!J66</f>
        <v>150000</v>
      </c>
      <c r="J65" s="7">
        <f>'[3]M.C UNPIV'!K66</f>
        <v>14114</v>
      </c>
      <c r="K65" s="5">
        <f>'[3]M.C UNPIV'!L66</f>
        <v>14114</v>
      </c>
      <c r="L65" s="5" t="str">
        <f>'[3]M.C UNPIV'!M66</f>
        <v>1 : 10 Days</v>
      </c>
      <c r="M65" s="6">
        <f>'[3]M.C UNPIV'!N66</f>
        <v>46197</v>
      </c>
      <c r="N65" s="5" t="str">
        <f>'[3]M.C UNPIV'!O66</f>
        <v>PASTA</v>
      </c>
      <c r="O65" s="5">
        <f>'[3]M.C UNPIV'!P66</f>
        <v>5</v>
      </c>
    </row>
    <row r="66" spans="1:15" x14ac:dyDescent="0.25">
      <c r="A66" s="4" t="str">
        <f>'[3]M.C UNPIV'!B67</f>
        <v>Delta A</v>
      </c>
      <c r="B66" s="5" t="str">
        <f>'[3]M.C UNPIV'!C67</f>
        <v>Dakahlia - Al Yasmine</v>
      </c>
      <c r="C66" s="5" t="str">
        <f>'[3]M.C UNPIV'!D67</f>
        <v>Ahmed Al Taneeb Aboda</v>
      </c>
      <c r="D66" s="5" t="str">
        <f>'[3]M.C UNPIV'!E67</f>
        <v>D21_M01133</v>
      </c>
      <c r="E66" s="5" t="str">
        <f>'[3]M.C UNPIV'!F67</f>
        <v>حامد الطحان</v>
      </c>
      <c r="F66" s="5" t="str">
        <f>'[3]M.C UNPIV'!G67</f>
        <v>W/s Consumer &amp; Industrial</v>
      </c>
      <c r="G66" s="6">
        <f>'[3]M.C UNPIV'!H67</f>
        <v>46194.384876423603</v>
      </c>
      <c r="H66" s="5" t="str">
        <f>'[3]M.C UNPIV'!I67</f>
        <v>D21_O_00269102</v>
      </c>
      <c r="I66" s="5">
        <f>'[3]M.C UNPIV'!J67</f>
        <v>200000</v>
      </c>
      <c r="J66" s="7">
        <f>'[3]M.C UNPIV'!K67</f>
        <v>7705</v>
      </c>
      <c r="K66" s="5">
        <f>'[3]M.C UNPIV'!L67</f>
        <v>0</v>
      </c>
      <c r="L66" s="5" t="str">
        <f>'[3]M.C UNPIV'!M67</f>
        <v>Not Due</v>
      </c>
      <c r="M66" s="6">
        <f>'[3]M.C UNPIV'!N67</f>
        <v>46205</v>
      </c>
      <c r="N66" s="5" t="str">
        <f>'[3]M.C UNPIV'!O67</f>
        <v>PASTA</v>
      </c>
      <c r="O66" s="5">
        <f>'[3]M.C UNPIV'!P67</f>
        <v>-3</v>
      </c>
    </row>
    <row r="67" spans="1:15" x14ac:dyDescent="0.25">
      <c r="A67" s="4" t="str">
        <f>'[3]M.C UNPIV'!B68</f>
        <v>Delta A</v>
      </c>
      <c r="B67" s="5" t="str">
        <f>'[3]M.C UNPIV'!C68</f>
        <v>Dakahlia - Al Yasmine</v>
      </c>
      <c r="C67" s="5" t="str">
        <f>'[3]M.C UNPIV'!D68</f>
        <v>Ahmed Al Taneeb Aboda</v>
      </c>
      <c r="D67" s="5" t="str">
        <f>'[3]M.C UNPIV'!E68</f>
        <v>D21_M02347</v>
      </c>
      <c r="E67" s="5" t="str">
        <f>'[3]M.C UNPIV'!F68</f>
        <v>مصطفى حسيب</v>
      </c>
      <c r="F67" s="5" t="str">
        <f>'[3]M.C UNPIV'!G68</f>
        <v>W/s Consumer &amp; Industrial</v>
      </c>
      <c r="G67" s="6">
        <f>'[3]M.C UNPIV'!H68</f>
        <v>46081.924656632</v>
      </c>
      <c r="H67" s="5" t="str">
        <f>'[3]M.C UNPIV'!I68</f>
        <v>D21_O_00250773</v>
      </c>
      <c r="I67" s="5">
        <f>'[3]M.C UNPIV'!J68</f>
        <v>2500000</v>
      </c>
      <c r="J67" s="7">
        <f>'[3]M.C UNPIV'!K68</f>
        <v>2173119.46</v>
      </c>
      <c r="K67" s="5">
        <f>'[3]M.C UNPIV'!L68</f>
        <v>2173119.46</v>
      </c>
      <c r="L67" s="5" t="str">
        <f>'[3]M.C UNPIV'!M68</f>
        <v>61 : 120 Days</v>
      </c>
      <c r="M67" s="6">
        <f>'[3]M.C UNPIV'!N68</f>
        <v>46097</v>
      </c>
      <c r="N67" s="5" t="str">
        <f>'[3]M.C UNPIV'!O68</f>
        <v>PASTA</v>
      </c>
      <c r="O67" s="5">
        <f>'[3]M.C UNPIV'!P68</f>
        <v>105</v>
      </c>
    </row>
    <row r="68" spans="1:15" x14ac:dyDescent="0.25">
      <c r="A68" s="4" t="str">
        <f>'[3]M.C UNPIV'!B69</f>
        <v>Delta A</v>
      </c>
      <c r="B68" s="5" t="str">
        <f>'[3]M.C UNPIV'!C69</f>
        <v>Dakahlia - Al Yasmine</v>
      </c>
      <c r="C68" s="5" t="str">
        <f>'[3]M.C UNPIV'!D69</f>
        <v>Ahmed Al Taneeb Aboda</v>
      </c>
      <c r="D68" s="5" t="str">
        <f>'[3]M.C UNPIV'!E69</f>
        <v>D21_M02347</v>
      </c>
      <c r="E68" s="5" t="str">
        <f>'[3]M.C UNPIV'!F69</f>
        <v>مصطفى حسيب</v>
      </c>
      <c r="F68" s="5" t="str">
        <f>'[3]M.C UNPIV'!G69</f>
        <v>W/s Consumer &amp; Industrial</v>
      </c>
      <c r="G68" s="6">
        <f>'[3]M.C UNPIV'!H69</f>
        <v>46184.852044988402</v>
      </c>
      <c r="H68" s="5" t="str">
        <f>'[3]M.C UNPIV'!I69</f>
        <v>D21_O_00267793</v>
      </c>
      <c r="I68" s="5">
        <f>'[3]M.C UNPIV'!J69</f>
        <v>2500000</v>
      </c>
      <c r="J68" s="7">
        <f>'[3]M.C UNPIV'!K69</f>
        <v>158496</v>
      </c>
      <c r="K68" s="5">
        <f>'[3]M.C UNPIV'!L69</f>
        <v>158496</v>
      </c>
      <c r="L68" s="5" t="str">
        <f>'[3]M.C UNPIV'!M69</f>
        <v>1 : 10 Days</v>
      </c>
      <c r="M68" s="6">
        <f>'[3]M.C UNPIV'!N69</f>
        <v>46195</v>
      </c>
      <c r="N68" s="5" t="str">
        <f>'[3]M.C UNPIV'!O69</f>
        <v>PASTA</v>
      </c>
      <c r="O68" s="5">
        <f>'[3]M.C UNPIV'!P69</f>
        <v>7</v>
      </c>
    </row>
    <row r="69" spans="1:15" x14ac:dyDescent="0.25">
      <c r="A69" s="4" t="str">
        <f>'[3]M.C UNPIV'!B70</f>
        <v>Delta A</v>
      </c>
      <c r="B69" s="5" t="str">
        <f>'[3]M.C UNPIV'!C70</f>
        <v>Dakahlia - Al Yasmine</v>
      </c>
      <c r="C69" s="5" t="str">
        <f>'[3]M.C UNPIV'!D70</f>
        <v>Ahmed Mosad Al shahaat</v>
      </c>
      <c r="D69" s="5" t="str">
        <f>'[3]M.C UNPIV'!E70</f>
        <v>D21_P01503</v>
      </c>
      <c r="E69" s="5" t="str">
        <f>'[3]M.C UNPIV'!F70</f>
        <v>محمد حنيجل</v>
      </c>
      <c r="F69" s="5" t="str">
        <f>'[3]M.C UNPIV'!G70</f>
        <v>W/s Consumer &amp; Industrial</v>
      </c>
      <c r="G69" s="6">
        <f>'[3]M.C UNPIV'!H70</f>
        <v>46175.548533217603</v>
      </c>
      <c r="H69" s="5" t="str">
        <f>'[3]M.C UNPIV'!I70</f>
        <v>D21_O_00265651</v>
      </c>
      <c r="I69" s="5">
        <f>'[3]M.C UNPIV'!J70</f>
        <v>225000</v>
      </c>
      <c r="J69" s="7">
        <f>'[3]M.C UNPIV'!K70</f>
        <v>116540</v>
      </c>
      <c r="K69" s="5">
        <f>'[3]M.C UNPIV'!L70</f>
        <v>116540</v>
      </c>
      <c r="L69" s="5" t="str">
        <f>'[3]M.C UNPIV'!M70</f>
        <v>11 : 20 Days</v>
      </c>
      <c r="M69" s="6">
        <f>'[3]M.C UNPIV'!N70</f>
        <v>46186</v>
      </c>
      <c r="N69" s="5" t="str">
        <f>'[3]M.C UNPIV'!O70</f>
        <v>PASTA</v>
      </c>
      <c r="O69" s="5">
        <f>'[3]M.C UNPIV'!P70</f>
        <v>16</v>
      </c>
    </row>
    <row r="70" spans="1:15" x14ac:dyDescent="0.25">
      <c r="A70" s="4" t="str">
        <f>'[3]M.C UNPIV'!B71</f>
        <v>Delta A</v>
      </c>
      <c r="B70" s="5" t="str">
        <f>'[3]M.C UNPIV'!C71</f>
        <v>Dakahlia - Al Yasmine</v>
      </c>
      <c r="C70" s="5" t="str">
        <f>'[3]M.C UNPIV'!D71</f>
        <v>Ahmed Mosad Al shahaat</v>
      </c>
      <c r="D70" s="5" t="str">
        <f>'[3]M.C UNPIV'!E71</f>
        <v>D21_P01503</v>
      </c>
      <c r="E70" s="5" t="str">
        <f>'[3]M.C UNPIV'!F71</f>
        <v>محمد حنيجل</v>
      </c>
      <c r="F70" s="5" t="str">
        <f>'[3]M.C UNPIV'!G71</f>
        <v>W/s Consumer &amp; Industrial</v>
      </c>
      <c r="G70" s="6">
        <f>'[3]M.C UNPIV'!H71</f>
        <v>46191</v>
      </c>
      <c r="H70" s="5" t="str">
        <f>'[3]M.C UNPIV'!I71</f>
        <v>D21_O_00268540</v>
      </c>
      <c r="I70" s="5">
        <f>'[3]M.C UNPIV'!J71</f>
        <v>225000</v>
      </c>
      <c r="J70" s="7">
        <f>'[3]M.C UNPIV'!K71</f>
        <v>104040</v>
      </c>
      <c r="K70" s="5">
        <f>'[3]M.C UNPIV'!L71</f>
        <v>0</v>
      </c>
      <c r="L70" s="5" t="str">
        <f>'[3]M.C UNPIV'!M71</f>
        <v>Not Due</v>
      </c>
      <c r="M70" s="6">
        <f>'[3]M.C UNPIV'!N71</f>
        <v>46202</v>
      </c>
      <c r="N70" s="5" t="str">
        <f>'[3]M.C UNPIV'!O71</f>
        <v>PASTA</v>
      </c>
      <c r="O70" s="5">
        <f>'[3]M.C UNPIV'!P71</f>
        <v>0</v>
      </c>
    </row>
    <row r="71" spans="1:15" x14ac:dyDescent="0.25">
      <c r="A71" s="4" t="str">
        <f>'[3]M.C UNPIV'!B72</f>
        <v>Delta A</v>
      </c>
      <c r="B71" s="5" t="str">
        <f>'[3]M.C UNPIV'!C72</f>
        <v>Dakahlia - Al Yasmine</v>
      </c>
      <c r="C71" s="5" t="str">
        <f>'[3]M.C UNPIV'!D72</f>
        <v>Ahmed Mosad Al shahaat</v>
      </c>
      <c r="D71" s="5" t="str">
        <f>'[3]M.C UNPIV'!E72</f>
        <v>D21_P01505</v>
      </c>
      <c r="E71" s="5" t="str">
        <f>'[3]M.C UNPIV'!F72</f>
        <v>ياسر الصعيدى</v>
      </c>
      <c r="F71" s="5" t="str">
        <f>'[3]M.C UNPIV'!G72</f>
        <v>W/s Consumer &amp; Industrial</v>
      </c>
      <c r="G71" s="6">
        <f>'[3]M.C UNPIV'!H72</f>
        <v>46193.455237962997</v>
      </c>
      <c r="H71" s="5" t="str">
        <f>'[3]M.C UNPIV'!I72</f>
        <v>D21_O_00268898</v>
      </c>
      <c r="I71" s="5">
        <f>'[3]M.C UNPIV'!J72</f>
        <v>150000</v>
      </c>
      <c r="J71" s="7">
        <f>'[3]M.C UNPIV'!K72</f>
        <v>32981</v>
      </c>
      <c r="K71" s="5">
        <f>'[3]M.C UNPIV'!L72</f>
        <v>0</v>
      </c>
      <c r="L71" s="5" t="str">
        <f>'[3]M.C UNPIV'!M72</f>
        <v>Not Due</v>
      </c>
      <c r="M71" s="6">
        <f>'[3]M.C UNPIV'!N72</f>
        <v>46204</v>
      </c>
      <c r="N71" s="5" t="str">
        <f>'[3]M.C UNPIV'!O72</f>
        <v>PASTA</v>
      </c>
      <c r="O71" s="5">
        <f>'[3]M.C UNPIV'!P72</f>
        <v>-2</v>
      </c>
    </row>
    <row r="72" spans="1:15" x14ac:dyDescent="0.25">
      <c r="A72" s="4" t="str">
        <f>'[3]M.C UNPIV'!B73</f>
        <v>Delta A</v>
      </c>
      <c r="B72" s="5" t="str">
        <f>'[3]M.C UNPIV'!C73</f>
        <v>Dakahlia - Al Yasmine</v>
      </c>
      <c r="C72" s="5" t="str">
        <f>'[3]M.C UNPIV'!D73</f>
        <v>Ahmed Mosad Al shahaat</v>
      </c>
      <c r="D72" s="5" t="str">
        <f>'[3]M.C UNPIV'!E73</f>
        <v>D21_P01505</v>
      </c>
      <c r="E72" s="5" t="str">
        <f>'[3]M.C UNPIV'!F73</f>
        <v>ياسر الصعيدى</v>
      </c>
      <c r="F72" s="5" t="str">
        <f>'[3]M.C UNPIV'!G73</f>
        <v>W/s Consumer &amp; Industrial</v>
      </c>
      <c r="G72" s="6">
        <f>'[3]M.C UNPIV'!H73</f>
        <v>46197.433753159698</v>
      </c>
      <c r="H72" s="5" t="str">
        <f>'[3]M.C UNPIV'!I73</f>
        <v>D21_O_00269601</v>
      </c>
      <c r="I72" s="5">
        <f>'[3]M.C UNPIV'!J73</f>
        <v>150000</v>
      </c>
      <c r="J72" s="7">
        <f>'[3]M.C UNPIV'!K73</f>
        <v>61740</v>
      </c>
      <c r="K72" s="5">
        <f>'[3]M.C UNPIV'!L73</f>
        <v>0</v>
      </c>
      <c r="L72" s="5" t="str">
        <f>'[3]M.C UNPIV'!M73</f>
        <v>Not Due</v>
      </c>
      <c r="M72" s="6">
        <f>'[3]M.C UNPIV'!N73</f>
        <v>46208</v>
      </c>
      <c r="N72" s="5" t="str">
        <f>'[3]M.C UNPIV'!O73</f>
        <v>PASTA</v>
      </c>
      <c r="O72" s="5">
        <f>'[3]M.C UNPIV'!P73</f>
        <v>-6</v>
      </c>
    </row>
    <row r="73" spans="1:15" x14ac:dyDescent="0.25">
      <c r="A73" s="4" t="str">
        <f>'[3]M.C UNPIV'!B74</f>
        <v>Delta A</v>
      </c>
      <c r="B73" s="5" t="str">
        <f>'[3]M.C UNPIV'!C74</f>
        <v>Dakahlia - Al Yasmine</v>
      </c>
      <c r="C73" s="5" t="str">
        <f>'[3]M.C UNPIV'!D74</f>
        <v>Ahmed Mosad Al shahaat</v>
      </c>
      <c r="D73" s="5" t="str">
        <f>'[3]M.C UNPIV'!E74</f>
        <v>D21_P01511</v>
      </c>
      <c r="E73" s="5" t="str">
        <f>'[3]M.C UNPIV'!F74</f>
        <v>خالد زغلول</v>
      </c>
      <c r="F73" s="5" t="str">
        <f>'[3]M.C UNPIV'!G74</f>
        <v>W/s Consumer &amp; Industrial</v>
      </c>
      <c r="G73" s="6">
        <f>'[3]M.C UNPIV'!H74</f>
        <v>46196</v>
      </c>
      <c r="H73" s="5" t="str">
        <f>'[3]M.C UNPIV'!I74</f>
        <v>D21_O_00269423</v>
      </c>
      <c r="I73" s="5">
        <f>'[3]M.C UNPIV'!J74</f>
        <v>150000</v>
      </c>
      <c r="J73" s="7">
        <f>'[3]M.C UNPIV'!K74</f>
        <v>105000</v>
      </c>
      <c r="K73" s="5">
        <f>'[3]M.C UNPIV'!L74</f>
        <v>0</v>
      </c>
      <c r="L73" s="5" t="str">
        <f>'[3]M.C UNPIV'!M74</f>
        <v>Not Due</v>
      </c>
      <c r="M73" s="6">
        <f>'[3]M.C UNPIV'!N74</f>
        <v>46207</v>
      </c>
      <c r="N73" s="5" t="str">
        <f>'[3]M.C UNPIV'!O74</f>
        <v>PASTA</v>
      </c>
      <c r="O73" s="5">
        <f>'[3]M.C UNPIV'!P74</f>
        <v>-5</v>
      </c>
    </row>
    <row r="74" spans="1:15" x14ac:dyDescent="0.25">
      <c r="A74" s="4" t="str">
        <f>'[3]M.C UNPIV'!B75</f>
        <v>Delta A</v>
      </c>
      <c r="B74" s="5" t="str">
        <f>'[3]M.C UNPIV'!C75</f>
        <v>Dakahlia - Al Yasmine</v>
      </c>
      <c r="C74" s="5" t="str">
        <f>'[3]M.C UNPIV'!D75</f>
        <v>Ahmed Mosad Al shahaat</v>
      </c>
      <c r="D74" s="5" t="str">
        <f>'[3]M.C UNPIV'!E75</f>
        <v>D21_P01564</v>
      </c>
      <c r="E74" s="5" t="str">
        <f>'[3]M.C UNPIV'!F75</f>
        <v>خلاف</v>
      </c>
      <c r="F74" s="5" t="str">
        <f>'[3]M.C UNPIV'!G75</f>
        <v>W/s Consumer &amp; Industrial</v>
      </c>
      <c r="G74" s="6">
        <f>'[3]M.C UNPIV'!H75</f>
        <v>46181.5033436343</v>
      </c>
      <c r="H74" s="5" t="str">
        <f>'[3]M.C UNPIV'!I75</f>
        <v>D21_O_00266939</v>
      </c>
      <c r="I74" s="5">
        <f>'[3]M.C UNPIV'!J75</f>
        <v>1500000</v>
      </c>
      <c r="J74" s="7">
        <f>'[3]M.C UNPIV'!K75</f>
        <v>210000</v>
      </c>
      <c r="K74" s="5">
        <f>'[3]M.C UNPIV'!L75</f>
        <v>210000</v>
      </c>
      <c r="L74" s="5" t="str">
        <f>'[3]M.C UNPIV'!M75</f>
        <v>1 : 10 Days</v>
      </c>
      <c r="M74" s="6">
        <f>'[3]M.C UNPIV'!N75</f>
        <v>46192</v>
      </c>
      <c r="N74" s="5" t="str">
        <f>'[3]M.C UNPIV'!O75</f>
        <v>PASTA</v>
      </c>
      <c r="O74" s="5">
        <f>'[3]M.C UNPIV'!P75</f>
        <v>10</v>
      </c>
    </row>
    <row r="75" spans="1:15" x14ac:dyDescent="0.25">
      <c r="A75" s="4" t="str">
        <f>'[3]M.C UNPIV'!B76</f>
        <v>Delta A</v>
      </c>
      <c r="B75" s="5" t="str">
        <f>'[3]M.C UNPIV'!C76</f>
        <v>Dakahlia - Al Yasmine</v>
      </c>
      <c r="C75" s="5" t="str">
        <f>'[3]M.C UNPIV'!D76</f>
        <v>Ahmed Mosad Al shahaat</v>
      </c>
      <c r="D75" s="5" t="str">
        <f>'[3]M.C UNPIV'!E76</f>
        <v>D21_P01654</v>
      </c>
      <c r="E75" s="5" t="str">
        <f>'[3]M.C UNPIV'!F76</f>
        <v>مصطفى حسيب</v>
      </c>
      <c r="F75" s="5" t="str">
        <f>'[3]M.C UNPIV'!G76</f>
        <v>W/s Consumer &amp; Industrial</v>
      </c>
      <c r="G75" s="6">
        <f>'[3]M.C UNPIV'!H76</f>
        <v>46179.500696030103</v>
      </c>
      <c r="H75" s="5" t="str">
        <f>'[3]M.C UNPIV'!I76</f>
        <v>D21_O_00266427</v>
      </c>
      <c r="I75" s="5">
        <f>'[3]M.C UNPIV'!J76</f>
        <v>500000</v>
      </c>
      <c r="J75" s="7">
        <f>'[3]M.C UNPIV'!K76</f>
        <v>364620</v>
      </c>
      <c r="K75" s="5">
        <f>'[3]M.C UNPIV'!L76</f>
        <v>364620</v>
      </c>
      <c r="L75" s="5" t="str">
        <f>'[3]M.C UNPIV'!M76</f>
        <v>11 : 20 Days</v>
      </c>
      <c r="M75" s="6">
        <f>'[3]M.C UNPIV'!N76</f>
        <v>46190</v>
      </c>
      <c r="N75" s="5" t="str">
        <f>'[3]M.C UNPIV'!O76</f>
        <v>PASTA</v>
      </c>
      <c r="O75" s="5">
        <f>'[3]M.C UNPIV'!P76</f>
        <v>12</v>
      </c>
    </row>
    <row r="76" spans="1:15" x14ac:dyDescent="0.25">
      <c r="A76" s="4" t="str">
        <f>'[3]M.C UNPIV'!B77</f>
        <v>Delta A</v>
      </c>
      <c r="B76" s="5" t="str">
        <f>'[3]M.C UNPIV'!C77</f>
        <v>Dakahlia - Al Yasmine</v>
      </c>
      <c r="C76" s="5" t="str">
        <f>'[3]M.C UNPIV'!D77</f>
        <v>Ashraf El Sayed Mahmoud</v>
      </c>
      <c r="D76" s="5" t="str">
        <f>'[3]M.C UNPIV'!E77</f>
        <v>D21_M01154</v>
      </c>
      <c r="E76" s="5" t="str">
        <f>'[3]M.C UNPIV'!F77</f>
        <v>شركة الوفاق</v>
      </c>
      <c r="F76" s="5" t="str">
        <f>'[3]M.C UNPIV'!G77</f>
        <v>W/s Consumer &amp; Industrial</v>
      </c>
      <c r="G76" s="6">
        <f>'[3]M.C UNPIV'!H77</f>
        <v>46176.4131734607</v>
      </c>
      <c r="H76" s="5" t="str">
        <f>'[3]M.C UNPIV'!I77</f>
        <v>D21_O_00265886</v>
      </c>
      <c r="I76" s="5">
        <f>'[3]M.C UNPIV'!J77</f>
        <v>175000</v>
      </c>
      <c r="J76" s="7">
        <f>'[3]M.C UNPIV'!K77</f>
        <v>68329</v>
      </c>
      <c r="K76" s="5">
        <f>'[3]M.C UNPIV'!L77</f>
        <v>68329</v>
      </c>
      <c r="L76" s="5" t="str">
        <f>'[3]M.C UNPIV'!M77</f>
        <v>11 : 20 Days</v>
      </c>
      <c r="M76" s="6">
        <f>'[3]M.C UNPIV'!N77</f>
        <v>46187</v>
      </c>
      <c r="N76" s="5" t="str">
        <f>'[3]M.C UNPIV'!O77</f>
        <v>PASTA</v>
      </c>
      <c r="O76" s="5">
        <f>'[3]M.C UNPIV'!P77</f>
        <v>15</v>
      </c>
    </row>
    <row r="77" spans="1:15" x14ac:dyDescent="0.25">
      <c r="A77" s="4" t="str">
        <f>'[3]M.C UNPIV'!B78</f>
        <v>Delta A</v>
      </c>
      <c r="B77" s="5" t="str">
        <f>'[3]M.C UNPIV'!C78</f>
        <v>Dakahlia - Al Yasmine</v>
      </c>
      <c r="C77" s="5" t="str">
        <f>'[3]M.C UNPIV'!D78</f>
        <v>Ashraf El Sayed Mahmoud</v>
      </c>
      <c r="D77" s="5" t="str">
        <f>'[3]M.C UNPIV'!E78</f>
        <v>D21_M01159</v>
      </c>
      <c r="E77" s="5" t="str">
        <f>'[3]M.C UNPIV'!F78</f>
        <v>ياسر الصعيدى</v>
      </c>
      <c r="F77" s="5" t="str">
        <f>'[3]M.C UNPIV'!G78</f>
        <v>W/s Consumer &amp; Industrial</v>
      </c>
      <c r="G77" s="6">
        <f>'[3]M.C UNPIV'!H78</f>
        <v>46193.446623113399</v>
      </c>
      <c r="H77" s="5" t="str">
        <f>'[3]M.C UNPIV'!I78</f>
        <v>D21_O_00268897</v>
      </c>
      <c r="I77" s="5">
        <f>'[3]M.C UNPIV'!J78</f>
        <v>80000</v>
      </c>
      <c r="J77" s="7">
        <f>'[3]M.C UNPIV'!K78</f>
        <v>26416</v>
      </c>
      <c r="K77" s="5">
        <f>'[3]M.C UNPIV'!L78</f>
        <v>0</v>
      </c>
      <c r="L77" s="5" t="str">
        <f>'[3]M.C UNPIV'!M78</f>
        <v>Not Due</v>
      </c>
      <c r="M77" s="6">
        <f>'[3]M.C UNPIV'!N78</f>
        <v>46204</v>
      </c>
      <c r="N77" s="5" t="str">
        <f>'[3]M.C UNPIV'!O78</f>
        <v>PASTA</v>
      </c>
      <c r="O77" s="5">
        <f>'[3]M.C UNPIV'!P78</f>
        <v>-2</v>
      </c>
    </row>
    <row r="78" spans="1:15" x14ac:dyDescent="0.25">
      <c r="A78" s="4" t="str">
        <f>'[3]M.C UNPIV'!B79</f>
        <v>Delta A</v>
      </c>
      <c r="B78" s="5" t="str">
        <f>'[3]M.C UNPIV'!C79</f>
        <v>Dakahlia - Al Yasmine</v>
      </c>
      <c r="C78" s="5" t="str">
        <f>'[3]M.C UNPIV'!D79</f>
        <v>Ashraf El Sayed Mahmoud</v>
      </c>
      <c r="D78" s="5" t="str">
        <f>'[3]M.C UNPIV'!E79</f>
        <v>D21_M01190</v>
      </c>
      <c r="E78" s="5" t="str">
        <f>'[3]M.C UNPIV'!F79</f>
        <v>خالدهاشم</v>
      </c>
      <c r="F78" s="5" t="str">
        <f>'[3]M.C UNPIV'!G79</f>
        <v>W/s Consumer &amp; Industrial</v>
      </c>
      <c r="G78" s="6">
        <f>'[3]M.C UNPIV'!H79</f>
        <v>46195</v>
      </c>
      <c r="H78" s="5" t="str">
        <f>'[3]M.C UNPIV'!I79</f>
        <v>D21_O_00268364</v>
      </c>
      <c r="I78" s="5">
        <f>'[3]M.C UNPIV'!J79</f>
        <v>55000</v>
      </c>
      <c r="J78" s="7">
        <f>'[3]M.C UNPIV'!K79</f>
        <v>25000</v>
      </c>
      <c r="K78" s="5">
        <f>'[3]M.C UNPIV'!L79</f>
        <v>0</v>
      </c>
      <c r="L78" s="5" t="str">
        <f>'[3]M.C UNPIV'!M79</f>
        <v>Not Due</v>
      </c>
      <c r="M78" s="6">
        <f>'[3]M.C UNPIV'!N79</f>
        <v>46206</v>
      </c>
      <c r="N78" s="5" t="str">
        <f>'[3]M.C UNPIV'!O79</f>
        <v>PASTA</v>
      </c>
      <c r="O78" s="5">
        <f>'[3]M.C UNPIV'!P79</f>
        <v>-4</v>
      </c>
    </row>
    <row r="79" spans="1:15" x14ac:dyDescent="0.25">
      <c r="A79" s="4" t="str">
        <f>'[3]M.C UNPIV'!B80</f>
        <v>Delta A</v>
      </c>
      <c r="B79" s="5" t="str">
        <f>'[3]M.C UNPIV'!C80</f>
        <v>Dakahlia - Al Yasmine</v>
      </c>
      <c r="C79" s="5" t="str">
        <f>'[3]M.C UNPIV'!D80</f>
        <v>Ashraf El Sayed Mahmoud</v>
      </c>
      <c r="D79" s="5" t="str">
        <f>'[3]M.C UNPIV'!E80</f>
        <v>D21_M01195</v>
      </c>
      <c r="E79" s="5" t="str">
        <f>'[3]M.C UNPIV'!F80</f>
        <v>شركة مكسب للتجارة و الالكترونية</v>
      </c>
      <c r="F79" s="5" t="str">
        <f>'[3]M.C UNPIV'!G80</f>
        <v>W/s Consumer &amp; Industrial</v>
      </c>
      <c r="G79" s="6">
        <f>'[3]M.C UNPIV'!H80</f>
        <v>46201.391335451401</v>
      </c>
      <c r="H79" s="5" t="str">
        <f>'[3]M.C UNPIV'!I80</f>
        <v>D21_O_00270084</v>
      </c>
      <c r="I79" s="5">
        <f>'[3]M.C UNPIV'!J80</f>
        <v>2000000</v>
      </c>
      <c r="J79" s="7">
        <f>'[3]M.C UNPIV'!K80</f>
        <v>221032</v>
      </c>
      <c r="K79" s="5">
        <f>'[3]M.C UNPIV'!L80</f>
        <v>0</v>
      </c>
      <c r="L79" s="5" t="str">
        <f>'[3]M.C UNPIV'!M80</f>
        <v>Not Due</v>
      </c>
      <c r="M79" s="6">
        <f>'[3]M.C UNPIV'!N80</f>
        <v>46212</v>
      </c>
      <c r="N79" s="5" t="str">
        <f>'[3]M.C UNPIV'!O80</f>
        <v>PASTA</v>
      </c>
      <c r="O79" s="5">
        <f>'[3]M.C UNPIV'!P80</f>
        <v>-10</v>
      </c>
    </row>
    <row r="80" spans="1:15" x14ac:dyDescent="0.25">
      <c r="A80" s="4" t="str">
        <f>'[3]M.C UNPIV'!B81</f>
        <v>Delta A</v>
      </c>
      <c r="B80" s="5" t="str">
        <f>'[3]M.C UNPIV'!C81</f>
        <v>Dakahlia - Al Yasmine</v>
      </c>
      <c r="C80" s="5" t="str">
        <f>'[3]M.C UNPIV'!D81</f>
        <v>Ashraf El Sayed Mahmoud</v>
      </c>
      <c r="D80" s="5" t="str">
        <f>'[3]M.C UNPIV'!E81</f>
        <v>D21_M01195</v>
      </c>
      <c r="E80" s="5" t="str">
        <f>'[3]M.C UNPIV'!F81</f>
        <v>شركة مكسب للتجارة و الالكترونية</v>
      </c>
      <c r="F80" s="5" t="str">
        <f>'[3]M.C UNPIV'!G81</f>
        <v>W/s Consumer &amp; Industrial</v>
      </c>
      <c r="G80" s="6">
        <f>'[3]M.C UNPIV'!H81</f>
        <v>46201.396506597201</v>
      </c>
      <c r="H80" s="5" t="str">
        <f>'[3]M.C UNPIV'!I81</f>
        <v>D21_O_00270086</v>
      </c>
      <c r="I80" s="5">
        <f>'[3]M.C UNPIV'!J81</f>
        <v>2000000</v>
      </c>
      <c r="J80" s="7">
        <f>'[3]M.C UNPIV'!K81</f>
        <v>195820</v>
      </c>
      <c r="K80" s="5">
        <f>'[3]M.C UNPIV'!L81</f>
        <v>0</v>
      </c>
      <c r="L80" s="5" t="str">
        <f>'[3]M.C UNPIV'!M81</f>
        <v>Not Due</v>
      </c>
      <c r="M80" s="6">
        <f>'[3]M.C UNPIV'!N81</f>
        <v>46212</v>
      </c>
      <c r="N80" s="5" t="str">
        <f>'[3]M.C UNPIV'!O81</f>
        <v>PASTA</v>
      </c>
      <c r="O80" s="5">
        <f>'[3]M.C UNPIV'!P81</f>
        <v>-10</v>
      </c>
    </row>
    <row r="81" spans="1:15" x14ac:dyDescent="0.25">
      <c r="A81" s="4" t="str">
        <f>'[3]M.C UNPIV'!B82</f>
        <v>Delta A</v>
      </c>
      <c r="B81" s="5" t="str">
        <f>'[3]M.C UNPIV'!C82</f>
        <v>Dakahlia - Al Yasmine</v>
      </c>
      <c r="C81" s="5" t="str">
        <f>'[3]M.C UNPIV'!D82</f>
        <v>Ashraf El Sayed Mahmoud</v>
      </c>
      <c r="D81" s="5" t="str">
        <f>'[3]M.C UNPIV'!E82</f>
        <v>D21_M03061</v>
      </c>
      <c r="E81" s="5" t="str">
        <f>'[3]M.C UNPIV'!F82</f>
        <v>احمد الكردى</v>
      </c>
      <c r="F81" s="5" t="str">
        <f>'[3]M.C UNPIV'!G82</f>
        <v>W/s Consumer &amp; Industrial</v>
      </c>
      <c r="G81" s="6">
        <f>'[3]M.C UNPIV'!H82</f>
        <v>46179.420868831003</v>
      </c>
      <c r="H81" s="5" t="str">
        <f>'[3]M.C UNPIV'!I82</f>
        <v>D21_O_00266414</v>
      </c>
      <c r="I81" s="5">
        <f>'[3]M.C UNPIV'!J82</f>
        <v>80000</v>
      </c>
      <c r="J81" s="7">
        <f>'[3]M.C UNPIV'!K82</f>
        <v>30000</v>
      </c>
      <c r="K81" s="5">
        <f>'[3]M.C UNPIV'!L82</f>
        <v>30000</v>
      </c>
      <c r="L81" s="5" t="str">
        <f>'[3]M.C UNPIV'!M82</f>
        <v>11 : 20 Days</v>
      </c>
      <c r="M81" s="6">
        <f>'[3]M.C UNPIV'!N82</f>
        <v>46190</v>
      </c>
      <c r="N81" s="5" t="str">
        <f>'[3]M.C UNPIV'!O82</f>
        <v>PASTA</v>
      </c>
      <c r="O81" s="5">
        <f>'[3]M.C UNPIV'!P82</f>
        <v>12</v>
      </c>
    </row>
    <row r="82" spans="1:15" x14ac:dyDescent="0.25">
      <c r="A82" s="4" t="str">
        <f>'[3]M.C UNPIV'!B83</f>
        <v>Delta A</v>
      </c>
      <c r="B82" s="5" t="str">
        <f>'[3]M.C UNPIV'!C83</f>
        <v>Dakahlia - Al Yasmine</v>
      </c>
      <c r="C82" s="5" t="str">
        <f>'[3]M.C UNPIV'!D83</f>
        <v>Mahmoud Ragab Ramadan</v>
      </c>
      <c r="D82" s="5" t="str">
        <f>'[3]M.C UNPIV'!E83</f>
        <v>D21_R01559</v>
      </c>
      <c r="E82" s="5" t="str">
        <f>'[3]M.C UNPIV'!F83</f>
        <v>وكالة المنصورة</v>
      </c>
      <c r="F82" s="5" t="str">
        <f>'[3]M.C UNPIV'!G83</f>
        <v>K-Retail</v>
      </c>
      <c r="G82" s="6">
        <f>'[3]M.C UNPIV'!H83</f>
        <v>46154.521144293998</v>
      </c>
      <c r="H82" s="5" t="str">
        <f>'[3]M.C UNPIV'!I83</f>
        <v>D21_O_00262683</v>
      </c>
      <c r="I82" s="5">
        <f>'[3]M.C UNPIV'!J83</f>
        <v>4000000</v>
      </c>
      <c r="J82" s="7">
        <f>'[3]M.C UNPIV'!K83</f>
        <v>1261072.42</v>
      </c>
      <c r="K82" s="5">
        <f>'[3]M.C UNPIV'!L83</f>
        <v>1261072.42</v>
      </c>
      <c r="L82" s="5" t="str">
        <f>'[3]M.C UNPIV'!M83</f>
        <v>31 : 60 Days</v>
      </c>
      <c r="M82" s="6">
        <f>'[3]M.C UNPIV'!N83</f>
        <v>46170</v>
      </c>
      <c r="N82" s="5" t="str">
        <f>'[3]M.C UNPIV'!O83</f>
        <v>AFIA</v>
      </c>
      <c r="O82" s="5">
        <f>'[3]M.C UNPIV'!P83</f>
        <v>32</v>
      </c>
    </row>
    <row r="83" spans="1:15" x14ac:dyDescent="0.25">
      <c r="A83" s="4" t="str">
        <f>'[3]M.C UNPIV'!B84</f>
        <v>Delta A</v>
      </c>
      <c r="B83" s="5" t="str">
        <f>'[3]M.C UNPIV'!C84</f>
        <v>Dakahlia - Al Yasmine</v>
      </c>
      <c r="C83" s="5" t="str">
        <f>'[3]M.C UNPIV'!D84</f>
        <v>Mahmoud Ragab Ramadan</v>
      </c>
      <c r="D83" s="5" t="str">
        <f>'[3]M.C UNPIV'!E84</f>
        <v>D21_R01559</v>
      </c>
      <c r="E83" s="5" t="str">
        <f>'[3]M.C UNPIV'!F84</f>
        <v>وكالة المنصورة</v>
      </c>
      <c r="F83" s="5" t="str">
        <f>'[3]M.C UNPIV'!G84</f>
        <v>K-Retail</v>
      </c>
      <c r="G83" s="6">
        <f>'[3]M.C UNPIV'!H84</f>
        <v>46181.861934918998</v>
      </c>
      <c r="H83" s="5" t="str">
        <f>'[3]M.C UNPIV'!I84</f>
        <v>D21_O_00267114</v>
      </c>
      <c r="I83" s="5">
        <f>'[3]M.C UNPIV'!J84</f>
        <v>4000000</v>
      </c>
      <c r="J83" s="7">
        <f>'[3]M.C UNPIV'!K84</f>
        <v>143349.24</v>
      </c>
      <c r="K83" s="5">
        <f>'[3]M.C UNPIV'!L84</f>
        <v>143349.24</v>
      </c>
      <c r="L83" s="5" t="str">
        <f>'[3]M.C UNPIV'!M84</f>
        <v>1 : 10 Days</v>
      </c>
      <c r="M83" s="6">
        <f>'[3]M.C UNPIV'!N84</f>
        <v>46197</v>
      </c>
      <c r="N83" s="5" t="str">
        <f>'[3]M.C UNPIV'!O84</f>
        <v>AFIA</v>
      </c>
      <c r="O83" s="5">
        <f>'[3]M.C UNPIV'!P84</f>
        <v>5</v>
      </c>
    </row>
    <row r="84" spans="1:15" x14ac:dyDescent="0.25">
      <c r="A84" s="4" t="str">
        <f>'[3]M.C UNPIV'!B85</f>
        <v>Delta A</v>
      </c>
      <c r="B84" s="5" t="str">
        <f>'[3]M.C UNPIV'!C85</f>
        <v>Dakahlia - Al Yasmine</v>
      </c>
      <c r="C84" s="5" t="str">
        <f>'[3]M.C UNPIV'!D85</f>
        <v>Mahmoud Ragab Ramadan</v>
      </c>
      <c r="D84" s="5" t="str">
        <f>'[3]M.C UNPIV'!E85</f>
        <v>D21_R01559</v>
      </c>
      <c r="E84" s="5" t="str">
        <f>'[3]M.C UNPIV'!F85</f>
        <v>وكالة المنصورة</v>
      </c>
      <c r="F84" s="5" t="str">
        <f>'[3]M.C UNPIV'!G85</f>
        <v>K-Retail</v>
      </c>
      <c r="G84" s="6">
        <f>'[3]M.C UNPIV'!H85</f>
        <v>46181.878586145802</v>
      </c>
      <c r="H84" s="5" t="str">
        <f>'[3]M.C UNPIV'!I85</f>
        <v>D21_O_00267116</v>
      </c>
      <c r="I84" s="5">
        <f>'[3]M.C UNPIV'!J85</f>
        <v>4000000</v>
      </c>
      <c r="J84" s="7">
        <f>'[3]M.C UNPIV'!K85</f>
        <v>1211975.8</v>
      </c>
      <c r="K84" s="5">
        <f>'[3]M.C UNPIV'!L85</f>
        <v>1211975.8</v>
      </c>
      <c r="L84" s="5" t="str">
        <f>'[3]M.C UNPIV'!M85</f>
        <v>1 : 10 Days</v>
      </c>
      <c r="M84" s="6">
        <f>'[3]M.C UNPIV'!N85</f>
        <v>46197</v>
      </c>
      <c r="N84" s="5" t="str">
        <f>'[3]M.C UNPIV'!O85</f>
        <v>AFIA</v>
      </c>
      <c r="O84" s="5">
        <f>'[3]M.C UNPIV'!P85</f>
        <v>5</v>
      </c>
    </row>
    <row r="85" spans="1:15" x14ac:dyDescent="0.25">
      <c r="A85" s="4" t="str">
        <f>'[3]M.C UNPIV'!B86</f>
        <v>Delta A</v>
      </c>
      <c r="B85" s="5" t="str">
        <f>'[3]M.C UNPIV'!C86</f>
        <v>Dakahlia - Al Yasmine</v>
      </c>
      <c r="C85" s="5" t="str">
        <f>'[3]M.C UNPIV'!D86</f>
        <v>Mahmoud Ragab Ramadan</v>
      </c>
      <c r="D85" s="5" t="str">
        <f>'[3]M.C UNPIV'!E86</f>
        <v>D21_R01559</v>
      </c>
      <c r="E85" s="5" t="str">
        <f>'[3]M.C UNPIV'!F86</f>
        <v>وكالة المنصورة</v>
      </c>
      <c r="F85" s="5" t="str">
        <f>'[3]M.C UNPIV'!G86</f>
        <v>K-Retail</v>
      </c>
      <c r="G85" s="6">
        <f>'[3]M.C UNPIV'!H86</f>
        <v>46193.8498173958</v>
      </c>
      <c r="H85" s="5" t="str">
        <f>'[3]M.C UNPIV'!I86</f>
        <v>D21_O_00269100</v>
      </c>
      <c r="I85" s="5">
        <f>'[3]M.C UNPIV'!J86</f>
        <v>4000000</v>
      </c>
      <c r="J85" s="7">
        <f>'[3]M.C UNPIV'!K86</f>
        <v>502703.25</v>
      </c>
      <c r="K85" s="5">
        <f>'[3]M.C UNPIV'!L86</f>
        <v>0</v>
      </c>
      <c r="L85" s="5" t="str">
        <f>'[3]M.C UNPIV'!M86</f>
        <v>Not Due</v>
      </c>
      <c r="M85" s="6">
        <f>'[3]M.C UNPIV'!N86</f>
        <v>46209</v>
      </c>
      <c r="N85" s="5" t="str">
        <f>'[3]M.C UNPIV'!O86</f>
        <v>AFIA</v>
      </c>
      <c r="O85" s="5">
        <f>'[3]M.C UNPIV'!P86</f>
        <v>-7</v>
      </c>
    </row>
    <row r="86" spans="1:15" x14ac:dyDescent="0.25">
      <c r="A86" s="4" t="str">
        <f>'[3]M.C UNPIV'!B87</f>
        <v>Delta A</v>
      </c>
      <c r="B86" s="5" t="str">
        <f>'[3]M.C UNPIV'!C87</f>
        <v>Dakahlia - Al Yasmine</v>
      </c>
      <c r="C86" s="5" t="str">
        <f>'[3]M.C UNPIV'!D87</f>
        <v>Mahmoud Ragab Ramadan</v>
      </c>
      <c r="D86" s="5" t="str">
        <f>'[3]M.C UNPIV'!E87</f>
        <v>D21_R01559</v>
      </c>
      <c r="E86" s="5" t="str">
        <f>'[3]M.C UNPIV'!F87</f>
        <v>وكالة المنصورة</v>
      </c>
      <c r="F86" s="5" t="str">
        <f>'[3]M.C UNPIV'!G87</f>
        <v>K-Retail</v>
      </c>
      <c r="G86" s="6">
        <f>'[3]M.C UNPIV'!H87</f>
        <v>46196.592341319403</v>
      </c>
      <c r="H86" s="5" t="str">
        <f>'[3]M.C UNPIV'!I87</f>
        <v>D21_O_00269566</v>
      </c>
      <c r="I86" s="5">
        <f>'[3]M.C UNPIV'!J87</f>
        <v>4000000</v>
      </c>
      <c r="J86" s="7">
        <f>'[3]M.C UNPIV'!K87</f>
        <v>483813.75</v>
      </c>
      <c r="K86" s="5">
        <f>'[3]M.C UNPIV'!L87</f>
        <v>0</v>
      </c>
      <c r="L86" s="5" t="str">
        <f>'[3]M.C UNPIV'!M87</f>
        <v>Not Due</v>
      </c>
      <c r="M86" s="6">
        <f>'[3]M.C UNPIV'!N87</f>
        <v>46212</v>
      </c>
      <c r="N86" s="5" t="str">
        <f>'[3]M.C UNPIV'!O87</f>
        <v>AFIA</v>
      </c>
      <c r="O86" s="5">
        <f>'[3]M.C UNPIV'!P87</f>
        <v>-10</v>
      </c>
    </row>
    <row r="87" spans="1:15" x14ac:dyDescent="0.25">
      <c r="A87" s="4" t="str">
        <f>'[3]M.C UNPIV'!B88</f>
        <v>Delta A</v>
      </c>
      <c r="B87" s="5" t="str">
        <f>'[3]M.C UNPIV'!C88</f>
        <v>Dakahlia - Al Yasmine</v>
      </c>
      <c r="C87" s="5" t="str">
        <f>'[3]M.C UNPIV'!D88</f>
        <v>Mahmoud Ragab Ramadan</v>
      </c>
      <c r="D87" s="5" t="str">
        <f>'[3]M.C UNPIV'!E88</f>
        <v>D21_R03072</v>
      </c>
      <c r="E87" s="5" t="str">
        <f>'[3]M.C UNPIV'!F88</f>
        <v>كية اتش جملة ماركت</v>
      </c>
      <c r="F87" s="5" t="str">
        <f>'[3]M.C UNPIV'!G88</f>
        <v>K-Account</v>
      </c>
      <c r="G87" s="6">
        <f>'[3]M.C UNPIV'!H88</f>
        <v>46197.445049189802</v>
      </c>
      <c r="H87" s="5" t="str">
        <f>'[3]M.C UNPIV'!I88</f>
        <v>D21_O_00269602</v>
      </c>
      <c r="I87" s="5">
        <f>'[3]M.C UNPIV'!J88</f>
        <v>3000000</v>
      </c>
      <c r="J87" s="7">
        <f>'[3]M.C UNPIV'!K88</f>
        <v>20113.25</v>
      </c>
      <c r="K87" s="5">
        <f>'[3]M.C UNPIV'!L88</f>
        <v>0</v>
      </c>
      <c r="L87" s="5" t="str">
        <f>'[3]M.C UNPIV'!M88</f>
        <v>Not Due</v>
      </c>
      <c r="M87" s="6">
        <f>'[3]M.C UNPIV'!N88</f>
        <v>46228</v>
      </c>
      <c r="N87" s="5" t="str">
        <f>'[3]M.C UNPIV'!O88</f>
        <v>AFIA</v>
      </c>
      <c r="O87" s="5">
        <f>'[3]M.C UNPIV'!P88</f>
        <v>-26</v>
      </c>
    </row>
    <row r="88" spans="1:15" x14ac:dyDescent="0.25">
      <c r="A88" s="4" t="str">
        <f>'[3]M.C UNPIV'!B89</f>
        <v>Delta A</v>
      </c>
      <c r="B88" s="5" t="str">
        <f>'[3]M.C UNPIV'!C89</f>
        <v>Dakahlia - Al Yasmine</v>
      </c>
      <c r="C88" s="5" t="str">
        <f>'[3]M.C UNPIV'!D89</f>
        <v>Mohamed Kamel Ali - Ganna Mix</v>
      </c>
      <c r="D88" s="5" t="str">
        <f>'[3]M.C UNPIV'!E89</f>
        <v>D21_01640</v>
      </c>
      <c r="E88" s="5" t="str">
        <f>'[3]M.C UNPIV'!F89</f>
        <v>وكالة المنصورة</v>
      </c>
      <c r="F88" s="5" t="str">
        <f>'[3]M.C UNPIV'!G89</f>
        <v>K-Retail</v>
      </c>
      <c r="G88" s="6">
        <f>'[3]M.C UNPIV'!H89</f>
        <v>46154.577031168999</v>
      </c>
      <c r="H88" s="5" t="str">
        <f>'[3]M.C UNPIV'!I89</f>
        <v>D21_O_00262680</v>
      </c>
      <c r="I88" s="5">
        <f>'[3]M.C UNPIV'!J89</f>
        <v>100000</v>
      </c>
      <c r="J88" s="7">
        <f>'[3]M.C UNPIV'!K89</f>
        <v>63920.5</v>
      </c>
      <c r="K88" s="5">
        <f>'[3]M.C UNPIV'!L89</f>
        <v>63920.5</v>
      </c>
      <c r="L88" s="5" t="str">
        <f>'[3]M.C UNPIV'!M89</f>
        <v>31 : 60 Days</v>
      </c>
      <c r="M88" s="6">
        <f>'[3]M.C UNPIV'!N89</f>
        <v>46170</v>
      </c>
      <c r="N88" s="5" t="str">
        <f>'[3]M.C UNPIV'!O89</f>
        <v>AFIA</v>
      </c>
      <c r="O88" s="5">
        <f>'[3]M.C UNPIV'!P89</f>
        <v>32</v>
      </c>
    </row>
    <row r="89" spans="1:15" x14ac:dyDescent="0.25">
      <c r="A89" s="4" t="str">
        <f>'[3]M.C UNPIV'!B90</f>
        <v>Delta A</v>
      </c>
      <c r="B89" s="5" t="str">
        <f>'[3]M.C UNPIV'!C90</f>
        <v>Dakahlia - Al Yasmine</v>
      </c>
      <c r="C89" s="5" t="str">
        <f>'[3]M.C UNPIV'!D90</f>
        <v>Mohamed Kamel Ali - Ganna Mix</v>
      </c>
      <c r="D89" s="5" t="str">
        <f>'[3]M.C UNPIV'!E90</f>
        <v>D21_01678</v>
      </c>
      <c r="E89" s="5" t="str">
        <f>'[3]M.C UNPIV'!F90</f>
        <v>ميلانو</v>
      </c>
      <c r="F89" s="5" t="str">
        <f>'[3]M.C UNPIV'!G90</f>
        <v>W/s Consumer &amp; Industrial</v>
      </c>
      <c r="G89" s="6">
        <f>'[3]M.C UNPIV'!H90</f>
        <v>46201.6349184028</v>
      </c>
      <c r="H89" s="5" t="str">
        <f>'[3]M.C UNPIV'!I90</f>
        <v>D21_O_00270228</v>
      </c>
      <c r="I89" s="5">
        <f>'[3]M.C UNPIV'!J90</f>
        <v>600000</v>
      </c>
      <c r="J89" s="7">
        <f>'[3]M.C UNPIV'!K90</f>
        <v>251321</v>
      </c>
      <c r="K89" s="5">
        <f>'[3]M.C UNPIV'!L90</f>
        <v>0</v>
      </c>
      <c r="L89" s="5" t="str">
        <f>'[3]M.C UNPIV'!M90</f>
        <v>Not Due</v>
      </c>
      <c r="M89" s="6">
        <f>'[3]M.C UNPIV'!N90</f>
        <v>46212</v>
      </c>
      <c r="N89" s="5" t="str">
        <f>'[3]M.C UNPIV'!O90</f>
        <v>AFIA</v>
      </c>
      <c r="O89" s="5">
        <f>'[3]M.C UNPIV'!P90</f>
        <v>-10</v>
      </c>
    </row>
    <row r="90" spans="1:15" x14ac:dyDescent="0.25">
      <c r="A90" s="4" t="str">
        <f>'[3]M.C UNPIV'!B91</f>
        <v>Delta A</v>
      </c>
      <c r="B90" s="5" t="str">
        <f>'[3]M.C UNPIV'!C91</f>
        <v>Dakahlia - Al Yasmine</v>
      </c>
      <c r="C90" s="5" t="str">
        <f>'[3]M.C UNPIV'!D91</f>
        <v>Mohamed Mossad Fathey</v>
      </c>
      <c r="D90" s="5" t="str">
        <f>'[3]M.C UNPIV'!E91</f>
        <v>D21_M01559</v>
      </c>
      <c r="E90" s="5" t="str">
        <f>'[3]M.C UNPIV'!F91</f>
        <v>وكالة المنصورة</v>
      </c>
      <c r="F90" s="5" t="str">
        <f>'[3]M.C UNPIV'!G91</f>
        <v>K-Retail</v>
      </c>
      <c r="G90" s="6">
        <f>'[3]M.C UNPIV'!H91</f>
        <v>46181.725092905101</v>
      </c>
      <c r="H90" s="5" t="str">
        <f>'[3]M.C UNPIV'!I91</f>
        <v>D21_O_00267112</v>
      </c>
      <c r="I90" s="5">
        <f>'[3]M.C UNPIV'!J91</f>
        <v>1750000</v>
      </c>
      <c r="J90" s="7">
        <f>'[3]M.C UNPIV'!K91</f>
        <v>456966.68</v>
      </c>
      <c r="K90" s="5">
        <f>'[3]M.C UNPIV'!L91</f>
        <v>456966.68</v>
      </c>
      <c r="L90" s="5" t="str">
        <f>'[3]M.C UNPIV'!M91</f>
        <v>1 : 10 Days</v>
      </c>
      <c r="M90" s="6">
        <f>'[3]M.C UNPIV'!N91</f>
        <v>46197</v>
      </c>
      <c r="N90" s="5" t="str">
        <f>'[3]M.C UNPIV'!O91</f>
        <v>PASTA</v>
      </c>
      <c r="O90" s="5">
        <f>'[3]M.C UNPIV'!P91</f>
        <v>5</v>
      </c>
    </row>
    <row r="91" spans="1:15" x14ac:dyDescent="0.25">
      <c r="A91" s="4" t="str">
        <f>'[3]M.C UNPIV'!B92</f>
        <v>Delta A</v>
      </c>
      <c r="B91" s="5" t="str">
        <f>'[3]M.C UNPIV'!C92</f>
        <v>Dakahlia - Al Yasmine</v>
      </c>
      <c r="C91" s="5" t="str">
        <f>'[3]M.C UNPIV'!D92</f>
        <v>Mohamed Mossad Fathey</v>
      </c>
      <c r="D91" s="5" t="str">
        <f>'[3]M.C UNPIV'!E92</f>
        <v>D21_M01559</v>
      </c>
      <c r="E91" s="5" t="str">
        <f>'[3]M.C UNPIV'!F92</f>
        <v>وكالة المنصورة</v>
      </c>
      <c r="F91" s="5" t="str">
        <f>'[3]M.C UNPIV'!G92</f>
        <v>K-Retail</v>
      </c>
      <c r="G91" s="6">
        <f>'[3]M.C UNPIV'!H92</f>
        <v>46193.749976122701</v>
      </c>
      <c r="H91" s="5" t="str">
        <f>'[3]M.C UNPIV'!I92</f>
        <v>D21_O_00269094</v>
      </c>
      <c r="I91" s="5">
        <f>'[3]M.C UNPIV'!J92</f>
        <v>1750000</v>
      </c>
      <c r="J91" s="7">
        <f>'[3]M.C UNPIV'!K92</f>
        <v>238319.02</v>
      </c>
      <c r="K91" s="5">
        <f>'[3]M.C UNPIV'!L92</f>
        <v>0</v>
      </c>
      <c r="L91" s="5" t="str">
        <f>'[3]M.C UNPIV'!M92</f>
        <v>Not Due</v>
      </c>
      <c r="M91" s="6">
        <f>'[3]M.C UNPIV'!N92</f>
        <v>46209</v>
      </c>
      <c r="N91" s="5" t="str">
        <f>'[3]M.C UNPIV'!O92</f>
        <v>PASTA</v>
      </c>
      <c r="O91" s="5">
        <f>'[3]M.C UNPIV'!P92</f>
        <v>-7</v>
      </c>
    </row>
    <row r="92" spans="1:15" x14ac:dyDescent="0.25">
      <c r="A92" s="4" t="str">
        <f>'[3]M.C UNPIV'!B93</f>
        <v>Delta A</v>
      </c>
      <c r="B92" s="5" t="str">
        <f>'[3]M.C UNPIV'!C93</f>
        <v>Dakahlia - Al Yasmine</v>
      </c>
      <c r="C92" s="5" t="str">
        <f>'[3]M.C UNPIV'!D93</f>
        <v>Mohamed Mossad Fathey</v>
      </c>
      <c r="D92" s="5" t="str">
        <f>'[3]M.C UNPIV'!E93</f>
        <v>D21_M01559</v>
      </c>
      <c r="E92" s="5" t="str">
        <f>'[3]M.C UNPIV'!F93</f>
        <v>وكالة المنصورة</v>
      </c>
      <c r="F92" s="5" t="str">
        <f>'[3]M.C UNPIV'!G93</f>
        <v>K-Retail</v>
      </c>
      <c r="G92" s="6">
        <f>'[3]M.C UNPIV'!H93</f>
        <v>46196.511800775501</v>
      </c>
      <c r="H92" s="5" t="str">
        <f>'[3]M.C UNPIV'!I93</f>
        <v>D21_O_00269489</v>
      </c>
      <c r="I92" s="5">
        <f>'[3]M.C UNPIV'!J93</f>
        <v>1750000</v>
      </c>
      <c r="J92" s="7">
        <f>'[3]M.C UNPIV'!K93</f>
        <v>252449.42</v>
      </c>
      <c r="K92" s="5">
        <f>'[3]M.C UNPIV'!L93</f>
        <v>0</v>
      </c>
      <c r="L92" s="5" t="str">
        <f>'[3]M.C UNPIV'!M93</f>
        <v>Not Due</v>
      </c>
      <c r="M92" s="6">
        <f>'[3]M.C UNPIV'!N93</f>
        <v>46212</v>
      </c>
      <c r="N92" s="5" t="str">
        <f>'[3]M.C UNPIV'!O93</f>
        <v>PASTA</v>
      </c>
      <c r="O92" s="5">
        <f>'[3]M.C UNPIV'!P93</f>
        <v>-10</v>
      </c>
    </row>
    <row r="93" spans="1:15" x14ac:dyDescent="0.25">
      <c r="A93" s="4" t="str">
        <f>'[3]M.C UNPIV'!B94</f>
        <v>Delta A</v>
      </c>
      <c r="B93" s="5" t="str">
        <f>'[3]M.C UNPIV'!C94</f>
        <v>Dakahlia - Al Yasmine</v>
      </c>
      <c r="C93" s="5" t="str">
        <f>'[3]M.C UNPIV'!D94</f>
        <v>Mohamed Mounir Mohamed - Koshary</v>
      </c>
      <c r="D93" s="5" t="str">
        <f>'[3]M.C UNPIV'!E94</f>
        <v>D21_P01524</v>
      </c>
      <c r="E93" s="5" t="str">
        <f>'[3]M.C UNPIV'!F94</f>
        <v>كشري السندباد</v>
      </c>
      <c r="F93" s="5" t="str">
        <f>'[3]M.C UNPIV'!G94</f>
        <v>W/s Consumer &amp; Industrial</v>
      </c>
      <c r="G93" s="6">
        <f>'[3]M.C UNPIV'!H94</f>
        <v>46183</v>
      </c>
      <c r="H93" s="5" t="str">
        <f>'[3]M.C UNPIV'!I94</f>
        <v>D21_O_00267572</v>
      </c>
      <c r="I93" s="5">
        <f>'[3]M.C UNPIV'!J94</f>
        <v>75000</v>
      </c>
      <c r="J93" s="7">
        <f>'[3]M.C UNPIV'!K94</f>
        <v>68625</v>
      </c>
      <c r="K93" s="5">
        <f>'[3]M.C UNPIV'!L94</f>
        <v>68625</v>
      </c>
      <c r="L93" s="5" t="str">
        <f>'[3]M.C UNPIV'!M94</f>
        <v>1 : 10 Days</v>
      </c>
      <c r="M93" s="6">
        <f>'[3]M.C UNPIV'!N94</f>
        <v>46194</v>
      </c>
      <c r="N93" s="5" t="str">
        <f>'[3]M.C UNPIV'!O94</f>
        <v>PASTA</v>
      </c>
      <c r="O93" s="5">
        <f>'[3]M.C UNPIV'!P94</f>
        <v>8</v>
      </c>
    </row>
    <row r="94" spans="1:15" x14ac:dyDescent="0.25">
      <c r="A94" s="4" t="str">
        <f>'[3]M.C UNPIV'!B95</f>
        <v>Delta A</v>
      </c>
      <c r="B94" s="5" t="str">
        <f>'[3]M.C UNPIV'!C95</f>
        <v>Dakahlia - Al Yasmine</v>
      </c>
      <c r="C94" s="5" t="str">
        <f>'[3]M.C UNPIV'!D95</f>
        <v>Mohamed Mounir Mohamed - Koshary</v>
      </c>
      <c r="D94" s="5" t="str">
        <f>'[3]M.C UNPIV'!E95</f>
        <v>D21_P01641</v>
      </c>
      <c r="E94" s="5" t="str">
        <f>'[3]M.C UNPIV'!F95</f>
        <v>كشرى الثوره 2</v>
      </c>
      <c r="F94" s="5" t="str">
        <f>'[3]M.C UNPIV'!G95</f>
        <v>W/s Consumer &amp; Industrial</v>
      </c>
      <c r="G94" s="6">
        <f>'[3]M.C UNPIV'!H95</f>
        <v>46196</v>
      </c>
      <c r="H94" s="5" t="str">
        <f>'[3]M.C UNPIV'!I95</f>
        <v>D21_O_00269037</v>
      </c>
      <c r="I94" s="5">
        <f>'[3]M.C UNPIV'!J95</f>
        <v>700000</v>
      </c>
      <c r="J94" s="7">
        <f>'[3]M.C UNPIV'!K95</f>
        <v>669000</v>
      </c>
      <c r="K94" s="5">
        <f>'[3]M.C UNPIV'!L95</f>
        <v>0</v>
      </c>
      <c r="L94" s="5" t="str">
        <f>'[3]M.C UNPIV'!M95</f>
        <v>Not Due</v>
      </c>
      <c r="M94" s="6">
        <f>'[3]M.C UNPIV'!N95</f>
        <v>46207</v>
      </c>
      <c r="N94" s="5" t="str">
        <f>'[3]M.C UNPIV'!O95</f>
        <v>PASTA</v>
      </c>
      <c r="O94" s="5">
        <f>'[3]M.C UNPIV'!P95</f>
        <v>-5</v>
      </c>
    </row>
    <row r="95" spans="1:15" x14ac:dyDescent="0.25">
      <c r="A95" s="4" t="str">
        <f>'[3]M.C UNPIV'!B96</f>
        <v>Delta A</v>
      </c>
      <c r="B95" s="5" t="str">
        <f>'[3]M.C UNPIV'!C96</f>
        <v>Dakahlia - Al Yasmine</v>
      </c>
      <c r="C95" s="5" t="str">
        <f>'[3]M.C UNPIV'!D96</f>
        <v>Samir Ashraf Mahmoud</v>
      </c>
      <c r="D95" s="5" t="str">
        <f>'[3]M.C UNPIV'!E96</f>
        <v>D21_G01195</v>
      </c>
      <c r="E95" s="5" t="str">
        <f>'[3]M.C UNPIV'!F96</f>
        <v>شركة مكسب للتجارة و الالكترونية</v>
      </c>
      <c r="F95" s="5" t="str">
        <f>'[3]M.C UNPIV'!G96</f>
        <v>W/s Consumer &amp; Industrial</v>
      </c>
      <c r="G95" s="6">
        <f>'[3]M.C UNPIV'!H96</f>
        <v>46190</v>
      </c>
      <c r="H95" s="5" t="str">
        <f>'[3]M.C UNPIV'!I96</f>
        <v>D21_O_00268527</v>
      </c>
      <c r="I95" s="5">
        <f>'[3]M.C UNPIV'!J96</f>
        <v>1500000</v>
      </c>
      <c r="J95" s="7">
        <f>'[3]M.C UNPIV'!K96</f>
        <v>58677.75</v>
      </c>
      <c r="K95" s="5">
        <f>'[3]M.C UNPIV'!L96</f>
        <v>58677.75</v>
      </c>
      <c r="L95" s="5" t="str">
        <f>'[3]M.C UNPIV'!M96</f>
        <v>1 : 10 Days</v>
      </c>
      <c r="M95" s="6">
        <f>'[3]M.C UNPIV'!N96</f>
        <v>46201</v>
      </c>
      <c r="N95" s="5" t="str">
        <f>'[3]M.C UNPIV'!O96</f>
        <v>AFIA</v>
      </c>
      <c r="O95" s="5">
        <f>'[3]M.C UNPIV'!P96</f>
        <v>1</v>
      </c>
    </row>
    <row r="96" spans="1:15" x14ac:dyDescent="0.25">
      <c r="A96" s="4" t="str">
        <f>'[3]M.C UNPIV'!B97</f>
        <v>Delta A</v>
      </c>
      <c r="B96" s="5" t="str">
        <f>'[3]M.C UNPIV'!C97</f>
        <v>Dakahlia - Al Yasmine</v>
      </c>
      <c r="C96" s="5" t="str">
        <f>'[3]M.C UNPIV'!D97</f>
        <v>Samir Ashraf Mahmoud</v>
      </c>
      <c r="D96" s="5" t="str">
        <f>'[3]M.C UNPIV'!E97</f>
        <v>D21_G01195</v>
      </c>
      <c r="E96" s="5" t="str">
        <f>'[3]M.C UNPIV'!F97</f>
        <v>شركة مكسب للتجارة و الالكترونية</v>
      </c>
      <c r="F96" s="5" t="str">
        <f>'[3]M.C UNPIV'!G97</f>
        <v>W/s Consumer &amp; Industrial</v>
      </c>
      <c r="G96" s="6">
        <f>'[3]M.C UNPIV'!H97</f>
        <v>46194</v>
      </c>
      <c r="H96" s="5" t="str">
        <f>'[3]M.C UNPIV'!I97</f>
        <v>D21_O_00269086</v>
      </c>
      <c r="I96" s="5">
        <f>'[3]M.C UNPIV'!J97</f>
        <v>1500000</v>
      </c>
      <c r="J96" s="7">
        <f>'[3]M.C UNPIV'!K97</f>
        <v>54402</v>
      </c>
      <c r="K96" s="5">
        <f>'[3]M.C UNPIV'!L97</f>
        <v>0</v>
      </c>
      <c r="L96" s="5" t="str">
        <f>'[3]M.C UNPIV'!M97</f>
        <v>Not Due</v>
      </c>
      <c r="M96" s="6">
        <f>'[3]M.C UNPIV'!N97</f>
        <v>46205</v>
      </c>
      <c r="N96" s="5" t="str">
        <f>'[3]M.C UNPIV'!O97</f>
        <v>AFIA</v>
      </c>
      <c r="O96" s="5">
        <f>'[3]M.C UNPIV'!P97</f>
        <v>-3</v>
      </c>
    </row>
    <row r="97" spans="1:15" x14ac:dyDescent="0.25">
      <c r="A97" s="4" t="str">
        <f>'[3]M.C UNPIV'!B98</f>
        <v>Delta A</v>
      </c>
      <c r="B97" s="5" t="str">
        <f>'[3]M.C UNPIV'!C98</f>
        <v>Dakahlia - Al Yasmine</v>
      </c>
      <c r="C97" s="5" t="str">
        <f>'[3]M.C UNPIV'!D98</f>
        <v>Samir Ashraf Mahmoud</v>
      </c>
      <c r="D97" s="5" t="str">
        <f>'[3]M.C UNPIV'!E98</f>
        <v>D21_G01195</v>
      </c>
      <c r="E97" s="5" t="str">
        <f>'[3]M.C UNPIV'!F98</f>
        <v>شركة مكسب للتجارة و الالكترونية</v>
      </c>
      <c r="F97" s="5" t="str">
        <f>'[3]M.C UNPIV'!G98</f>
        <v>W/s Consumer &amp; Industrial</v>
      </c>
      <c r="G97" s="6">
        <f>'[3]M.C UNPIV'!H98</f>
        <v>46194</v>
      </c>
      <c r="H97" s="5" t="str">
        <f>'[3]M.C UNPIV'!I98</f>
        <v>D21_O_00269089</v>
      </c>
      <c r="I97" s="5">
        <f>'[3]M.C UNPIV'!J98</f>
        <v>1500000</v>
      </c>
      <c r="J97" s="7">
        <f>'[3]M.C UNPIV'!K98</f>
        <v>72461.94</v>
      </c>
      <c r="K97" s="5">
        <f>'[3]M.C UNPIV'!L98</f>
        <v>0</v>
      </c>
      <c r="L97" s="5" t="str">
        <f>'[3]M.C UNPIV'!M98</f>
        <v>Not Due</v>
      </c>
      <c r="M97" s="6">
        <f>'[3]M.C UNPIV'!N98</f>
        <v>46205</v>
      </c>
      <c r="N97" s="5" t="str">
        <f>'[3]M.C UNPIV'!O98</f>
        <v>AFIA</v>
      </c>
      <c r="O97" s="5">
        <f>'[3]M.C UNPIV'!P98</f>
        <v>-3</v>
      </c>
    </row>
    <row r="98" spans="1:15" x14ac:dyDescent="0.25">
      <c r="A98" s="4" t="str">
        <f>'[3]M.C UNPIV'!B99</f>
        <v>Delta A</v>
      </c>
      <c r="B98" s="5" t="str">
        <f>'[3]M.C UNPIV'!C99</f>
        <v>Dakahlia - Al Yasmine</v>
      </c>
      <c r="C98" s="5" t="str">
        <f>'[3]M.C UNPIV'!D99</f>
        <v>Samir Ashraf Mahmoud</v>
      </c>
      <c r="D98" s="5" t="str">
        <f>'[3]M.C UNPIV'!E99</f>
        <v>D21_G01195</v>
      </c>
      <c r="E98" s="5" t="str">
        <f>'[3]M.C UNPIV'!F99</f>
        <v>شركة مكسب للتجارة و الالكترونية</v>
      </c>
      <c r="F98" s="5" t="str">
        <f>'[3]M.C UNPIV'!G99</f>
        <v>W/s Consumer &amp; Industrial</v>
      </c>
      <c r="G98" s="6">
        <f>'[3]M.C UNPIV'!H99</f>
        <v>46201</v>
      </c>
      <c r="H98" s="5" t="str">
        <f>'[3]M.C UNPIV'!I99</f>
        <v>D21_O_00258531</v>
      </c>
      <c r="I98" s="5">
        <f>'[3]M.C UNPIV'!J99</f>
        <v>1500000</v>
      </c>
      <c r="J98" s="7">
        <f>'[3]M.C UNPIV'!K99</f>
        <v>183976.63</v>
      </c>
      <c r="K98" s="5">
        <f>'[3]M.C UNPIV'!L99</f>
        <v>0</v>
      </c>
      <c r="L98" s="5" t="str">
        <f>'[3]M.C UNPIV'!M99</f>
        <v>Not Due</v>
      </c>
      <c r="M98" s="6">
        <f>'[3]M.C UNPIV'!N99</f>
        <v>46212</v>
      </c>
      <c r="N98" s="5" t="str">
        <f>'[3]M.C UNPIV'!O99</f>
        <v>AFIA</v>
      </c>
      <c r="O98" s="5">
        <f>'[3]M.C UNPIV'!P99</f>
        <v>-10</v>
      </c>
    </row>
    <row r="99" spans="1:15" x14ac:dyDescent="0.25">
      <c r="A99" s="4" t="str">
        <f>'[3]M.C UNPIV'!B100</f>
        <v>Delta A</v>
      </c>
      <c r="B99" s="5" t="str">
        <f>'[3]M.C UNPIV'!C100</f>
        <v>Dakahlia - Al Yasmine</v>
      </c>
      <c r="C99" s="5" t="str">
        <f>'[3]M.C UNPIV'!D100</f>
        <v>Samir Ashraf Mahmoud</v>
      </c>
      <c r="D99" s="5" t="str">
        <f>'[3]M.C UNPIV'!E100</f>
        <v>D21_G02347</v>
      </c>
      <c r="E99" s="5" t="str">
        <f>'[3]M.C UNPIV'!F100</f>
        <v>مصطفى حسيب</v>
      </c>
      <c r="F99" s="5" t="str">
        <f>'[3]M.C UNPIV'!G100</f>
        <v>W/s Consumer &amp; Industrial</v>
      </c>
      <c r="G99" s="6">
        <f>'[3]M.C UNPIV'!H100</f>
        <v>46081.670436770801</v>
      </c>
      <c r="H99" s="5" t="str">
        <f>'[3]M.C UNPIV'!I100</f>
        <v>D21_O_00250727</v>
      </c>
      <c r="I99" s="5">
        <f>'[3]M.C UNPIV'!J100</f>
        <v>10000000</v>
      </c>
      <c r="J99" s="7">
        <f>'[3]M.C UNPIV'!K100</f>
        <v>1219556.58</v>
      </c>
      <c r="K99" s="5">
        <f>'[3]M.C UNPIV'!L100</f>
        <v>1219556.58</v>
      </c>
      <c r="L99" s="5" t="str">
        <f>'[3]M.C UNPIV'!M100</f>
        <v>61 : 120 Days</v>
      </c>
      <c r="M99" s="6">
        <f>'[3]M.C UNPIV'!N100</f>
        <v>46097</v>
      </c>
      <c r="N99" s="5" t="str">
        <f>'[3]M.C UNPIV'!O100</f>
        <v>AFIA</v>
      </c>
      <c r="O99" s="5">
        <f>'[3]M.C UNPIV'!P100</f>
        <v>105</v>
      </c>
    </row>
    <row r="100" spans="1:15" x14ac:dyDescent="0.25">
      <c r="A100" s="4" t="str">
        <f>'[3]M.C UNPIV'!B101</f>
        <v>Delta A</v>
      </c>
      <c r="B100" s="5" t="str">
        <f>'[3]M.C UNPIV'!C101</f>
        <v>Dakahlia - Al Yasmine</v>
      </c>
      <c r="C100" s="5" t="str">
        <f>'[3]M.C UNPIV'!D101</f>
        <v>Samir Ashraf Mahmoud</v>
      </c>
      <c r="D100" s="5" t="str">
        <f>'[3]M.C UNPIV'!E101</f>
        <v>D21_G02347</v>
      </c>
      <c r="E100" s="5" t="str">
        <f>'[3]M.C UNPIV'!F101</f>
        <v>مصطفى حسيب</v>
      </c>
      <c r="F100" s="5" t="str">
        <f>'[3]M.C UNPIV'!G101</f>
        <v>W/s Consumer &amp; Industrial</v>
      </c>
      <c r="G100" s="6">
        <f>'[3]M.C UNPIV'!H101</f>
        <v>46088.969087187499</v>
      </c>
      <c r="H100" s="5" t="str">
        <f>'[3]M.C UNPIV'!I101</f>
        <v>D21_O_00252359</v>
      </c>
      <c r="I100" s="5">
        <f>'[3]M.C UNPIV'!J101</f>
        <v>10000000</v>
      </c>
      <c r="J100" s="7">
        <f>'[3]M.C UNPIV'!K101</f>
        <v>7963401.2400000002</v>
      </c>
      <c r="K100" s="5">
        <f>'[3]M.C UNPIV'!L101</f>
        <v>7963401.2400000002</v>
      </c>
      <c r="L100" s="5" t="str">
        <f>'[3]M.C UNPIV'!M101</f>
        <v>61 : 120 Days</v>
      </c>
      <c r="M100" s="6">
        <f>'[3]M.C UNPIV'!N101</f>
        <v>46104</v>
      </c>
      <c r="N100" s="5" t="str">
        <f>'[3]M.C UNPIV'!O101</f>
        <v>AFIA</v>
      </c>
      <c r="O100" s="5">
        <f>'[3]M.C UNPIV'!P101</f>
        <v>98</v>
      </c>
    </row>
    <row r="101" spans="1:15" x14ac:dyDescent="0.25">
      <c r="A101" s="4" t="str">
        <f>'[3]M.C UNPIV'!B102</f>
        <v>Delta A</v>
      </c>
      <c r="B101" s="5" t="str">
        <f>'[3]M.C UNPIV'!C102</f>
        <v>Dakahlia - Al Yasmine</v>
      </c>
      <c r="C101" s="5" t="str">
        <f>'[3]M.C UNPIV'!D102</f>
        <v>Samir Ashraf Mahmoud</v>
      </c>
      <c r="D101" s="5" t="str">
        <f>'[3]M.C UNPIV'!E102</f>
        <v>D21_G02347</v>
      </c>
      <c r="E101" s="5" t="str">
        <f>'[3]M.C UNPIV'!F102</f>
        <v>مصطفى حسيب</v>
      </c>
      <c r="F101" s="5" t="str">
        <f>'[3]M.C UNPIV'!G102</f>
        <v>W/s Consumer &amp; Industrial</v>
      </c>
      <c r="G101" s="6">
        <f>'[3]M.C UNPIV'!H102</f>
        <v>46179.476179664402</v>
      </c>
      <c r="H101" s="5" t="str">
        <f>'[3]M.C UNPIV'!I102</f>
        <v>D21_O_00266424</v>
      </c>
      <c r="I101" s="5">
        <f>'[3]M.C UNPIV'!J102</f>
        <v>10000000</v>
      </c>
      <c r="J101" s="7">
        <f>'[3]M.C UNPIV'!K102</f>
        <v>311600</v>
      </c>
      <c r="K101" s="5">
        <f>'[3]M.C UNPIV'!L102</f>
        <v>311600</v>
      </c>
      <c r="L101" s="5" t="str">
        <f>'[3]M.C UNPIV'!M102</f>
        <v>11 : 20 Days</v>
      </c>
      <c r="M101" s="6">
        <f>'[3]M.C UNPIV'!N102</f>
        <v>46190</v>
      </c>
      <c r="N101" s="5" t="str">
        <f>'[3]M.C UNPIV'!O102</f>
        <v>AFIA</v>
      </c>
      <c r="O101" s="5">
        <f>'[3]M.C UNPIV'!P102</f>
        <v>12</v>
      </c>
    </row>
    <row r="102" spans="1:15" x14ac:dyDescent="0.25">
      <c r="A102" s="4" t="str">
        <f>'[3]M.C UNPIV'!B103</f>
        <v>Delta A</v>
      </c>
      <c r="B102" s="5" t="str">
        <f>'[3]M.C UNPIV'!C103</f>
        <v>Dakahlia - Al Yasmine</v>
      </c>
      <c r="C102" s="5" t="str">
        <f>'[3]M.C UNPIV'!D103</f>
        <v>Samir Ashraf Mahmoud</v>
      </c>
      <c r="D102" s="5" t="str">
        <f>'[3]M.C UNPIV'!E103</f>
        <v>D21_G02347</v>
      </c>
      <c r="E102" s="5" t="str">
        <f>'[3]M.C UNPIV'!F103</f>
        <v>مصطفى حسيب</v>
      </c>
      <c r="F102" s="5" t="str">
        <f>'[3]M.C UNPIV'!G103</f>
        <v>W/s Consumer &amp; Industrial</v>
      </c>
      <c r="G102" s="6">
        <f>'[3]M.C UNPIV'!H103</f>
        <v>46182.521045219903</v>
      </c>
      <c r="H102" s="5" t="str">
        <f>'[3]M.C UNPIV'!I103</f>
        <v>D21_O_00267163</v>
      </c>
      <c r="I102" s="5">
        <f>'[3]M.C UNPIV'!J103</f>
        <v>10000000</v>
      </c>
      <c r="J102" s="7">
        <f>'[3]M.C UNPIV'!K103</f>
        <v>79092.37</v>
      </c>
      <c r="K102" s="5">
        <f>'[3]M.C UNPIV'!L103</f>
        <v>79092.37</v>
      </c>
      <c r="L102" s="5" t="str">
        <f>'[3]M.C UNPIV'!M103</f>
        <v>1 : 10 Days</v>
      </c>
      <c r="M102" s="6">
        <f>'[3]M.C UNPIV'!N103</f>
        <v>46193</v>
      </c>
      <c r="N102" s="5" t="str">
        <f>'[3]M.C UNPIV'!O103</f>
        <v>AFIA</v>
      </c>
      <c r="O102" s="5">
        <f>'[3]M.C UNPIV'!P103</f>
        <v>9</v>
      </c>
    </row>
    <row r="103" spans="1:15" x14ac:dyDescent="0.25">
      <c r="A103" s="4" t="str">
        <f>'[3]M.C UNPIV'!B104</f>
        <v>Delta A</v>
      </c>
      <c r="B103" s="5" t="str">
        <f>'[3]M.C UNPIV'!C104</f>
        <v>Dakahlia - Al Yasmine</v>
      </c>
      <c r="C103" s="5" t="str">
        <f>'[3]M.C UNPIV'!D104</f>
        <v>Samir Ashraf Mahmoud</v>
      </c>
      <c r="D103" s="5" t="str">
        <f>'[3]M.C UNPIV'!E104</f>
        <v>D21_G02347</v>
      </c>
      <c r="E103" s="5" t="str">
        <f>'[3]M.C UNPIV'!F104</f>
        <v>مصطفى حسيب</v>
      </c>
      <c r="F103" s="5" t="str">
        <f>'[3]M.C UNPIV'!G104</f>
        <v>W/s Consumer &amp; Industrial</v>
      </c>
      <c r="G103" s="6">
        <f>'[3]M.C UNPIV'!H104</f>
        <v>46184.445903703701</v>
      </c>
      <c r="H103" s="5" t="str">
        <f>'[3]M.C UNPIV'!I104</f>
        <v>D21_O_00267589</v>
      </c>
      <c r="I103" s="5">
        <f>'[3]M.C UNPIV'!J104</f>
        <v>10000000</v>
      </c>
      <c r="J103" s="7">
        <f>'[3]M.C UNPIV'!K104</f>
        <v>121643.48</v>
      </c>
      <c r="K103" s="5">
        <f>'[3]M.C UNPIV'!L104</f>
        <v>121643.48</v>
      </c>
      <c r="L103" s="5" t="str">
        <f>'[3]M.C UNPIV'!M104</f>
        <v>1 : 10 Days</v>
      </c>
      <c r="M103" s="6">
        <f>'[3]M.C UNPIV'!N104</f>
        <v>46195</v>
      </c>
      <c r="N103" s="5" t="str">
        <f>'[3]M.C UNPIV'!O104</f>
        <v>AFIA</v>
      </c>
      <c r="O103" s="5">
        <f>'[3]M.C UNPIV'!P104</f>
        <v>7</v>
      </c>
    </row>
    <row r="104" spans="1:15" x14ac:dyDescent="0.25">
      <c r="A104" s="4" t="str">
        <f>'[3]M.C UNPIV'!B105</f>
        <v>Delta A</v>
      </c>
      <c r="B104" s="5" t="str">
        <f>'[3]M.C UNPIV'!C105</f>
        <v>Dakahlia - Al Yasmine</v>
      </c>
      <c r="C104" s="5" t="str">
        <f>'[3]M.C UNPIV'!D105</f>
        <v>Samir Ashraf Mahmoud</v>
      </c>
      <c r="D104" s="5" t="str">
        <f>'[3]M.C UNPIV'!E105</f>
        <v>D21_G02347</v>
      </c>
      <c r="E104" s="5" t="str">
        <f>'[3]M.C UNPIV'!F105</f>
        <v>مصطفى حسيب</v>
      </c>
      <c r="F104" s="5" t="str">
        <f>'[3]M.C UNPIV'!G105</f>
        <v>W/s Consumer &amp; Industrial</v>
      </c>
      <c r="G104" s="6">
        <f>'[3]M.C UNPIV'!H105</f>
        <v>46190.512163310203</v>
      </c>
      <c r="H104" s="5" t="str">
        <f>'[3]M.C UNPIV'!I105</f>
        <v>D21_O_00268560</v>
      </c>
      <c r="I104" s="5">
        <f>'[3]M.C UNPIV'!J105</f>
        <v>10000000</v>
      </c>
      <c r="J104" s="7">
        <f>'[3]M.C UNPIV'!K105</f>
        <v>115996.25</v>
      </c>
      <c r="K104" s="5">
        <f>'[3]M.C UNPIV'!L105</f>
        <v>115996.25</v>
      </c>
      <c r="L104" s="5" t="str">
        <f>'[3]M.C UNPIV'!M105</f>
        <v>1 : 10 Days</v>
      </c>
      <c r="M104" s="6">
        <f>'[3]M.C UNPIV'!N105</f>
        <v>46201</v>
      </c>
      <c r="N104" s="5" t="str">
        <f>'[3]M.C UNPIV'!O105</f>
        <v>AFIA</v>
      </c>
      <c r="O104" s="5">
        <f>'[3]M.C UNPIV'!P105</f>
        <v>1</v>
      </c>
    </row>
    <row r="105" spans="1:15" x14ac:dyDescent="0.25">
      <c r="A105" s="4" t="str">
        <f>'[3]M.C UNPIV'!B106</f>
        <v>Delta A</v>
      </c>
      <c r="B105" s="5" t="str">
        <f>'[3]M.C UNPIV'!C106</f>
        <v>Dakahlia - Al Yasmine</v>
      </c>
      <c r="C105" s="5" t="str">
        <f>'[3]M.C UNPIV'!D106</f>
        <v>Samir Ashraf Mahmoud</v>
      </c>
      <c r="D105" s="5" t="str">
        <f>'[3]M.C UNPIV'!E106</f>
        <v>D21_G02347</v>
      </c>
      <c r="E105" s="5" t="str">
        <f>'[3]M.C UNPIV'!F106</f>
        <v>مصطفى حسيب</v>
      </c>
      <c r="F105" s="5" t="str">
        <f>'[3]M.C UNPIV'!G106</f>
        <v>W/s Consumer &amp; Industrial</v>
      </c>
      <c r="G105" s="6">
        <f>'[3]M.C UNPIV'!H106</f>
        <v>46191.538906018497</v>
      </c>
      <c r="H105" s="5" t="str">
        <f>'[3]M.C UNPIV'!I106</f>
        <v>D21_O_00268756</v>
      </c>
      <c r="I105" s="5">
        <f>'[3]M.C UNPIV'!J106</f>
        <v>10000000</v>
      </c>
      <c r="J105" s="7">
        <f>'[3]M.C UNPIV'!K106</f>
        <v>116032</v>
      </c>
      <c r="K105" s="5">
        <f>'[3]M.C UNPIV'!L106</f>
        <v>0</v>
      </c>
      <c r="L105" s="5" t="str">
        <f>'[3]M.C UNPIV'!M106</f>
        <v>Not Due</v>
      </c>
      <c r="M105" s="6">
        <f>'[3]M.C UNPIV'!N106</f>
        <v>46202</v>
      </c>
      <c r="N105" s="5" t="str">
        <f>'[3]M.C UNPIV'!O106</f>
        <v>AFIA</v>
      </c>
      <c r="O105" s="5">
        <f>'[3]M.C UNPIV'!P106</f>
        <v>0</v>
      </c>
    </row>
    <row r="106" spans="1:15" x14ac:dyDescent="0.25">
      <c r="A106" s="4" t="str">
        <f>'[3]M.C UNPIV'!B107</f>
        <v>Delta A</v>
      </c>
      <c r="B106" s="5" t="str">
        <f>'[3]M.C UNPIV'!C107</f>
        <v>Damietta - Khaled Ismaiel Al-Fath</v>
      </c>
      <c r="C106" s="5" t="str">
        <f>'[3]M.C UNPIV'!D107</f>
        <v>Al Saied Ibrahim Abdel Aal</v>
      </c>
      <c r="D106" s="5" t="str">
        <f>'[3]M.C UNPIV'!E107</f>
        <v>D22_R01835</v>
      </c>
      <c r="E106" s="5" t="str">
        <f>'[3]M.C UNPIV'!F107</f>
        <v>احمد الشامى</v>
      </c>
      <c r="F106" s="5" t="str">
        <f>'[3]M.C UNPIV'!G107</f>
        <v>W/s Consumer &amp; Industrial</v>
      </c>
      <c r="G106" s="6">
        <f>'[3]M.C UNPIV'!H107</f>
        <v>46175.375278854197</v>
      </c>
      <c r="H106" s="5" t="str">
        <f>'[3]M.C UNPIV'!I107</f>
        <v>D22_O_00256229</v>
      </c>
      <c r="I106" s="5">
        <f>'[3]M.C UNPIV'!J107</f>
        <v>1000000</v>
      </c>
      <c r="J106" s="7">
        <f>'[3]M.C UNPIV'!K107</f>
        <v>39480</v>
      </c>
      <c r="K106" s="5">
        <f>'[3]M.C UNPIV'!L107</f>
        <v>39480</v>
      </c>
      <c r="L106" s="5" t="str">
        <f>'[3]M.C UNPIV'!M107</f>
        <v>11 : 20 Days</v>
      </c>
      <c r="M106" s="6">
        <f>'[3]M.C UNPIV'!N107</f>
        <v>46186</v>
      </c>
      <c r="N106" s="5" t="str">
        <f>'[3]M.C UNPIV'!O107</f>
        <v>AFIA</v>
      </c>
      <c r="O106" s="5">
        <f>'[3]M.C UNPIV'!P107</f>
        <v>16</v>
      </c>
    </row>
    <row r="107" spans="1:15" x14ac:dyDescent="0.25">
      <c r="A107" s="4" t="str">
        <f>'[3]M.C UNPIV'!B108</f>
        <v>Delta A</v>
      </c>
      <c r="B107" s="5" t="str">
        <f>'[3]M.C UNPIV'!C108</f>
        <v>Damietta - Khaled Ismaiel Al-Fath</v>
      </c>
      <c r="C107" s="5" t="str">
        <f>'[3]M.C UNPIV'!D108</f>
        <v>Al Saied Ibrahim Abdel Aal</v>
      </c>
      <c r="D107" s="5" t="str">
        <f>'[3]M.C UNPIV'!E108</f>
        <v>D22_R01835</v>
      </c>
      <c r="E107" s="5" t="str">
        <f>'[3]M.C UNPIV'!F108</f>
        <v>احمد الشامى</v>
      </c>
      <c r="F107" s="5" t="str">
        <f>'[3]M.C UNPIV'!G108</f>
        <v>W/s Consumer &amp; Industrial</v>
      </c>
      <c r="G107" s="6">
        <f>'[3]M.C UNPIV'!H108</f>
        <v>46183.375195914399</v>
      </c>
      <c r="H107" s="5" t="str">
        <f>'[3]M.C UNPIV'!I108</f>
        <v>D22_O_00257725</v>
      </c>
      <c r="I107" s="5">
        <f>'[3]M.C UNPIV'!J108</f>
        <v>1000000</v>
      </c>
      <c r="J107" s="7">
        <f>'[3]M.C UNPIV'!K108</f>
        <v>153920</v>
      </c>
      <c r="K107" s="5">
        <f>'[3]M.C UNPIV'!L108</f>
        <v>153920</v>
      </c>
      <c r="L107" s="5" t="str">
        <f>'[3]M.C UNPIV'!M108</f>
        <v>1 : 10 Days</v>
      </c>
      <c r="M107" s="6">
        <f>'[3]M.C UNPIV'!N108</f>
        <v>46194</v>
      </c>
      <c r="N107" s="5" t="str">
        <f>'[3]M.C UNPIV'!O108</f>
        <v>AFIA</v>
      </c>
      <c r="O107" s="5">
        <f>'[3]M.C UNPIV'!P108</f>
        <v>8</v>
      </c>
    </row>
    <row r="108" spans="1:15" x14ac:dyDescent="0.25">
      <c r="A108" s="4" t="str">
        <f>'[3]M.C UNPIV'!B109</f>
        <v>Delta A</v>
      </c>
      <c r="B108" s="5" t="str">
        <f>'[3]M.C UNPIV'!C109</f>
        <v>Damietta - Khaled Ismaiel Al-Fath</v>
      </c>
      <c r="C108" s="5" t="str">
        <f>'[3]M.C UNPIV'!D109</f>
        <v>Al Saied Ibrahim Abdel Aal</v>
      </c>
      <c r="D108" s="5" t="str">
        <f>'[3]M.C UNPIV'!E109</f>
        <v>D22_R01835</v>
      </c>
      <c r="E108" s="5" t="str">
        <f>'[3]M.C UNPIV'!F109</f>
        <v>احمد الشامى</v>
      </c>
      <c r="F108" s="5" t="str">
        <f>'[3]M.C UNPIV'!G109</f>
        <v>W/s Consumer &amp; Industrial</v>
      </c>
      <c r="G108" s="6">
        <f>'[3]M.C UNPIV'!H109</f>
        <v>46184</v>
      </c>
      <c r="H108" s="5" t="str">
        <f>'[3]M.C UNPIV'!I109</f>
        <v>D22_O_00239537</v>
      </c>
      <c r="I108" s="5">
        <f>'[3]M.C UNPIV'!J109</f>
        <v>1000000</v>
      </c>
      <c r="J108" s="7">
        <f>'[3]M.C UNPIV'!K109</f>
        <v>23200</v>
      </c>
      <c r="K108" s="5">
        <f>'[3]M.C UNPIV'!L109</f>
        <v>23200</v>
      </c>
      <c r="L108" s="5" t="str">
        <f>'[3]M.C UNPIV'!M109</f>
        <v>1 : 10 Days</v>
      </c>
      <c r="M108" s="6">
        <f>'[3]M.C UNPIV'!N109</f>
        <v>46195</v>
      </c>
      <c r="N108" s="5" t="str">
        <f>'[3]M.C UNPIV'!O109</f>
        <v>AFIA</v>
      </c>
      <c r="O108" s="5">
        <f>'[3]M.C UNPIV'!P109</f>
        <v>7</v>
      </c>
    </row>
    <row r="109" spans="1:15" x14ac:dyDescent="0.25">
      <c r="A109" s="4" t="str">
        <f>'[3]M.C UNPIV'!B110</f>
        <v>Delta A</v>
      </c>
      <c r="B109" s="5" t="str">
        <f>'[3]M.C UNPIV'!C110</f>
        <v>Damietta - Khaled Ismaiel Al-Fath</v>
      </c>
      <c r="C109" s="5" t="str">
        <f>'[3]M.C UNPIV'!D110</f>
        <v>Al Saied Ibrahim Abdel Aal</v>
      </c>
      <c r="D109" s="5" t="str">
        <f>'[3]M.C UNPIV'!E110</f>
        <v>D22_R01835</v>
      </c>
      <c r="E109" s="5" t="str">
        <f>'[3]M.C UNPIV'!F110</f>
        <v>احمد الشامى</v>
      </c>
      <c r="F109" s="5" t="str">
        <f>'[3]M.C UNPIV'!G110</f>
        <v>W/s Consumer &amp; Industrial</v>
      </c>
      <c r="G109" s="6">
        <f>'[3]M.C UNPIV'!H110</f>
        <v>46188</v>
      </c>
      <c r="H109" s="5" t="str">
        <f>'[3]M.C UNPIV'!I110</f>
        <v>D22_O_00236683</v>
      </c>
      <c r="I109" s="5">
        <f>'[3]M.C UNPIV'!J110</f>
        <v>1000000</v>
      </c>
      <c r="J109" s="7">
        <f>'[3]M.C UNPIV'!K110</f>
        <v>46400</v>
      </c>
      <c r="K109" s="5">
        <f>'[3]M.C UNPIV'!L110</f>
        <v>46400</v>
      </c>
      <c r="L109" s="5" t="str">
        <f>'[3]M.C UNPIV'!M110</f>
        <v>1 : 10 Days</v>
      </c>
      <c r="M109" s="6">
        <f>'[3]M.C UNPIV'!N110</f>
        <v>46199</v>
      </c>
      <c r="N109" s="5" t="str">
        <f>'[3]M.C UNPIV'!O110</f>
        <v>AFIA</v>
      </c>
      <c r="O109" s="5">
        <f>'[3]M.C UNPIV'!P110</f>
        <v>3</v>
      </c>
    </row>
    <row r="110" spans="1:15" x14ac:dyDescent="0.25">
      <c r="A110" s="4" t="str">
        <f>'[3]M.C UNPIV'!B111</f>
        <v>Delta A</v>
      </c>
      <c r="B110" s="5" t="str">
        <f>'[3]M.C UNPIV'!C111</f>
        <v>Damietta - Khaled Ismaiel Al-Fath</v>
      </c>
      <c r="C110" s="5" t="str">
        <f>'[3]M.C UNPIV'!D111</f>
        <v>Al Saied Ibrahim Abdel Aal</v>
      </c>
      <c r="D110" s="5" t="str">
        <f>'[3]M.C UNPIV'!E111</f>
        <v>D22_R01835</v>
      </c>
      <c r="E110" s="5" t="str">
        <f>'[3]M.C UNPIV'!F111</f>
        <v>احمد الشامى</v>
      </c>
      <c r="F110" s="5" t="str">
        <f>'[3]M.C UNPIV'!G111</f>
        <v>W/s Consumer &amp; Industrial</v>
      </c>
      <c r="G110" s="6">
        <f>'[3]M.C UNPIV'!H111</f>
        <v>46194</v>
      </c>
      <c r="H110" s="5" t="str">
        <f>'[3]M.C UNPIV'!I111</f>
        <v>D22_O_00233474</v>
      </c>
      <c r="I110" s="5">
        <f>'[3]M.C UNPIV'!J111</f>
        <v>1000000</v>
      </c>
      <c r="J110" s="7">
        <f>'[3]M.C UNPIV'!K111</f>
        <v>82880</v>
      </c>
      <c r="K110" s="5">
        <f>'[3]M.C UNPIV'!L111</f>
        <v>0</v>
      </c>
      <c r="L110" s="5" t="str">
        <f>'[3]M.C UNPIV'!M111</f>
        <v>Not Due</v>
      </c>
      <c r="M110" s="6">
        <f>'[3]M.C UNPIV'!N111</f>
        <v>46205</v>
      </c>
      <c r="N110" s="5" t="str">
        <f>'[3]M.C UNPIV'!O111</f>
        <v>AFIA</v>
      </c>
      <c r="O110" s="5">
        <f>'[3]M.C UNPIV'!P111</f>
        <v>-3</v>
      </c>
    </row>
    <row r="111" spans="1:15" x14ac:dyDescent="0.25">
      <c r="A111" s="4" t="str">
        <f>'[3]M.C UNPIV'!B112</f>
        <v>Delta A</v>
      </c>
      <c r="B111" s="5" t="str">
        <f>'[3]M.C UNPIV'!C112</f>
        <v>Damietta - Khaled Ismaiel Al-Fath</v>
      </c>
      <c r="C111" s="5" t="str">
        <f>'[3]M.C UNPIV'!D112</f>
        <v>Al Saied Ibrahim Abdel Aal</v>
      </c>
      <c r="D111" s="5" t="str">
        <f>'[3]M.C UNPIV'!E112</f>
        <v>D22_R01835</v>
      </c>
      <c r="E111" s="5" t="str">
        <f>'[3]M.C UNPIV'!F112</f>
        <v>احمد الشامى</v>
      </c>
      <c r="F111" s="5" t="str">
        <f>'[3]M.C UNPIV'!G112</f>
        <v>W/s Consumer &amp; Industrial</v>
      </c>
      <c r="G111" s="6">
        <f>'[3]M.C UNPIV'!H112</f>
        <v>46195.697996527801</v>
      </c>
      <c r="H111" s="5" t="str">
        <f>'[3]M.C UNPIV'!I112</f>
        <v>D22_O_00259626</v>
      </c>
      <c r="I111" s="5">
        <f>'[3]M.C UNPIV'!J112</f>
        <v>1000000</v>
      </c>
      <c r="J111" s="7">
        <f>'[3]M.C UNPIV'!K112</f>
        <v>549120</v>
      </c>
      <c r="K111" s="5">
        <f>'[3]M.C UNPIV'!L112</f>
        <v>0</v>
      </c>
      <c r="L111" s="5" t="str">
        <f>'[3]M.C UNPIV'!M112</f>
        <v>Not Due</v>
      </c>
      <c r="M111" s="6">
        <f>'[3]M.C UNPIV'!N112</f>
        <v>46206</v>
      </c>
      <c r="N111" s="5" t="str">
        <f>'[3]M.C UNPIV'!O112</f>
        <v>AFIA</v>
      </c>
      <c r="O111" s="5">
        <f>'[3]M.C UNPIV'!P112</f>
        <v>-4</v>
      </c>
    </row>
    <row r="112" spans="1:15" x14ac:dyDescent="0.25">
      <c r="A112" s="4" t="str">
        <f>'[3]M.C UNPIV'!B113</f>
        <v>Delta A</v>
      </c>
      <c r="B112" s="5" t="str">
        <f>'[3]M.C UNPIV'!C113</f>
        <v>Damietta - Khaled Ismaiel Al-Fath</v>
      </c>
      <c r="C112" s="5" t="str">
        <f>'[3]M.C UNPIV'!D113</f>
        <v>Al Saied Ibrahim Abdel Aal</v>
      </c>
      <c r="D112" s="5" t="str">
        <f>'[3]M.C UNPIV'!E113</f>
        <v>D22_R01843</v>
      </c>
      <c r="E112" s="5" t="str">
        <f>'[3]M.C UNPIV'!F113</f>
        <v>الجميل</v>
      </c>
      <c r="F112" s="5" t="str">
        <f>'[3]M.C UNPIV'!G113</f>
        <v>W/s Consumer &amp; Industrial</v>
      </c>
      <c r="G112" s="6">
        <f>'[3]M.C UNPIV'!H113</f>
        <v>46180.462284108798</v>
      </c>
      <c r="H112" s="5" t="str">
        <f>'[3]M.C UNPIV'!I113</f>
        <v>D22_O_00257164</v>
      </c>
      <c r="I112" s="5">
        <f>'[3]M.C UNPIV'!J113</f>
        <v>50000</v>
      </c>
      <c r="J112" s="7">
        <f>'[3]M.C UNPIV'!K113</f>
        <v>24000</v>
      </c>
      <c r="K112" s="5">
        <f>'[3]M.C UNPIV'!L113</f>
        <v>24000</v>
      </c>
      <c r="L112" s="5" t="str">
        <f>'[3]M.C UNPIV'!M113</f>
        <v>11 : 20 Days</v>
      </c>
      <c r="M112" s="6">
        <f>'[3]M.C UNPIV'!N113</f>
        <v>46191</v>
      </c>
      <c r="N112" s="5" t="str">
        <f>'[3]M.C UNPIV'!O113</f>
        <v>AFIA</v>
      </c>
      <c r="O112" s="5">
        <f>'[3]M.C UNPIV'!P113</f>
        <v>11</v>
      </c>
    </row>
    <row r="113" spans="1:15" x14ac:dyDescent="0.25">
      <c r="A113" s="4" t="str">
        <f>'[3]M.C UNPIV'!B114</f>
        <v>Delta A</v>
      </c>
      <c r="B113" s="5" t="str">
        <f>'[3]M.C UNPIV'!C114</f>
        <v>Damietta - Khaled Ismaiel Al-Fath</v>
      </c>
      <c r="C113" s="5" t="str">
        <f>'[3]M.C UNPIV'!D114</f>
        <v>Al Saied Ibrahim Abdel Aal</v>
      </c>
      <c r="D113" s="5" t="str">
        <f>'[3]M.C UNPIV'!E114</f>
        <v>D22_R01852</v>
      </c>
      <c r="E113" s="5" t="str">
        <f>'[3]M.C UNPIV'!F114</f>
        <v>ايهاب مرجان</v>
      </c>
      <c r="F113" s="5" t="str">
        <f>'[3]M.C UNPIV'!G114</f>
        <v>W/s Consumer &amp; Industrial</v>
      </c>
      <c r="G113" s="6">
        <f>'[3]M.C UNPIV'!H114</f>
        <v>46177</v>
      </c>
      <c r="H113" s="5" t="str">
        <f>'[3]M.C UNPIV'!I114</f>
        <v>D22_O_00254132</v>
      </c>
      <c r="I113" s="5">
        <f>'[3]M.C UNPIV'!J114</f>
        <v>400000</v>
      </c>
      <c r="J113" s="7">
        <f>'[3]M.C UNPIV'!K114</f>
        <v>17436.82</v>
      </c>
      <c r="K113" s="5">
        <f>'[3]M.C UNPIV'!L114</f>
        <v>17436.82</v>
      </c>
      <c r="L113" s="5" t="str">
        <f>'[3]M.C UNPIV'!M114</f>
        <v>11 : 20 Days</v>
      </c>
      <c r="M113" s="6">
        <f>'[3]M.C UNPIV'!N114</f>
        <v>46188</v>
      </c>
      <c r="N113" s="5" t="str">
        <f>'[3]M.C UNPIV'!O114</f>
        <v>AFIA</v>
      </c>
      <c r="O113" s="5">
        <f>'[3]M.C UNPIV'!P114</f>
        <v>14</v>
      </c>
    </row>
    <row r="114" spans="1:15" x14ac:dyDescent="0.25">
      <c r="A114" s="4" t="str">
        <f>'[3]M.C UNPIV'!B115</f>
        <v>Delta A</v>
      </c>
      <c r="B114" s="5" t="str">
        <f>'[3]M.C UNPIV'!C115</f>
        <v>Damietta - Khaled Ismaiel Al-Fath</v>
      </c>
      <c r="C114" s="5" t="str">
        <f>'[3]M.C UNPIV'!D115</f>
        <v>Al Saied Ibrahim Abdel Aal</v>
      </c>
      <c r="D114" s="5" t="str">
        <f>'[3]M.C UNPIV'!E115</f>
        <v>D22_R01852</v>
      </c>
      <c r="E114" s="5" t="str">
        <f>'[3]M.C UNPIV'!F115</f>
        <v>ايهاب مرجان</v>
      </c>
      <c r="F114" s="5" t="str">
        <f>'[3]M.C UNPIV'!G115</f>
        <v>W/s Consumer &amp; Industrial</v>
      </c>
      <c r="G114" s="6">
        <f>'[3]M.C UNPIV'!H115</f>
        <v>46181</v>
      </c>
      <c r="H114" s="5" t="str">
        <f>'[3]M.C UNPIV'!I115</f>
        <v>D22_O_00256941</v>
      </c>
      <c r="I114" s="5">
        <f>'[3]M.C UNPIV'!J115</f>
        <v>400000</v>
      </c>
      <c r="J114" s="7">
        <f>'[3]M.C UNPIV'!K115</f>
        <v>69113.27</v>
      </c>
      <c r="K114" s="5">
        <f>'[3]M.C UNPIV'!L115</f>
        <v>69113.27</v>
      </c>
      <c r="L114" s="5" t="str">
        <f>'[3]M.C UNPIV'!M115</f>
        <v>1 : 10 Days</v>
      </c>
      <c r="M114" s="6">
        <f>'[3]M.C UNPIV'!N115</f>
        <v>46192</v>
      </c>
      <c r="N114" s="5" t="str">
        <f>'[3]M.C UNPIV'!O115</f>
        <v>AFIA</v>
      </c>
      <c r="O114" s="5">
        <f>'[3]M.C UNPIV'!P115</f>
        <v>10</v>
      </c>
    </row>
    <row r="115" spans="1:15" x14ac:dyDescent="0.25">
      <c r="A115" s="4" t="str">
        <f>'[3]M.C UNPIV'!B116</f>
        <v>Delta A</v>
      </c>
      <c r="B115" s="5" t="str">
        <f>'[3]M.C UNPIV'!C116</f>
        <v>Damietta - Khaled Ismaiel Al-Fath</v>
      </c>
      <c r="C115" s="5" t="str">
        <f>'[3]M.C UNPIV'!D116</f>
        <v>Al Saied Ibrahim Abdel Aal</v>
      </c>
      <c r="D115" s="5" t="str">
        <f>'[3]M.C UNPIV'!E116</f>
        <v>D22_R01852</v>
      </c>
      <c r="E115" s="5" t="str">
        <f>'[3]M.C UNPIV'!F116</f>
        <v>ايهاب مرجان</v>
      </c>
      <c r="F115" s="5" t="str">
        <f>'[3]M.C UNPIV'!G116</f>
        <v>W/s Consumer &amp; Industrial</v>
      </c>
      <c r="G115" s="6">
        <f>'[3]M.C UNPIV'!H116</f>
        <v>46191</v>
      </c>
      <c r="H115" s="5" t="str">
        <f>'[3]M.C UNPIV'!I116</f>
        <v>D22_O_00258100</v>
      </c>
      <c r="I115" s="5">
        <f>'[3]M.C UNPIV'!J116</f>
        <v>400000</v>
      </c>
      <c r="J115" s="7">
        <f>'[3]M.C UNPIV'!K116</f>
        <v>190166.05</v>
      </c>
      <c r="K115" s="5">
        <f>'[3]M.C UNPIV'!L116</f>
        <v>0</v>
      </c>
      <c r="L115" s="5" t="str">
        <f>'[3]M.C UNPIV'!M116</f>
        <v>Not Due</v>
      </c>
      <c r="M115" s="6">
        <f>'[3]M.C UNPIV'!N116</f>
        <v>46202</v>
      </c>
      <c r="N115" s="5" t="str">
        <f>'[3]M.C UNPIV'!O116</f>
        <v>AFIA</v>
      </c>
      <c r="O115" s="5">
        <f>'[3]M.C UNPIV'!P116</f>
        <v>0</v>
      </c>
    </row>
    <row r="116" spans="1:15" x14ac:dyDescent="0.25">
      <c r="A116" s="4" t="str">
        <f>'[3]M.C UNPIV'!B117</f>
        <v>Delta A</v>
      </c>
      <c r="B116" s="5" t="str">
        <f>'[3]M.C UNPIV'!C117</f>
        <v>Damietta - Khaled Ismaiel Al-Fath</v>
      </c>
      <c r="C116" s="5" t="str">
        <f>'[3]M.C UNPIV'!D117</f>
        <v>Al Saied Ibrahim Abdel Aal</v>
      </c>
      <c r="D116" s="5" t="str">
        <f>'[3]M.C UNPIV'!E117</f>
        <v>D22_R01855</v>
      </c>
      <c r="E116" s="5" t="str">
        <f>'[3]M.C UNPIV'!F117</f>
        <v>حسن منتصر</v>
      </c>
      <c r="F116" s="5" t="str">
        <f>'[3]M.C UNPIV'!G117</f>
        <v>W/s Consumer &amp; Industrial</v>
      </c>
      <c r="G116" s="6">
        <f>'[3]M.C UNPIV'!H117</f>
        <v>46183</v>
      </c>
      <c r="H116" s="5" t="str">
        <f>'[3]M.C UNPIV'!I117</f>
        <v>D22_O_00257590</v>
      </c>
      <c r="I116" s="5">
        <f>'[3]M.C UNPIV'!J117</f>
        <v>240000</v>
      </c>
      <c r="J116" s="7">
        <f>'[3]M.C UNPIV'!K117</f>
        <v>24000.9</v>
      </c>
      <c r="K116" s="5">
        <f>'[3]M.C UNPIV'!L117</f>
        <v>24000.9</v>
      </c>
      <c r="L116" s="5" t="str">
        <f>'[3]M.C UNPIV'!M117</f>
        <v>1 : 10 Days</v>
      </c>
      <c r="M116" s="6">
        <f>'[3]M.C UNPIV'!N117</f>
        <v>46194</v>
      </c>
      <c r="N116" s="5" t="str">
        <f>'[3]M.C UNPIV'!O117</f>
        <v>AFIA</v>
      </c>
      <c r="O116" s="5">
        <f>'[3]M.C UNPIV'!P117</f>
        <v>8</v>
      </c>
    </row>
    <row r="117" spans="1:15" x14ac:dyDescent="0.25">
      <c r="A117" s="4" t="str">
        <f>'[3]M.C UNPIV'!B118</f>
        <v>Delta A</v>
      </c>
      <c r="B117" s="5" t="str">
        <f>'[3]M.C UNPIV'!C118</f>
        <v>Damietta - Khaled Ismaiel Al-Fath</v>
      </c>
      <c r="C117" s="5" t="str">
        <f>'[3]M.C UNPIV'!D118</f>
        <v>Al Saied Ibrahim Abdel Aal</v>
      </c>
      <c r="D117" s="5" t="str">
        <f>'[3]M.C UNPIV'!E118</f>
        <v>D22_R01855</v>
      </c>
      <c r="E117" s="5" t="str">
        <f>'[3]M.C UNPIV'!F118</f>
        <v>حسن منتصر</v>
      </c>
      <c r="F117" s="5" t="str">
        <f>'[3]M.C UNPIV'!G118</f>
        <v>W/s Consumer &amp; Industrial</v>
      </c>
      <c r="G117" s="6">
        <f>'[3]M.C UNPIV'!H118</f>
        <v>46200.373602465297</v>
      </c>
      <c r="H117" s="5" t="str">
        <f>'[3]M.C UNPIV'!I118</f>
        <v>D22_O_00260210</v>
      </c>
      <c r="I117" s="5">
        <f>'[3]M.C UNPIV'!J118</f>
        <v>240000</v>
      </c>
      <c r="J117" s="7">
        <f>'[3]M.C UNPIV'!K118</f>
        <v>59200</v>
      </c>
      <c r="K117" s="5">
        <f>'[3]M.C UNPIV'!L118</f>
        <v>0</v>
      </c>
      <c r="L117" s="5" t="str">
        <f>'[3]M.C UNPIV'!M118</f>
        <v>Not Due</v>
      </c>
      <c r="M117" s="6">
        <f>'[3]M.C UNPIV'!N118</f>
        <v>46211</v>
      </c>
      <c r="N117" s="5" t="str">
        <f>'[3]M.C UNPIV'!O118</f>
        <v>AFIA</v>
      </c>
      <c r="O117" s="5">
        <f>'[3]M.C UNPIV'!P118</f>
        <v>-9</v>
      </c>
    </row>
    <row r="118" spans="1:15" x14ac:dyDescent="0.25">
      <c r="A118" s="4" t="str">
        <f>'[3]M.C UNPIV'!B119</f>
        <v>Delta A</v>
      </c>
      <c r="B118" s="5" t="str">
        <f>'[3]M.C UNPIV'!C119</f>
        <v>Damietta - Khaled Ismaiel Al-Fath</v>
      </c>
      <c r="C118" s="5" t="str">
        <f>'[3]M.C UNPIV'!D119</f>
        <v>Al Saied Ibrahim Abdel Aal</v>
      </c>
      <c r="D118" s="5" t="str">
        <f>'[3]M.C UNPIV'!E119</f>
        <v>D22_R01858</v>
      </c>
      <c r="E118" s="5" t="str">
        <f>'[3]M.C UNPIV'!F119</f>
        <v>رامى الشامى</v>
      </c>
      <c r="F118" s="5" t="str">
        <f>'[3]M.C UNPIV'!G119</f>
        <v>W/s Consumer &amp; Industrial</v>
      </c>
      <c r="G118" s="6">
        <f>'[3]M.C UNPIV'!H119</f>
        <v>46200.379163275502</v>
      </c>
      <c r="H118" s="5" t="str">
        <f>'[3]M.C UNPIV'!I119</f>
        <v>D22_O_00260211</v>
      </c>
      <c r="I118" s="5">
        <f>'[3]M.C UNPIV'!J119</f>
        <v>150000</v>
      </c>
      <c r="J118" s="7">
        <f>'[3]M.C UNPIV'!K119</f>
        <v>148000</v>
      </c>
      <c r="K118" s="5">
        <f>'[3]M.C UNPIV'!L119</f>
        <v>0</v>
      </c>
      <c r="L118" s="5" t="str">
        <f>'[3]M.C UNPIV'!M119</f>
        <v>Not Due</v>
      </c>
      <c r="M118" s="6">
        <f>'[3]M.C UNPIV'!N119</f>
        <v>46211</v>
      </c>
      <c r="N118" s="5" t="str">
        <f>'[3]M.C UNPIV'!O119</f>
        <v>AFIA</v>
      </c>
      <c r="O118" s="5">
        <f>'[3]M.C UNPIV'!P119</f>
        <v>-9</v>
      </c>
    </row>
    <row r="119" spans="1:15" x14ac:dyDescent="0.25">
      <c r="A119" s="4" t="str">
        <f>'[3]M.C UNPIV'!B120</f>
        <v>Delta A</v>
      </c>
      <c r="B119" s="5" t="str">
        <f>'[3]M.C UNPIV'!C120</f>
        <v>Damietta - Khaled Ismaiel Al-Fath</v>
      </c>
      <c r="C119" s="5" t="str">
        <f>'[3]M.C UNPIV'!D120</f>
        <v>Al Saied Ibrahim Abdel Aal</v>
      </c>
      <c r="D119" s="5" t="str">
        <f>'[3]M.C UNPIV'!E120</f>
        <v>D22_R01860</v>
      </c>
      <c r="E119" s="5" t="str">
        <f>'[3]M.C UNPIV'!F120</f>
        <v>زكريا عيد</v>
      </c>
      <c r="F119" s="5" t="str">
        <f>'[3]M.C UNPIV'!G120</f>
        <v>W/s Consumer &amp; Industrial</v>
      </c>
      <c r="G119" s="6">
        <f>'[3]M.C UNPIV'!H120</f>
        <v>46176</v>
      </c>
      <c r="H119" s="5" t="str">
        <f>'[3]M.C UNPIV'!I120</f>
        <v>D22_O_00243786</v>
      </c>
      <c r="I119" s="5">
        <f>'[3]M.C UNPIV'!J120</f>
        <v>100000</v>
      </c>
      <c r="J119" s="7">
        <f>'[3]M.C UNPIV'!K120</f>
        <v>37075.78</v>
      </c>
      <c r="K119" s="5">
        <f>'[3]M.C UNPIV'!L120</f>
        <v>37075.78</v>
      </c>
      <c r="L119" s="5" t="str">
        <f>'[3]M.C UNPIV'!M120</f>
        <v>11 : 20 Days</v>
      </c>
      <c r="M119" s="6">
        <f>'[3]M.C UNPIV'!N120</f>
        <v>46187</v>
      </c>
      <c r="N119" s="5" t="str">
        <f>'[3]M.C UNPIV'!O120</f>
        <v>AFIA</v>
      </c>
      <c r="O119" s="5">
        <f>'[3]M.C UNPIV'!P120</f>
        <v>15</v>
      </c>
    </row>
    <row r="120" spans="1:15" x14ac:dyDescent="0.25">
      <c r="A120" s="4" t="str">
        <f>'[3]M.C UNPIV'!B121</f>
        <v>Delta A</v>
      </c>
      <c r="B120" s="5" t="str">
        <f>'[3]M.C UNPIV'!C121</f>
        <v>Damietta - Khaled Ismaiel Al-Fath</v>
      </c>
      <c r="C120" s="5" t="str">
        <f>'[3]M.C UNPIV'!D121</f>
        <v>Al Saied Ibrahim Abdel Aal</v>
      </c>
      <c r="D120" s="5" t="str">
        <f>'[3]M.C UNPIV'!E121</f>
        <v>D22_R01860</v>
      </c>
      <c r="E120" s="5" t="str">
        <f>'[3]M.C UNPIV'!F121</f>
        <v>زكريا عيد</v>
      </c>
      <c r="F120" s="5" t="str">
        <f>'[3]M.C UNPIV'!G121</f>
        <v>W/s Consumer &amp; Industrial</v>
      </c>
      <c r="G120" s="6">
        <f>'[3]M.C UNPIV'!H121</f>
        <v>46200</v>
      </c>
      <c r="H120" s="5" t="str">
        <f>'[3]M.C UNPIV'!I121</f>
        <v>D22_O_00259135</v>
      </c>
      <c r="I120" s="5">
        <f>'[3]M.C UNPIV'!J121</f>
        <v>100000</v>
      </c>
      <c r="J120" s="7">
        <f>'[3]M.C UNPIV'!K121</f>
        <v>5332.28</v>
      </c>
      <c r="K120" s="5">
        <f>'[3]M.C UNPIV'!L121</f>
        <v>0</v>
      </c>
      <c r="L120" s="5" t="str">
        <f>'[3]M.C UNPIV'!M121</f>
        <v>Not Due</v>
      </c>
      <c r="M120" s="6">
        <f>'[3]M.C UNPIV'!N121</f>
        <v>46211</v>
      </c>
      <c r="N120" s="5" t="str">
        <f>'[3]M.C UNPIV'!O121</f>
        <v>AFIA</v>
      </c>
      <c r="O120" s="5">
        <f>'[3]M.C UNPIV'!P121</f>
        <v>-9</v>
      </c>
    </row>
    <row r="121" spans="1:15" x14ac:dyDescent="0.25">
      <c r="A121" s="4" t="str">
        <f>'[3]M.C UNPIV'!B122</f>
        <v>Delta A</v>
      </c>
      <c r="B121" s="5" t="str">
        <f>'[3]M.C UNPIV'!C122</f>
        <v>Damietta - Khaled Ismaiel Al-Fath</v>
      </c>
      <c r="C121" s="5" t="str">
        <f>'[3]M.C UNPIV'!D122</f>
        <v>Al Saied Ibrahim Abdel Aal</v>
      </c>
      <c r="D121" s="5" t="str">
        <f>'[3]M.C UNPIV'!E122</f>
        <v>D22_R01863</v>
      </c>
      <c r="E121" s="5" t="str">
        <f>'[3]M.C UNPIV'!F122</f>
        <v>شركة الرحمة</v>
      </c>
      <c r="F121" s="5" t="str">
        <f>'[3]M.C UNPIV'!G122</f>
        <v>W/s Consumer &amp; Industrial</v>
      </c>
      <c r="G121" s="6">
        <f>'[3]M.C UNPIV'!H122</f>
        <v>46156</v>
      </c>
      <c r="H121" s="5" t="str">
        <f>'[3]M.C UNPIV'!I122</f>
        <v>D22_O_00236673</v>
      </c>
      <c r="I121" s="5">
        <f>'[3]M.C UNPIV'!J122</f>
        <v>12000000</v>
      </c>
      <c r="J121" s="7">
        <f>'[3]M.C UNPIV'!K122</f>
        <v>616800</v>
      </c>
      <c r="K121" s="5">
        <f>'[3]M.C UNPIV'!L122</f>
        <v>616800</v>
      </c>
      <c r="L121" s="5" t="str">
        <f>'[3]M.C UNPIV'!M122</f>
        <v>31 : 60 Days</v>
      </c>
      <c r="M121" s="6">
        <f>'[3]M.C UNPIV'!N122</f>
        <v>46167</v>
      </c>
      <c r="N121" s="5" t="str">
        <f>'[3]M.C UNPIV'!O122</f>
        <v>AFIA</v>
      </c>
      <c r="O121" s="5">
        <f>'[3]M.C UNPIV'!P122</f>
        <v>35</v>
      </c>
    </row>
    <row r="122" spans="1:15" x14ac:dyDescent="0.25">
      <c r="A122" s="4" t="str">
        <f>'[3]M.C UNPIV'!B123</f>
        <v>Delta A</v>
      </c>
      <c r="B122" s="5" t="str">
        <f>'[3]M.C UNPIV'!C123</f>
        <v>Damietta - Khaled Ismaiel Al-Fath</v>
      </c>
      <c r="C122" s="5" t="str">
        <f>'[3]M.C UNPIV'!D123</f>
        <v>Al Saied Ibrahim Abdel Aal</v>
      </c>
      <c r="D122" s="5" t="str">
        <f>'[3]M.C UNPIV'!E123</f>
        <v>D22_R01863</v>
      </c>
      <c r="E122" s="5" t="str">
        <f>'[3]M.C UNPIV'!F123</f>
        <v>شركة الرحمة</v>
      </c>
      <c r="F122" s="5" t="str">
        <f>'[3]M.C UNPIV'!G123</f>
        <v>W/s Consumer &amp; Industrial</v>
      </c>
      <c r="G122" s="6">
        <f>'[3]M.C UNPIV'!H123</f>
        <v>46156</v>
      </c>
      <c r="H122" s="5" t="str">
        <f>'[3]M.C UNPIV'!I123</f>
        <v>D22_O_00236674</v>
      </c>
      <c r="I122" s="5">
        <f>'[3]M.C UNPIV'!J123</f>
        <v>12000000</v>
      </c>
      <c r="J122" s="7">
        <f>'[3]M.C UNPIV'!K123</f>
        <v>1529152.5</v>
      </c>
      <c r="K122" s="5">
        <f>'[3]M.C UNPIV'!L123</f>
        <v>1529152.5</v>
      </c>
      <c r="L122" s="5" t="str">
        <f>'[3]M.C UNPIV'!M123</f>
        <v>31 : 60 Days</v>
      </c>
      <c r="M122" s="6">
        <f>'[3]M.C UNPIV'!N123</f>
        <v>46167</v>
      </c>
      <c r="N122" s="5" t="str">
        <f>'[3]M.C UNPIV'!O123</f>
        <v>AFIA</v>
      </c>
      <c r="O122" s="5">
        <f>'[3]M.C UNPIV'!P123</f>
        <v>35</v>
      </c>
    </row>
    <row r="123" spans="1:15" x14ac:dyDescent="0.25">
      <c r="A123" s="4" t="str">
        <f>'[3]M.C UNPIV'!B124</f>
        <v>Delta A</v>
      </c>
      <c r="B123" s="5" t="str">
        <f>'[3]M.C UNPIV'!C124</f>
        <v>Damietta - Khaled Ismaiel Al-Fath</v>
      </c>
      <c r="C123" s="5" t="str">
        <f>'[3]M.C UNPIV'!D124</f>
        <v>Al Saied Ibrahim Abdel Aal</v>
      </c>
      <c r="D123" s="5" t="str">
        <f>'[3]M.C UNPIV'!E124</f>
        <v>D22_R01863</v>
      </c>
      <c r="E123" s="5" t="str">
        <f>'[3]M.C UNPIV'!F124</f>
        <v>شركة الرحمة</v>
      </c>
      <c r="F123" s="5" t="str">
        <f>'[3]M.C UNPIV'!G124</f>
        <v>W/s Consumer &amp; Industrial</v>
      </c>
      <c r="G123" s="6">
        <f>'[3]M.C UNPIV'!H124</f>
        <v>46159</v>
      </c>
      <c r="H123" s="5" t="str">
        <f>'[3]M.C UNPIV'!I124</f>
        <v>D22_O_00232973</v>
      </c>
      <c r="I123" s="5">
        <f>'[3]M.C UNPIV'!J124</f>
        <v>12000000</v>
      </c>
      <c r="J123" s="7">
        <f>'[3]M.C UNPIV'!K124</f>
        <v>247459.97</v>
      </c>
      <c r="K123" s="5">
        <f>'[3]M.C UNPIV'!L124</f>
        <v>247459.97</v>
      </c>
      <c r="L123" s="5" t="str">
        <f>'[3]M.C UNPIV'!M124</f>
        <v>31 : 60 Days</v>
      </c>
      <c r="M123" s="6">
        <f>'[3]M.C UNPIV'!N124</f>
        <v>46170</v>
      </c>
      <c r="N123" s="5" t="str">
        <f>'[3]M.C UNPIV'!O124</f>
        <v>AFIA</v>
      </c>
      <c r="O123" s="5">
        <f>'[3]M.C UNPIV'!P124</f>
        <v>32</v>
      </c>
    </row>
    <row r="124" spans="1:15" x14ac:dyDescent="0.25">
      <c r="A124" s="4" t="str">
        <f>'[3]M.C UNPIV'!B125</f>
        <v>Delta A</v>
      </c>
      <c r="B124" s="5" t="str">
        <f>'[3]M.C UNPIV'!C125</f>
        <v>Damietta - Khaled Ismaiel Al-Fath</v>
      </c>
      <c r="C124" s="5" t="str">
        <f>'[3]M.C UNPIV'!D125</f>
        <v>Al Saied Ibrahim Abdel Aal</v>
      </c>
      <c r="D124" s="5" t="str">
        <f>'[3]M.C UNPIV'!E125</f>
        <v>D22_R01863</v>
      </c>
      <c r="E124" s="5" t="str">
        <f>'[3]M.C UNPIV'!F125</f>
        <v>شركة الرحمة</v>
      </c>
      <c r="F124" s="5" t="str">
        <f>'[3]M.C UNPIV'!G125</f>
        <v>W/s Consumer &amp; Industrial</v>
      </c>
      <c r="G124" s="6">
        <f>'[3]M.C UNPIV'!H125</f>
        <v>46161.439212233803</v>
      </c>
      <c r="H124" s="5" t="str">
        <f>'[3]M.C UNPIV'!I125</f>
        <v>D22_O_00254585</v>
      </c>
      <c r="I124" s="5">
        <f>'[3]M.C UNPIV'!J125</f>
        <v>12000000</v>
      </c>
      <c r="J124" s="7">
        <f>'[3]M.C UNPIV'!K125</f>
        <v>430099.20000000001</v>
      </c>
      <c r="K124" s="5">
        <f>'[3]M.C UNPIV'!L125</f>
        <v>430099.20000000001</v>
      </c>
      <c r="L124" s="5" t="str">
        <f>'[3]M.C UNPIV'!M125</f>
        <v>21 : 30 Days</v>
      </c>
      <c r="M124" s="6">
        <f>'[3]M.C UNPIV'!N125</f>
        <v>46172</v>
      </c>
      <c r="N124" s="5" t="str">
        <f>'[3]M.C UNPIV'!O125</f>
        <v>AFIA</v>
      </c>
      <c r="O124" s="5">
        <f>'[3]M.C UNPIV'!P125</f>
        <v>30</v>
      </c>
    </row>
    <row r="125" spans="1:15" x14ac:dyDescent="0.25">
      <c r="A125" s="4" t="str">
        <f>'[3]M.C UNPIV'!B126</f>
        <v>Delta A</v>
      </c>
      <c r="B125" s="5" t="str">
        <f>'[3]M.C UNPIV'!C126</f>
        <v>Damietta - Khaled Ismaiel Al-Fath</v>
      </c>
      <c r="C125" s="5" t="str">
        <f>'[3]M.C UNPIV'!D126</f>
        <v>Al Saied Ibrahim Abdel Aal</v>
      </c>
      <c r="D125" s="5" t="str">
        <f>'[3]M.C UNPIV'!E126</f>
        <v>D22_R01863</v>
      </c>
      <c r="E125" s="5" t="str">
        <f>'[3]M.C UNPIV'!F126</f>
        <v>شركة الرحمة</v>
      </c>
      <c r="F125" s="5" t="str">
        <f>'[3]M.C UNPIV'!G126</f>
        <v>W/s Consumer &amp; Industrial</v>
      </c>
      <c r="G125" s="6">
        <f>'[3]M.C UNPIV'!H126</f>
        <v>46163</v>
      </c>
      <c r="H125" s="5" t="str">
        <f>'[3]M.C UNPIV'!I126</f>
        <v>D22_O_00232051</v>
      </c>
      <c r="I125" s="5">
        <f>'[3]M.C UNPIV'!J126</f>
        <v>12000000</v>
      </c>
      <c r="J125" s="7">
        <f>'[3]M.C UNPIV'!K126</f>
        <v>659200</v>
      </c>
      <c r="K125" s="5">
        <f>'[3]M.C UNPIV'!L126</f>
        <v>659200</v>
      </c>
      <c r="L125" s="5" t="str">
        <f>'[3]M.C UNPIV'!M126</f>
        <v>21 : 30 Days</v>
      </c>
      <c r="M125" s="6">
        <f>'[3]M.C UNPIV'!N126</f>
        <v>46174</v>
      </c>
      <c r="N125" s="5" t="str">
        <f>'[3]M.C UNPIV'!O126</f>
        <v>AFIA</v>
      </c>
      <c r="O125" s="5">
        <f>'[3]M.C UNPIV'!P126</f>
        <v>28</v>
      </c>
    </row>
    <row r="126" spans="1:15" x14ac:dyDescent="0.25">
      <c r="A126" s="4" t="str">
        <f>'[3]M.C UNPIV'!B127</f>
        <v>Delta A</v>
      </c>
      <c r="B126" s="5" t="str">
        <f>'[3]M.C UNPIV'!C127</f>
        <v>Damietta - Khaled Ismaiel Al-Fath</v>
      </c>
      <c r="C126" s="5" t="str">
        <f>'[3]M.C UNPIV'!D127</f>
        <v>Al Saied Ibrahim Abdel Aal</v>
      </c>
      <c r="D126" s="5" t="str">
        <f>'[3]M.C UNPIV'!E127</f>
        <v>D22_R01863</v>
      </c>
      <c r="E126" s="5" t="str">
        <f>'[3]M.C UNPIV'!F127</f>
        <v>شركة الرحمة</v>
      </c>
      <c r="F126" s="5" t="str">
        <f>'[3]M.C UNPIV'!G127</f>
        <v>W/s Consumer &amp; Industrial</v>
      </c>
      <c r="G126" s="6">
        <f>'[3]M.C UNPIV'!H127</f>
        <v>46167</v>
      </c>
      <c r="H126" s="5" t="str">
        <f>'[3]M.C UNPIV'!I127</f>
        <v>D22_O_00255200</v>
      </c>
      <c r="I126" s="5">
        <f>'[3]M.C UNPIV'!J127</f>
        <v>12000000</v>
      </c>
      <c r="J126" s="7">
        <f>'[3]M.C UNPIV'!K127</f>
        <v>1537600</v>
      </c>
      <c r="K126" s="5">
        <f>'[3]M.C UNPIV'!L127</f>
        <v>1537600</v>
      </c>
      <c r="L126" s="5" t="str">
        <f>'[3]M.C UNPIV'!M127</f>
        <v>21 : 30 Days</v>
      </c>
      <c r="M126" s="6">
        <f>'[3]M.C UNPIV'!N127</f>
        <v>46178</v>
      </c>
      <c r="N126" s="5" t="str">
        <f>'[3]M.C UNPIV'!O127</f>
        <v>AFIA</v>
      </c>
      <c r="O126" s="5">
        <f>'[3]M.C UNPIV'!P127</f>
        <v>24</v>
      </c>
    </row>
    <row r="127" spans="1:15" x14ac:dyDescent="0.25">
      <c r="A127" s="4" t="str">
        <f>'[3]M.C UNPIV'!B128</f>
        <v>Delta A</v>
      </c>
      <c r="B127" s="5" t="str">
        <f>'[3]M.C UNPIV'!C128</f>
        <v>Damietta - Khaled Ismaiel Al-Fath</v>
      </c>
      <c r="C127" s="5" t="str">
        <f>'[3]M.C UNPIV'!D128</f>
        <v>Al Saied Ibrahim Abdel Aal</v>
      </c>
      <c r="D127" s="5" t="str">
        <f>'[3]M.C UNPIV'!E128</f>
        <v>D22_R01863</v>
      </c>
      <c r="E127" s="5" t="str">
        <f>'[3]M.C UNPIV'!F128</f>
        <v>شركة الرحمة</v>
      </c>
      <c r="F127" s="5" t="str">
        <f>'[3]M.C UNPIV'!G128</f>
        <v>W/s Consumer &amp; Industrial</v>
      </c>
      <c r="G127" s="6">
        <f>'[3]M.C UNPIV'!H128</f>
        <v>46179</v>
      </c>
      <c r="H127" s="5" t="str">
        <f>'[3]M.C UNPIV'!I128</f>
        <v>D22_O_00256233</v>
      </c>
      <c r="I127" s="5">
        <f>'[3]M.C UNPIV'!J128</f>
        <v>12000000</v>
      </c>
      <c r="J127" s="7">
        <f>'[3]M.C UNPIV'!K128</f>
        <v>108640</v>
      </c>
      <c r="K127" s="5">
        <f>'[3]M.C UNPIV'!L128</f>
        <v>108640</v>
      </c>
      <c r="L127" s="5" t="str">
        <f>'[3]M.C UNPIV'!M128</f>
        <v>11 : 20 Days</v>
      </c>
      <c r="M127" s="6">
        <f>'[3]M.C UNPIV'!N128</f>
        <v>46190</v>
      </c>
      <c r="N127" s="5" t="str">
        <f>'[3]M.C UNPIV'!O128</f>
        <v>AFIA</v>
      </c>
      <c r="O127" s="5">
        <f>'[3]M.C UNPIV'!P128</f>
        <v>12</v>
      </c>
    </row>
    <row r="128" spans="1:15" x14ac:dyDescent="0.25">
      <c r="A128" s="4" t="str">
        <f>'[3]M.C UNPIV'!B129</f>
        <v>Delta A</v>
      </c>
      <c r="B128" s="5" t="str">
        <f>'[3]M.C UNPIV'!C129</f>
        <v>Damietta - Khaled Ismaiel Al-Fath</v>
      </c>
      <c r="C128" s="5" t="str">
        <f>'[3]M.C UNPIV'!D129</f>
        <v>Al Saied Ibrahim Abdel Aal</v>
      </c>
      <c r="D128" s="5" t="str">
        <f>'[3]M.C UNPIV'!E129</f>
        <v>D22_R01863</v>
      </c>
      <c r="E128" s="5" t="str">
        <f>'[3]M.C UNPIV'!F129</f>
        <v>شركة الرحمة</v>
      </c>
      <c r="F128" s="5" t="str">
        <f>'[3]M.C UNPIV'!G129</f>
        <v>W/s Consumer &amp; Industrial</v>
      </c>
      <c r="G128" s="6">
        <f>'[3]M.C UNPIV'!H129</f>
        <v>46189.442475694399</v>
      </c>
      <c r="H128" s="5" t="str">
        <f>'[3]M.C UNPIV'!I129</f>
        <v>D22_O_00258600</v>
      </c>
      <c r="I128" s="5">
        <f>'[3]M.C UNPIV'!J129</f>
        <v>12000000</v>
      </c>
      <c r="J128" s="7">
        <f>'[3]M.C UNPIV'!K129</f>
        <v>592000</v>
      </c>
      <c r="K128" s="5">
        <f>'[3]M.C UNPIV'!L129</f>
        <v>592000</v>
      </c>
      <c r="L128" s="5" t="str">
        <f>'[3]M.C UNPIV'!M129</f>
        <v>1 : 10 Days</v>
      </c>
      <c r="M128" s="6">
        <f>'[3]M.C UNPIV'!N129</f>
        <v>46200</v>
      </c>
      <c r="N128" s="5" t="str">
        <f>'[3]M.C UNPIV'!O129</f>
        <v>AFIA</v>
      </c>
      <c r="O128" s="5">
        <f>'[3]M.C UNPIV'!P129</f>
        <v>2</v>
      </c>
    </row>
    <row r="129" spans="1:15" x14ac:dyDescent="0.25">
      <c r="A129" s="4" t="str">
        <f>'[3]M.C UNPIV'!B130</f>
        <v>Delta A</v>
      </c>
      <c r="B129" s="5" t="str">
        <f>'[3]M.C UNPIV'!C130</f>
        <v>Damietta - Khaled Ismaiel Al-Fath</v>
      </c>
      <c r="C129" s="5" t="str">
        <f>'[3]M.C UNPIV'!D130</f>
        <v>Al Saied Ibrahim Abdel Aal</v>
      </c>
      <c r="D129" s="5" t="str">
        <f>'[3]M.C UNPIV'!E130</f>
        <v>D22_R01863</v>
      </c>
      <c r="E129" s="5" t="str">
        <f>'[3]M.C UNPIV'!F130</f>
        <v>شركة الرحمة</v>
      </c>
      <c r="F129" s="5" t="str">
        <f>'[3]M.C UNPIV'!G130</f>
        <v>W/s Consumer &amp; Industrial</v>
      </c>
      <c r="G129" s="6">
        <f>'[3]M.C UNPIV'!H130</f>
        <v>46193.390834340302</v>
      </c>
      <c r="H129" s="5" t="str">
        <f>'[3]M.C UNPIV'!I130</f>
        <v>D22_O_00259097</v>
      </c>
      <c r="I129" s="5">
        <f>'[3]M.C UNPIV'!J130</f>
        <v>12000000</v>
      </c>
      <c r="J129" s="7">
        <f>'[3]M.C UNPIV'!K130</f>
        <v>821888</v>
      </c>
      <c r="K129" s="5">
        <f>'[3]M.C UNPIV'!L130</f>
        <v>0</v>
      </c>
      <c r="L129" s="5" t="str">
        <f>'[3]M.C UNPIV'!M130</f>
        <v>Not Due</v>
      </c>
      <c r="M129" s="6">
        <f>'[3]M.C UNPIV'!N130</f>
        <v>46204</v>
      </c>
      <c r="N129" s="5" t="str">
        <f>'[3]M.C UNPIV'!O130</f>
        <v>AFIA</v>
      </c>
      <c r="O129" s="5">
        <f>'[3]M.C UNPIV'!P130</f>
        <v>-2</v>
      </c>
    </row>
    <row r="130" spans="1:15" x14ac:dyDescent="0.25">
      <c r="A130" s="4" t="str">
        <f>'[3]M.C UNPIV'!B131</f>
        <v>Delta A</v>
      </c>
      <c r="B130" s="5" t="str">
        <f>'[3]M.C UNPIV'!C131</f>
        <v>Damietta - Khaled Ismaiel Al-Fath</v>
      </c>
      <c r="C130" s="5" t="str">
        <f>'[3]M.C UNPIV'!D131</f>
        <v>Al Saied Ibrahim Abdel Aal</v>
      </c>
      <c r="D130" s="5" t="str">
        <f>'[3]M.C UNPIV'!E131</f>
        <v>D22_R01869</v>
      </c>
      <c r="E130" s="5" t="str">
        <f>'[3]M.C UNPIV'!F131</f>
        <v>عبده الشافعى</v>
      </c>
      <c r="F130" s="5" t="str">
        <f>'[3]M.C UNPIV'!G131</f>
        <v>W/s Consumer &amp; Industrial</v>
      </c>
      <c r="G130" s="6">
        <f>'[3]M.C UNPIV'!H131</f>
        <v>46176</v>
      </c>
      <c r="H130" s="5" t="str">
        <f>'[3]M.C UNPIV'!I131</f>
        <v>D22_O_00252315</v>
      </c>
      <c r="I130" s="5">
        <f>'[3]M.C UNPIV'!J131</f>
        <v>50000</v>
      </c>
      <c r="J130" s="7">
        <f>'[3]M.C UNPIV'!K131</f>
        <v>46779.65</v>
      </c>
      <c r="K130" s="5">
        <f>'[3]M.C UNPIV'!L131</f>
        <v>46779.65</v>
      </c>
      <c r="L130" s="5" t="str">
        <f>'[3]M.C UNPIV'!M131</f>
        <v>11 : 20 Days</v>
      </c>
      <c r="M130" s="6">
        <f>'[3]M.C UNPIV'!N131</f>
        <v>46187</v>
      </c>
      <c r="N130" s="5" t="str">
        <f>'[3]M.C UNPIV'!O131</f>
        <v>AFIA</v>
      </c>
      <c r="O130" s="5">
        <f>'[3]M.C UNPIV'!P131</f>
        <v>15</v>
      </c>
    </row>
    <row r="131" spans="1:15" x14ac:dyDescent="0.25">
      <c r="A131" s="4" t="str">
        <f>'[3]M.C UNPIV'!B132</f>
        <v>Delta A</v>
      </c>
      <c r="B131" s="5" t="str">
        <f>'[3]M.C UNPIV'!C132</f>
        <v>Damietta - Khaled Ismaiel Al-Fath</v>
      </c>
      <c r="C131" s="5" t="str">
        <f>'[3]M.C UNPIV'!D132</f>
        <v>Al Saied Ibrahim Abdel Aal</v>
      </c>
      <c r="D131" s="5" t="str">
        <f>'[3]M.C UNPIV'!E132</f>
        <v>D22_R01872</v>
      </c>
      <c r="E131" s="5" t="str">
        <f>'[3]M.C UNPIV'!F132</f>
        <v>عزت الشربينى</v>
      </c>
      <c r="F131" s="5" t="str">
        <f>'[3]M.C UNPIV'!G132</f>
        <v>W/s Consumer &amp; Industrial</v>
      </c>
      <c r="G131" s="6">
        <f>'[3]M.C UNPIV'!H132</f>
        <v>46188</v>
      </c>
      <c r="H131" s="5" t="str">
        <f>'[3]M.C UNPIV'!I132</f>
        <v>D22_O_00258096</v>
      </c>
      <c r="I131" s="5">
        <f>'[3]M.C UNPIV'!J132</f>
        <v>300000</v>
      </c>
      <c r="J131" s="7">
        <f>'[3]M.C UNPIV'!K132</f>
        <v>35350.39</v>
      </c>
      <c r="K131" s="5">
        <f>'[3]M.C UNPIV'!L132</f>
        <v>35350.39</v>
      </c>
      <c r="L131" s="5" t="str">
        <f>'[3]M.C UNPIV'!M132</f>
        <v>1 : 10 Days</v>
      </c>
      <c r="M131" s="6">
        <f>'[3]M.C UNPIV'!N132</f>
        <v>46199</v>
      </c>
      <c r="N131" s="5" t="str">
        <f>'[3]M.C UNPIV'!O132</f>
        <v>AFIA</v>
      </c>
      <c r="O131" s="5">
        <f>'[3]M.C UNPIV'!P132</f>
        <v>3</v>
      </c>
    </row>
    <row r="132" spans="1:15" x14ac:dyDescent="0.25">
      <c r="A132" s="4" t="str">
        <f>'[3]M.C UNPIV'!B133</f>
        <v>Delta A</v>
      </c>
      <c r="B132" s="5" t="str">
        <f>'[3]M.C UNPIV'!C133</f>
        <v>Damietta - Khaled Ismaiel Al-Fath</v>
      </c>
      <c r="C132" s="5" t="str">
        <f>'[3]M.C UNPIV'!D133</f>
        <v>Al Saied Ibrahim Abdel Aal</v>
      </c>
      <c r="D132" s="5" t="str">
        <f>'[3]M.C UNPIV'!E133</f>
        <v>D22_R01872</v>
      </c>
      <c r="E132" s="5" t="str">
        <f>'[3]M.C UNPIV'!F133</f>
        <v>عزت الشربينى</v>
      </c>
      <c r="F132" s="5" t="str">
        <f>'[3]M.C UNPIV'!G133</f>
        <v>W/s Consumer &amp; Industrial</v>
      </c>
      <c r="G132" s="6">
        <f>'[3]M.C UNPIV'!H133</f>
        <v>46194</v>
      </c>
      <c r="H132" s="5" t="str">
        <f>'[3]M.C UNPIV'!I133</f>
        <v>D22_O_00259111</v>
      </c>
      <c r="I132" s="5">
        <f>'[3]M.C UNPIV'!J133</f>
        <v>300000</v>
      </c>
      <c r="J132" s="7">
        <f>'[3]M.C UNPIV'!K133</f>
        <v>31730.34</v>
      </c>
      <c r="K132" s="5">
        <f>'[3]M.C UNPIV'!L133</f>
        <v>0</v>
      </c>
      <c r="L132" s="5" t="str">
        <f>'[3]M.C UNPIV'!M133</f>
        <v>Not Due</v>
      </c>
      <c r="M132" s="6">
        <f>'[3]M.C UNPIV'!N133</f>
        <v>46205</v>
      </c>
      <c r="N132" s="5" t="str">
        <f>'[3]M.C UNPIV'!O133</f>
        <v>AFIA</v>
      </c>
      <c r="O132" s="5">
        <f>'[3]M.C UNPIV'!P133</f>
        <v>-3</v>
      </c>
    </row>
    <row r="133" spans="1:15" x14ac:dyDescent="0.25">
      <c r="A133" s="4" t="str">
        <f>'[3]M.C UNPIV'!B134</f>
        <v>Delta A</v>
      </c>
      <c r="B133" s="5" t="str">
        <f>'[3]M.C UNPIV'!C134</f>
        <v>Damietta - Khaled Ismaiel Al-Fath</v>
      </c>
      <c r="C133" s="5" t="str">
        <f>'[3]M.C UNPIV'!D134</f>
        <v>Al Saied Ibrahim Abdel Aal</v>
      </c>
      <c r="D133" s="5" t="str">
        <f>'[3]M.C UNPIV'!E134</f>
        <v>D22_R01874</v>
      </c>
      <c r="E133" s="5" t="str">
        <f>'[3]M.C UNPIV'!F134</f>
        <v>عمرو محرز</v>
      </c>
      <c r="F133" s="5" t="str">
        <f>'[3]M.C UNPIV'!G134</f>
        <v>W/s Consumer &amp; Industrial</v>
      </c>
      <c r="G133" s="6">
        <f>'[3]M.C UNPIV'!H134</f>
        <v>46198</v>
      </c>
      <c r="H133" s="5" t="str">
        <f>'[3]M.C UNPIV'!I134</f>
        <v>D22_O_00259291</v>
      </c>
      <c r="I133" s="5">
        <f>'[3]M.C UNPIV'!J134</f>
        <v>250000</v>
      </c>
      <c r="J133" s="7">
        <f>'[3]M.C UNPIV'!K134</f>
        <v>5442.28</v>
      </c>
      <c r="K133" s="5">
        <f>'[3]M.C UNPIV'!L134</f>
        <v>0</v>
      </c>
      <c r="L133" s="5" t="str">
        <f>'[3]M.C UNPIV'!M134</f>
        <v>Not Due</v>
      </c>
      <c r="M133" s="6">
        <f>'[3]M.C UNPIV'!N134</f>
        <v>46209</v>
      </c>
      <c r="N133" s="5" t="str">
        <f>'[3]M.C UNPIV'!O134</f>
        <v>AFIA</v>
      </c>
      <c r="O133" s="5">
        <f>'[3]M.C UNPIV'!P134</f>
        <v>-7</v>
      </c>
    </row>
    <row r="134" spans="1:15" x14ac:dyDescent="0.25">
      <c r="A134" s="4" t="str">
        <f>'[3]M.C UNPIV'!B135</f>
        <v>Delta A</v>
      </c>
      <c r="B134" s="5" t="str">
        <f>'[3]M.C UNPIV'!C135</f>
        <v>Damietta - Khaled Ismaiel Al-Fath</v>
      </c>
      <c r="C134" s="5" t="str">
        <f>'[3]M.C UNPIV'!D135</f>
        <v>Al Saied Ibrahim Abdel Aal</v>
      </c>
      <c r="D134" s="5" t="str">
        <f>'[3]M.C UNPIV'!E135</f>
        <v>D22_R01875</v>
      </c>
      <c r="E134" s="5" t="str">
        <f>'[3]M.C UNPIV'!F135</f>
        <v>عوض عبد الدايم</v>
      </c>
      <c r="F134" s="5" t="str">
        <f>'[3]M.C UNPIV'!G135</f>
        <v>W/s Consumer &amp; Industrial</v>
      </c>
      <c r="G134" s="6">
        <f>'[3]M.C UNPIV'!H135</f>
        <v>46195.417918634303</v>
      </c>
      <c r="H134" s="5" t="str">
        <f>'[3]M.C UNPIV'!I135</f>
        <v>D22_O_00259471</v>
      </c>
      <c r="I134" s="5">
        <f>'[3]M.C UNPIV'!J135</f>
        <v>200000</v>
      </c>
      <c r="J134" s="7">
        <f>'[3]M.C UNPIV'!K135</f>
        <v>51678.82</v>
      </c>
      <c r="K134" s="5">
        <f>'[3]M.C UNPIV'!L135</f>
        <v>0</v>
      </c>
      <c r="L134" s="5" t="str">
        <f>'[3]M.C UNPIV'!M135</f>
        <v>Not Due</v>
      </c>
      <c r="M134" s="6">
        <f>'[3]M.C UNPIV'!N135</f>
        <v>46206</v>
      </c>
      <c r="N134" s="5" t="str">
        <f>'[3]M.C UNPIV'!O135</f>
        <v>AFIA</v>
      </c>
      <c r="O134" s="5">
        <f>'[3]M.C UNPIV'!P135</f>
        <v>-4</v>
      </c>
    </row>
    <row r="135" spans="1:15" x14ac:dyDescent="0.25">
      <c r="A135" s="4" t="str">
        <f>'[3]M.C UNPIV'!B136</f>
        <v>Delta A</v>
      </c>
      <c r="B135" s="5" t="str">
        <f>'[3]M.C UNPIV'!C136</f>
        <v>Damietta - Khaled Ismaiel Al-Fath</v>
      </c>
      <c r="C135" s="5" t="str">
        <f>'[3]M.C UNPIV'!D136</f>
        <v>Al Saied Ibrahim Abdel Aal</v>
      </c>
      <c r="D135" s="5" t="str">
        <f>'[3]M.C UNPIV'!E136</f>
        <v>D22_R01893</v>
      </c>
      <c r="E135" s="5" t="str">
        <f>'[3]M.C UNPIV'!F136</f>
        <v>ياسر عثمان</v>
      </c>
      <c r="F135" s="5" t="str">
        <f>'[3]M.C UNPIV'!G136</f>
        <v>W/s Consumer &amp; Industrial</v>
      </c>
      <c r="G135" s="6">
        <f>'[3]M.C UNPIV'!H136</f>
        <v>46191</v>
      </c>
      <c r="H135" s="5" t="str">
        <f>'[3]M.C UNPIV'!I136</f>
        <v>D22_O_00258074</v>
      </c>
      <c r="I135" s="5">
        <f>'[3]M.C UNPIV'!J136</f>
        <v>100000</v>
      </c>
      <c r="J135" s="7">
        <f>'[3]M.C UNPIV'!K136</f>
        <v>71762.06</v>
      </c>
      <c r="K135" s="5">
        <f>'[3]M.C UNPIV'!L136</f>
        <v>0</v>
      </c>
      <c r="L135" s="5" t="str">
        <f>'[3]M.C UNPIV'!M136</f>
        <v>Not Due</v>
      </c>
      <c r="M135" s="6">
        <f>'[3]M.C UNPIV'!N136</f>
        <v>46202</v>
      </c>
      <c r="N135" s="5" t="str">
        <f>'[3]M.C UNPIV'!O136</f>
        <v>AFIA</v>
      </c>
      <c r="O135" s="5">
        <f>'[3]M.C UNPIV'!P136</f>
        <v>0</v>
      </c>
    </row>
    <row r="136" spans="1:15" x14ac:dyDescent="0.25">
      <c r="A136" s="4" t="str">
        <f>'[3]M.C UNPIV'!B137</f>
        <v>Delta A</v>
      </c>
      <c r="B136" s="5" t="str">
        <f>'[3]M.C UNPIV'!C137</f>
        <v>Damietta - Khaled Ismaiel Al-Fath</v>
      </c>
      <c r="C136" s="5" t="str">
        <f>'[3]M.C UNPIV'!D137</f>
        <v>Al Saied Ibrahim Abdel Aal</v>
      </c>
      <c r="D136" s="5" t="str">
        <f>'[3]M.C UNPIV'!E137</f>
        <v>D22_R01972</v>
      </c>
      <c r="E136" s="5" t="str">
        <f>'[3]M.C UNPIV'!F137</f>
        <v>منصور السيد سالم على</v>
      </c>
      <c r="F136" s="5" t="str">
        <f>'[3]M.C UNPIV'!G137</f>
        <v>W/s Consumer &amp; Industrial</v>
      </c>
      <c r="G136" s="6">
        <f>'[3]M.C UNPIV'!H137</f>
        <v>46147</v>
      </c>
      <c r="H136" s="5" t="str">
        <f>'[3]M.C UNPIV'!I137</f>
        <v>D22_O_00252164</v>
      </c>
      <c r="I136" s="5">
        <f>'[3]M.C UNPIV'!J137</f>
        <v>300000</v>
      </c>
      <c r="J136" s="7">
        <f>'[3]M.C UNPIV'!K137</f>
        <v>204936.45</v>
      </c>
      <c r="K136" s="5">
        <f>'[3]M.C UNPIV'!L137</f>
        <v>204936.45</v>
      </c>
      <c r="L136" s="5" t="str">
        <f>'[3]M.C UNPIV'!M137</f>
        <v>31 : 60 Days</v>
      </c>
      <c r="M136" s="6">
        <f>'[3]M.C UNPIV'!N137</f>
        <v>46158</v>
      </c>
      <c r="N136" s="5" t="str">
        <f>'[3]M.C UNPIV'!O137</f>
        <v>AFIA</v>
      </c>
      <c r="O136" s="5">
        <f>'[3]M.C UNPIV'!P137</f>
        <v>44</v>
      </c>
    </row>
    <row r="137" spans="1:15" x14ac:dyDescent="0.25">
      <c r="A137" s="4" t="str">
        <f>'[3]M.C UNPIV'!B138</f>
        <v>Delta A</v>
      </c>
      <c r="B137" s="5" t="str">
        <f>'[3]M.C UNPIV'!C138</f>
        <v>Damietta - Khaled Ismaiel Al-Fath</v>
      </c>
      <c r="C137" s="5" t="str">
        <f>'[3]M.C UNPIV'!D138</f>
        <v>Al Saied Ibrahim Abdel Aal</v>
      </c>
      <c r="D137" s="5" t="str">
        <f>'[3]M.C UNPIV'!E138</f>
        <v>D22_R01972</v>
      </c>
      <c r="E137" s="5" t="str">
        <f>'[3]M.C UNPIV'!F138</f>
        <v>منصور السيد سالم على</v>
      </c>
      <c r="F137" s="5" t="str">
        <f>'[3]M.C UNPIV'!G138</f>
        <v>W/s Consumer &amp; Industrial</v>
      </c>
      <c r="G137" s="6">
        <f>'[3]M.C UNPIV'!H138</f>
        <v>46173</v>
      </c>
      <c r="H137" s="5" t="str">
        <f>'[3]M.C UNPIV'!I138</f>
        <v>D22_O_00237039</v>
      </c>
      <c r="I137" s="5">
        <f>'[3]M.C UNPIV'!J138</f>
        <v>300000</v>
      </c>
      <c r="J137" s="7">
        <f>'[3]M.C UNPIV'!K138</f>
        <v>40608.94</v>
      </c>
      <c r="K137" s="5">
        <f>'[3]M.C UNPIV'!L138</f>
        <v>40608.94</v>
      </c>
      <c r="L137" s="5" t="str">
        <f>'[3]M.C UNPIV'!M138</f>
        <v>11 : 20 Days</v>
      </c>
      <c r="M137" s="6">
        <f>'[3]M.C UNPIV'!N138</f>
        <v>46184</v>
      </c>
      <c r="N137" s="5" t="str">
        <f>'[3]M.C UNPIV'!O138</f>
        <v>AFIA</v>
      </c>
      <c r="O137" s="5">
        <f>'[3]M.C UNPIV'!P138</f>
        <v>18</v>
      </c>
    </row>
    <row r="138" spans="1:15" x14ac:dyDescent="0.25">
      <c r="A138" s="4" t="str">
        <f>'[3]M.C UNPIV'!B139</f>
        <v>Delta A</v>
      </c>
      <c r="B138" s="5" t="str">
        <f>'[3]M.C UNPIV'!C139</f>
        <v>Damietta - Khaled Ismaiel Al-Fath</v>
      </c>
      <c r="C138" s="5" t="str">
        <f>'[3]M.C UNPIV'!D139</f>
        <v>Al Saied Ibrahim Abdel Aal</v>
      </c>
      <c r="D138" s="5" t="str">
        <f>'[3]M.C UNPIV'!E139</f>
        <v>D22_R02215</v>
      </c>
      <c r="E138" s="5" t="str">
        <f>'[3]M.C UNPIV'!F139</f>
        <v>يحيى عيد</v>
      </c>
      <c r="F138" s="5" t="str">
        <f>'[3]M.C UNPIV'!G139</f>
        <v>W/s Consumer &amp; Industrial</v>
      </c>
      <c r="G138" s="6">
        <f>'[3]M.C UNPIV'!H139</f>
        <v>46189</v>
      </c>
      <c r="H138" s="5" t="str">
        <f>'[3]M.C UNPIV'!I139</f>
        <v>D22_O_00258108</v>
      </c>
      <c r="I138" s="5">
        <f>'[3]M.C UNPIV'!J139</f>
        <v>150000</v>
      </c>
      <c r="J138" s="7">
        <f>'[3]M.C UNPIV'!K139</f>
        <v>6925.73</v>
      </c>
      <c r="K138" s="5">
        <f>'[3]M.C UNPIV'!L139</f>
        <v>6925.73</v>
      </c>
      <c r="L138" s="5" t="str">
        <f>'[3]M.C UNPIV'!M139</f>
        <v>1 : 10 Days</v>
      </c>
      <c r="M138" s="6">
        <f>'[3]M.C UNPIV'!N139</f>
        <v>46200</v>
      </c>
      <c r="N138" s="5" t="str">
        <f>'[3]M.C UNPIV'!O139</f>
        <v>AFIA</v>
      </c>
      <c r="O138" s="5">
        <f>'[3]M.C UNPIV'!P139</f>
        <v>2</v>
      </c>
    </row>
    <row r="139" spans="1:15" x14ac:dyDescent="0.25">
      <c r="A139" s="4" t="str">
        <f>'[3]M.C UNPIV'!B140</f>
        <v>Delta A</v>
      </c>
      <c r="B139" s="5" t="str">
        <f>'[3]M.C UNPIV'!C140</f>
        <v>Damietta - Khaled Ismaiel Al-Fath</v>
      </c>
      <c r="C139" s="5" t="str">
        <f>'[3]M.C UNPIV'!D140</f>
        <v>Gamal Hassan Al souhagy</v>
      </c>
      <c r="D139" s="5" t="str">
        <f>'[3]M.C UNPIV'!E140</f>
        <v>D22_G01898</v>
      </c>
      <c r="E139" s="5" t="str">
        <f>'[3]M.C UNPIV'!F140</f>
        <v>احمد عبدالله</v>
      </c>
      <c r="F139" s="5" t="str">
        <f>'[3]M.C UNPIV'!G140</f>
        <v>W/s Consumer &amp; Industrial</v>
      </c>
      <c r="G139" s="6">
        <f>'[3]M.C UNPIV'!H140</f>
        <v>46179</v>
      </c>
      <c r="H139" s="5" t="str">
        <f>'[3]M.C UNPIV'!I140</f>
        <v>D22_O_00252746</v>
      </c>
      <c r="I139" s="5">
        <f>'[3]M.C UNPIV'!J140</f>
        <v>75000</v>
      </c>
      <c r="J139" s="7">
        <f>'[3]M.C UNPIV'!K140</f>
        <v>1042</v>
      </c>
      <c r="K139" s="5">
        <f>'[3]M.C UNPIV'!L140</f>
        <v>1042</v>
      </c>
      <c r="L139" s="5" t="str">
        <f>'[3]M.C UNPIV'!M140</f>
        <v>11 : 20 Days</v>
      </c>
      <c r="M139" s="6">
        <f>'[3]M.C UNPIV'!N140</f>
        <v>46190</v>
      </c>
      <c r="N139" s="5" t="str">
        <f>'[3]M.C UNPIV'!O140</f>
        <v>PASTA</v>
      </c>
      <c r="O139" s="5">
        <f>'[3]M.C UNPIV'!P140</f>
        <v>12</v>
      </c>
    </row>
    <row r="140" spans="1:15" x14ac:dyDescent="0.25">
      <c r="A140" s="4" t="str">
        <f>'[3]M.C UNPIV'!B141</f>
        <v>Delta A</v>
      </c>
      <c r="B140" s="5" t="str">
        <f>'[3]M.C UNPIV'!C141</f>
        <v>Damietta - Khaled Ismaiel Al-Fath</v>
      </c>
      <c r="C140" s="5" t="str">
        <f>'[3]M.C UNPIV'!D141</f>
        <v>Gamal Hassan Al souhagy</v>
      </c>
      <c r="D140" s="5" t="str">
        <f>'[3]M.C UNPIV'!E141</f>
        <v>D22_G01899</v>
      </c>
      <c r="E140" s="5" t="str">
        <f>'[3]M.C UNPIV'!F141</f>
        <v>الاتحاد التعاونى</v>
      </c>
      <c r="F140" s="5" t="str">
        <f>'[3]M.C UNPIV'!G141</f>
        <v>W/s Consumer &amp; Industrial</v>
      </c>
      <c r="G140" s="6">
        <f>'[3]M.C UNPIV'!H141</f>
        <v>46184</v>
      </c>
      <c r="H140" s="5" t="str">
        <f>'[3]M.C UNPIV'!I141</f>
        <v>D22_O_00257895</v>
      </c>
      <c r="I140" s="5">
        <f>'[3]M.C UNPIV'!J141</f>
        <v>30000</v>
      </c>
      <c r="J140" s="7">
        <f>'[3]M.C UNPIV'!K141</f>
        <v>23134.6</v>
      </c>
      <c r="K140" s="5">
        <f>'[3]M.C UNPIV'!L141</f>
        <v>23134.6</v>
      </c>
      <c r="L140" s="5" t="str">
        <f>'[3]M.C UNPIV'!M141</f>
        <v>1 : 10 Days</v>
      </c>
      <c r="M140" s="6">
        <f>'[3]M.C UNPIV'!N141</f>
        <v>46195</v>
      </c>
      <c r="N140" s="5" t="str">
        <f>'[3]M.C UNPIV'!O141</f>
        <v>PASTA</v>
      </c>
      <c r="O140" s="5">
        <f>'[3]M.C UNPIV'!P141</f>
        <v>7</v>
      </c>
    </row>
    <row r="141" spans="1:15" x14ac:dyDescent="0.25">
      <c r="A141" s="4" t="str">
        <f>'[3]M.C UNPIV'!B142</f>
        <v>Delta A</v>
      </c>
      <c r="B141" s="5" t="str">
        <f>'[3]M.C UNPIV'!C142</f>
        <v>Damietta - Khaled Ismaiel Al-Fath</v>
      </c>
      <c r="C141" s="5" t="str">
        <f>'[3]M.C UNPIV'!D142</f>
        <v>Gamal Hassan Al souhagy</v>
      </c>
      <c r="D141" s="5" t="str">
        <f>'[3]M.C UNPIV'!E142</f>
        <v>D22_G01907</v>
      </c>
      <c r="E141" s="5" t="str">
        <f>'[3]M.C UNPIV'!F142</f>
        <v>الفردوس</v>
      </c>
      <c r="F141" s="5" t="str">
        <f>'[3]M.C UNPIV'!G142</f>
        <v>W/s Consumer &amp; Industrial</v>
      </c>
      <c r="G141" s="6">
        <f>'[3]M.C UNPIV'!H142</f>
        <v>46195</v>
      </c>
      <c r="H141" s="5" t="str">
        <f>'[3]M.C UNPIV'!I142</f>
        <v>D22_O_00258786</v>
      </c>
      <c r="I141" s="5">
        <f>'[3]M.C UNPIV'!J142</f>
        <v>100000</v>
      </c>
      <c r="J141" s="7">
        <f>'[3]M.C UNPIV'!K142</f>
        <v>45664</v>
      </c>
      <c r="K141" s="5">
        <f>'[3]M.C UNPIV'!L142</f>
        <v>0</v>
      </c>
      <c r="L141" s="5" t="str">
        <f>'[3]M.C UNPIV'!M142</f>
        <v>Not Due</v>
      </c>
      <c r="M141" s="6">
        <f>'[3]M.C UNPIV'!N142</f>
        <v>46206</v>
      </c>
      <c r="N141" s="5" t="str">
        <f>'[3]M.C UNPIV'!O142</f>
        <v>PASTA</v>
      </c>
      <c r="O141" s="5">
        <f>'[3]M.C UNPIV'!P142</f>
        <v>-4</v>
      </c>
    </row>
    <row r="142" spans="1:15" x14ac:dyDescent="0.25">
      <c r="A142" s="4" t="str">
        <f>'[3]M.C UNPIV'!B143</f>
        <v>Delta A</v>
      </c>
      <c r="B142" s="5" t="str">
        <f>'[3]M.C UNPIV'!C143</f>
        <v>Damietta - Khaled Ismaiel Al-Fath</v>
      </c>
      <c r="C142" s="5" t="str">
        <f>'[3]M.C UNPIV'!D143</f>
        <v>Gamal Hassan Al souhagy</v>
      </c>
      <c r="D142" s="5" t="str">
        <f>'[3]M.C UNPIV'!E143</f>
        <v>D22_G01909</v>
      </c>
      <c r="E142" s="5" t="str">
        <f>'[3]M.C UNPIV'!F143</f>
        <v>ايمن عبد الله</v>
      </c>
      <c r="F142" s="5" t="str">
        <f>'[3]M.C UNPIV'!G143</f>
        <v>W/s Consumer &amp; Industrial</v>
      </c>
      <c r="G142" s="6">
        <f>'[3]M.C UNPIV'!H143</f>
        <v>46188</v>
      </c>
      <c r="H142" s="5" t="str">
        <f>'[3]M.C UNPIV'!I143</f>
        <v>D22_O_00258216</v>
      </c>
      <c r="I142" s="7">
        <f>'[3]M.C UNPIV'!J143</f>
        <v>30000</v>
      </c>
      <c r="J142" s="7">
        <f>'[3]M.C UNPIV'!K143</f>
        <v>29999.99</v>
      </c>
      <c r="K142" s="7">
        <f>'[3]M.C UNPIV'!L143</f>
        <v>29999.99</v>
      </c>
      <c r="L142" s="5" t="str">
        <f>'[3]M.C UNPIV'!M143</f>
        <v>1 : 10 Days</v>
      </c>
      <c r="M142" s="6">
        <f>'[3]M.C UNPIV'!N143</f>
        <v>46199</v>
      </c>
      <c r="N142" s="5" t="str">
        <f>'[3]M.C UNPIV'!O143</f>
        <v>PASTA</v>
      </c>
      <c r="O142" s="5">
        <f>'[3]M.C UNPIV'!P143</f>
        <v>3</v>
      </c>
    </row>
    <row r="143" spans="1:15" x14ac:dyDescent="0.25">
      <c r="A143" s="4" t="str">
        <f>'[3]M.C UNPIV'!B144</f>
        <v>Delta A</v>
      </c>
      <c r="B143" s="5" t="str">
        <f>'[3]M.C UNPIV'!C144</f>
        <v>Damietta - Khaled Ismaiel Al-Fath</v>
      </c>
      <c r="C143" s="5" t="str">
        <f>'[3]M.C UNPIV'!D144</f>
        <v>Gamal Hassan Al souhagy</v>
      </c>
      <c r="D143" s="5" t="str">
        <f>'[3]M.C UNPIV'!E144</f>
        <v>D22_G01910</v>
      </c>
      <c r="E143" s="5" t="str">
        <f>'[3]M.C UNPIV'!F144</f>
        <v>جنة المؤمنيين</v>
      </c>
      <c r="F143" s="5" t="str">
        <f>'[3]M.C UNPIV'!G144</f>
        <v>W/s Consumer &amp; Industrial</v>
      </c>
      <c r="G143" s="6">
        <f>'[3]M.C UNPIV'!H144</f>
        <v>46197</v>
      </c>
      <c r="H143" s="5" t="str">
        <f>'[3]M.C UNPIV'!I144</f>
        <v>D22_O_00259812</v>
      </c>
      <c r="I143" s="7">
        <f>'[3]M.C UNPIV'!J144</f>
        <v>150000</v>
      </c>
      <c r="J143" s="7">
        <f>'[3]M.C UNPIV'!K144</f>
        <v>135814</v>
      </c>
      <c r="K143" s="7">
        <f>'[3]M.C UNPIV'!L144</f>
        <v>0</v>
      </c>
      <c r="L143" s="5" t="str">
        <f>'[3]M.C UNPIV'!M144</f>
        <v>Not Due</v>
      </c>
      <c r="M143" s="6">
        <f>'[3]M.C UNPIV'!N144</f>
        <v>46208</v>
      </c>
      <c r="N143" s="5" t="str">
        <f>'[3]M.C UNPIV'!O144</f>
        <v>PASTA</v>
      </c>
      <c r="O143" s="5">
        <f>'[3]M.C UNPIV'!P144</f>
        <v>-6</v>
      </c>
    </row>
    <row r="144" spans="1:15" x14ac:dyDescent="0.25">
      <c r="A144" s="4" t="str">
        <f>'[3]M.C UNPIV'!B145</f>
        <v>Delta A</v>
      </c>
      <c r="B144" s="5" t="str">
        <f>'[3]M.C UNPIV'!C145</f>
        <v>Damietta - Khaled Ismaiel Al-Fath</v>
      </c>
      <c r="C144" s="5" t="str">
        <f>'[3]M.C UNPIV'!D145</f>
        <v>Gamal Hassan Al souhagy</v>
      </c>
      <c r="D144" s="5" t="str">
        <f>'[3]M.C UNPIV'!E145</f>
        <v>D22_G01913</v>
      </c>
      <c r="E144" s="5" t="str">
        <f>'[3]M.C UNPIV'!F145</f>
        <v>سامح عبد الله</v>
      </c>
      <c r="F144" s="5" t="str">
        <f>'[3]M.C UNPIV'!G145</f>
        <v>W/s Consumer &amp; Industrial</v>
      </c>
      <c r="G144" s="6">
        <f>'[3]M.C UNPIV'!H145</f>
        <v>46188</v>
      </c>
      <c r="H144" s="5" t="str">
        <f>'[3]M.C UNPIV'!I145</f>
        <v>D22_O_00258048</v>
      </c>
      <c r="I144" s="7">
        <f>'[3]M.C UNPIV'!J145</f>
        <v>50000</v>
      </c>
      <c r="J144" s="7">
        <f>'[3]M.C UNPIV'!K145</f>
        <v>5001</v>
      </c>
      <c r="K144" s="7">
        <f>'[3]M.C UNPIV'!L145</f>
        <v>5001</v>
      </c>
      <c r="L144" s="5" t="str">
        <f>'[3]M.C UNPIV'!M145</f>
        <v>1 : 10 Days</v>
      </c>
      <c r="M144" s="6">
        <f>'[3]M.C UNPIV'!N145</f>
        <v>46199</v>
      </c>
      <c r="N144" s="5" t="str">
        <f>'[3]M.C UNPIV'!O145</f>
        <v>PASTA</v>
      </c>
      <c r="O144" s="5">
        <f>'[3]M.C UNPIV'!P145</f>
        <v>3</v>
      </c>
    </row>
    <row r="145" spans="1:15" x14ac:dyDescent="0.25">
      <c r="A145" s="4" t="str">
        <f>'[3]M.C UNPIV'!B146</f>
        <v>Delta A</v>
      </c>
      <c r="B145" s="5" t="str">
        <f>'[3]M.C UNPIV'!C146</f>
        <v>Damietta - Khaled Ismaiel Al-Fath</v>
      </c>
      <c r="C145" s="5" t="str">
        <f>'[3]M.C UNPIV'!D146</f>
        <v>Gamal Hassan Al souhagy</v>
      </c>
      <c r="D145" s="5" t="str">
        <f>'[3]M.C UNPIV'!E146</f>
        <v>D22_G01916</v>
      </c>
      <c r="E145" s="5" t="str">
        <f>'[3]M.C UNPIV'!F146</f>
        <v>سعد شطا</v>
      </c>
      <c r="F145" s="5" t="str">
        <f>'[3]M.C UNPIV'!G146</f>
        <v>W/s Consumer &amp; Industrial</v>
      </c>
      <c r="G145" s="6">
        <f>'[3]M.C UNPIV'!H146</f>
        <v>46155</v>
      </c>
      <c r="H145" s="5" t="str">
        <f>'[3]M.C UNPIV'!I146</f>
        <v>D22_O_00253368</v>
      </c>
      <c r="I145" s="7">
        <f>'[3]M.C UNPIV'!J146</f>
        <v>50000</v>
      </c>
      <c r="J145" s="7">
        <f>'[3]M.C UNPIV'!K146</f>
        <v>21694.49</v>
      </c>
      <c r="K145" s="7">
        <f>'[3]M.C UNPIV'!L146</f>
        <v>21694.49</v>
      </c>
      <c r="L145" s="5" t="str">
        <f>'[3]M.C UNPIV'!M146</f>
        <v>31 : 60 Days</v>
      </c>
      <c r="M145" s="6">
        <f>'[3]M.C UNPIV'!N146</f>
        <v>46166</v>
      </c>
      <c r="N145" s="5" t="str">
        <f>'[3]M.C UNPIV'!O146</f>
        <v>PASTA</v>
      </c>
      <c r="O145" s="5">
        <f>'[3]M.C UNPIV'!P146</f>
        <v>36</v>
      </c>
    </row>
    <row r="146" spans="1:15" x14ac:dyDescent="0.25">
      <c r="A146" s="4" t="str">
        <f>'[3]M.C UNPIV'!B147</f>
        <v>Delta A</v>
      </c>
      <c r="B146" s="5" t="str">
        <f>'[3]M.C UNPIV'!C147</f>
        <v>Damietta - Khaled Ismaiel Al-Fath</v>
      </c>
      <c r="C146" s="5" t="str">
        <f>'[3]M.C UNPIV'!D147</f>
        <v>Gamal Hassan Al souhagy</v>
      </c>
      <c r="D146" s="5" t="str">
        <f>'[3]M.C UNPIV'!E147</f>
        <v>D22_G01923</v>
      </c>
      <c r="E146" s="5" t="str">
        <f>'[3]M.C UNPIV'!F147</f>
        <v>فتحى حجازى</v>
      </c>
      <c r="F146" s="5" t="str">
        <f>'[3]M.C UNPIV'!G147</f>
        <v>W/s Consumer &amp; Industrial</v>
      </c>
      <c r="G146" s="6">
        <f>'[3]M.C UNPIV'!H147</f>
        <v>46189</v>
      </c>
      <c r="H146" s="5" t="str">
        <f>'[3]M.C UNPIV'!I147</f>
        <v>D22_O_00258236</v>
      </c>
      <c r="I146" s="7">
        <f>'[3]M.C UNPIV'!J147</f>
        <v>50000</v>
      </c>
      <c r="J146" s="7">
        <f>'[3]M.C UNPIV'!K147</f>
        <v>49872.99</v>
      </c>
      <c r="K146" s="7">
        <f>'[3]M.C UNPIV'!L147</f>
        <v>49872.99</v>
      </c>
      <c r="L146" s="5" t="str">
        <f>'[3]M.C UNPIV'!M147</f>
        <v>1 : 10 Days</v>
      </c>
      <c r="M146" s="6">
        <f>'[3]M.C UNPIV'!N147</f>
        <v>46200</v>
      </c>
      <c r="N146" s="5" t="str">
        <f>'[3]M.C UNPIV'!O147</f>
        <v>PASTA</v>
      </c>
      <c r="O146" s="5">
        <f>'[3]M.C UNPIV'!P147</f>
        <v>2</v>
      </c>
    </row>
    <row r="147" spans="1:15" x14ac:dyDescent="0.25">
      <c r="A147" s="4" t="str">
        <f>'[3]M.C UNPIV'!B148</f>
        <v>Delta A</v>
      </c>
      <c r="B147" s="5" t="str">
        <f>'[3]M.C UNPIV'!C148</f>
        <v>Damietta - Khaled Ismaiel Al-Fath</v>
      </c>
      <c r="C147" s="5" t="str">
        <f>'[3]M.C UNPIV'!D148</f>
        <v>Gamal Hassan Al souhagy</v>
      </c>
      <c r="D147" s="5" t="str">
        <f>'[3]M.C UNPIV'!E148</f>
        <v>D22_G01924</v>
      </c>
      <c r="E147" s="5" t="str">
        <f>'[3]M.C UNPIV'!F148</f>
        <v>فتحى خميس</v>
      </c>
      <c r="F147" s="5" t="str">
        <f>'[3]M.C UNPIV'!G148</f>
        <v>W/s Consumer &amp; Industrial</v>
      </c>
      <c r="G147" s="6">
        <f>'[3]M.C UNPIV'!H148</f>
        <v>46194</v>
      </c>
      <c r="H147" s="5" t="str">
        <f>'[3]M.C UNPIV'!I148</f>
        <v>D22_O_00235559</v>
      </c>
      <c r="I147" s="7">
        <f>'[3]M.C UNPIV'!J148</f>
        <v>125000</v>
      </c>
      <c r="J147" s="7">
        <f>'[3]M.C UNPIV'!K148</f>
        <v>124999.99</v>
      </c>
      <c r="K147" s="7">
        <f>'[3]M.C UNPIV'!L148</f>
        <v>0</v>
      </c>
      <c r="L147" s="5" t="str">
        <f>'[3]M.C UNPIV'!M148</f>
        <v>Not Due</v>
      </c>
      <c r="M147" s="6">
        <f>'[3]M.C UNPIV'!N148</f>
        <v>46205</v>
      </c>
      <c r="N147" s="5" t="str">
        <f>'[3]M.C UNPIV'!O148</f>
        <v>PASTA</v>
      </c>
      <c r="O147" s="5">
        <f>'[3]M.C UNPIV'!P148</f>
        <v>-3</v>
      </c>
    </row>
    <row r="148" spans="1:15" x14ac:dyDescent="0.25">
      <c r="A148" s="4" t="str">
        <f>'[3]M.C UNPIV'!B149</f>
        <v>Delta A</v>
      </c>
      <c r="B148" s="5" t="str">
        <f>'[3]M.C UNPIV'!C149</f>
        <v>Damietta - Khaled Ismaiel Al-Fath</v>
      </c>
      <c r="C148" s="5" t="str">
        <f>'[3]M.C UNPIV'!D149</f>
        <v>Gamal Hassan Al souhagy</v>
      </c>
      <c r="D148" s="5" t="str">
        <f>'[3]M.C UNPIV'!E149</f>
        <v>D22_G01926</v>
      </c>
      <c r="E148" s="5" t="str">
        <f>'[3]M.C UNPIV'!F149</f>
        <v>محمد المليجى</v>
      </c>
      <c r="F148" s="5" t="str">
        <f>'[3]M.C UNPIV'!G149</f>
        <v>W/s Consumer &amp; Industrial</v>
      </c>
      <c r="G148" s="6">
        <f>'[3]M.C UNPIV'!H149</f>
        <v>46201</v>
      </c>
      <c r="H148" s="5" t="str">
        <f>'[3]M.C UNPIV'!I149</f>
        <v>D22_O_00259849</v>
      </c>
      <c r="I148" s="7">
        <f>'[3]M.C UNPIV'!J149</f>
        <v>75000</v>
      </c>
      <c r="J148" s="7">
        <f>'[3]M.C UNPIV'!K149</f>
        <v>52832</v>
      </c>
      <c r="K148" s="7">
        <f>'[3]M.C UNPIV'!L149</f>
        <v>0</v>
      </c>
      <c r="L148" s="5" t="str">
        <f>'[3]M.C UNPIV'!M149</f>
        <v>Not Due</v>
      </c>
      <c r="M148" s="6">
        <f>'[3]M.C UNPIV'!N149</f>
        <v>46212</v>
      </c>
      <c r="N148" s="5" t="str">
        <f>'[3]M.C UNPIV'!O149</f>
        <v>PASTA</v>
      </c>
      <c r="O148" s="5">
        <f>'[3]M.C UNPIV'!P149</f>
        <v>-10</v>
      </c>
    </row>
    <row r="149" spans="1:15" x14ac:dyDescent="0.25">
      <c r="A149" s="4" t="str">
        <f>'[3]M.C UNPIV'!B150</f>
        <v>Delta A</v>
      </c>
      <c r="B149" s="5" t="str">
        <f>'[3]M.C UNPIV'!C150</f>
        <v>Damietta - Khaled Ismaiel Al-Fath</v>
      </c>
      <c r="C149" s="5" t="str">
        <f>'[3]M.C UNPIV'!D150</f>
        <v>Gamal Hassan Al souhagy</v>
      </c>
      <c r="D149" s="5" t="str">
        <f>'[3]M.C UNPIV'!E150</f>
        <v>D22_G01934</v>
      </c>
      <c r="E149" s="5" t="str">
        <f>'[3]M.C UNPIV'!F150</f>
        <v>هندام</v>
      </c>
      <c r="F149" s="5" t="str">
        <f>'[3]M.C UNPIV'!G150</f>
        <v>W/s Consumer &amp; Industrial</v>
      </c>
      <c r="G149" s="6">
        <f>'[3]M.C UNPIV'!H150</f>
        <v>46186</v>
      </c>
      <c r="H149" s="5" t="str">
        <f>'[3]M.C UNPIV'!I150</f>
        <v>D22_O_00257019</v>
      </c>
      <c r="I149" s="7">
        <f>'[3]M.C UNPIV'!J150</f>
        <v>25000</v>
      </c>
      <c r="J149" s="7">
        <f>'[3]M.C UNPIV'!K150</f>
        <v>15499.99</v>
      </c>
      <c r="K149" s="7">
        <f>'[3]M.C UNPIV'!L150</f>
        <v>15499.99</v>
      </c>
      <c r="L149" s="5" t="str">
        <f>'[3]M.C UNPIV'!M150</f>
        <v>1 : 10 Days</v>
      </c>
      <c r="M149" s="6">
        <f>'[3]M.C UNPIV'!N150</f>
        <v>46197</v>
      </c>
      <c r="N149" s="5" t="str">
        <f>'[3]M.C UNPIV'!O150</f>
        <v>PASTA</v>
      </c>
      <c r="O149" s="5">
        <f>'[3]M.C UNPIV'!P150</f>
        <v>5</v>
      </c>
    </row>
    <row r="150" spans="1:15" x14ac:dyDescent="0.25">
      <c r="A150" s="4" t="str">
        <f>'[3]M.C UNPIV'!B151</f>
        <v>Delta A</v>
      </c>
      <c r="B150" s="5" t="str">
        <f>'[3]M.C UNPIV'!C151</f>
        <v>Damietta - Khaled Ismaiel Al-Fath</v>
      </c>
      <c r="C150" s="5" t="str">
        <f>'[3]M.C UNPIV'!D151</f>
        <v>Gamal Hassan Al souhagy</v>
      </c>
      <c r="D150" s="5" t="str">
        <f>'[3]M.C UNPIV'!E151</f>
        <v>D22_G01969</v>
      </c>
      <c r="E150" s="5" t="str">
        <f>'[3]M.C UNPIV'!F151</f>
        <v>عارف العشرى</v>
      </c>
      <c r="F150" s="5" t="str">
        <f>'[3]M.C UNPIV'!G151</f>
        <v>W/s Consumer &amp; Industrial</v>
      </c>
      <c r="G150" s="6">
        <f>'[3]M.C UNPIV'!H151</f>
        <v>46189</v>
      </c>
      <c r="H150" s="5" t="str">
        <f>'[3]M.C UNPIV'!I151</f>
        <v>D22_O_00256225</v>
      </c>
      <c r="I150" s="7">
        <f>'[3]M.C UNPIV'!J151</f>
        <v>25000</v>
      </c>
      <c r="J150" s="7">
        <f>'[3]M.C UNPIV'!K151</f>
        <v>24999.99</v>
      </c>
      <c r="K150" s="7">
        <f>'[3]M.C UNPIV'!L151</f>
        <v>24999.99</v>
      </c>
      <c r="L150" s="5" t="str">
        <f>'[3]M.C UNPIV'!M151</f>
        <v>1 : 10 Days</v>
      </c>
      <c r="M150" s="6">
        <f>'[3]M.C UNPIV'!N151</f>
        <v>46200</v>
      </c>
      <c r="N150" s="5" t="str">
        <f>'[3]M.C UNPIV'!O151</f>
        <v>PASTA</v>
      </c>
      <c r="O150" s="5">
        <f>'[3]M.C UNPIV'!P151</f>
        <v>2</v>
      </c>
    </row>
    <row r="151" spans="1:15" x14ac:dyDescent="0.25">
      <c r="A151" s="4" t="str">
        <f>'[3]M.C UNPIV'!B152</f>
        <v>Delta A</v>
      </c>
      <c r="B151" s="5" t="str">
        <f>'[3]M.C UNPIV'!C152</f>
        <v>Damietta - Khaled Ismaiel Al-Fath</v>
      </c>
      <c r="C151" s="5" t="str">
        <f>'[3]M.C UNPIV'!D152</f>
        <v>Gamal Hassan Al souhagy</v>
      </c>
      <c r="D151" s="5" t="str">
        <f>'[3]M.C UNPIV'!E152</f>
        <v>D22_G01974</v>
      </c>
      <c r="E151" s="5" t="str">
        <f>'[3]M.C UNPIV'!F152</f>
        <v>محمد الشيخ</v>
      </c>
      <c r="F151" s="5" t="str">
        <f>'[3]M.C UNPIV'!G152</f>
        <v>W/s Consumer &amp; Industrial</v>
      </c>
      <c r="G151" s="6">
        <f>'[3]M.C UNPIV'!H152</f>
        <v>46194</v>
      </c>
      <c r="H151" s="5" t="str">
        <f>'[3]M.C UNPIV'!I152</f>
        <v>D22_O_00239528</v>
      </c>
      <c r="I151" s="7">
        <f>'[3]M.C UNPIV'!J152</f>
        <v>25000</v>
      </c>
      <c r="J151" s="7">
        <f>'[3]M.C UNPIV'!K152</f>
        <v>24999.99</v>
      </c>
      <c r="K151" s="7">
        <f>'[3]M.C UNPIV'!L152</f>
        <v>0</v>
      </c>
      <c r="L151" s="5" t="str">
        <f>'[3]M.C UNPIV'!M152</f>
        <v>Not Due</v>
      </c>
      <c r="M151" s="6">
        <f>'[3]M.C UNPIV'!N152</f>
        <v>46205</v>
      </c>
      <c r="N151" s="5" t="str">
        <f>'[3]M.C UNPIV'!O152</f>
        <v>PASTA</v>
      </c>
      <c r="O151" s="5">
        <f>'[3]M.C UNPIV'!P152</f>
        <v>-3</v>
      </c>
    </row>
    <row r="152" spans="1:15" x14ac:dyDescent="0.25">
      <c r="A152" s="4" t="str">
        <f>'[3]M.C UNPIV'!B153</f>
        <v>Delta A</v>
      </c>
      <c r="B152" s="5" t="str">
        <f>'[3]M.C UNPIV'!C153</f>
        <v>Damietta - Khaled Ismaiel Al-Fath</v>
      </c>
      <c r="C152" s="5" t="str">
        <f>'[3]M.C UNPIV'!D153</f>
        <v>Gamal Hassan Al souhagy</v>
      </c>
      <c r="D152" s="5" t="str">
        <f>'[3]M.C UNPIV'!E153</f>
        <v>D22_G02216</v>
      </c>
      <c r="E152" s="5" t="str">
        <f>'[3]M.C UNPIV'!F153</f>
        <v>الطازج</v>
      </c>
      <c r="F152" s="5" t="str">
        <f>'[3]M.C UNPIV'!G153</f>
        <v>W/s Consumer &amp; Industrial</v>
      </c>
      <c r="G152" s="6">
        <f>'[3]M.C UNPIV'!H153</f>
        <v>46194</v>
      </c>
      <c r="H152" s="5" t="str">
        <f>'[3]M.C UNPIV'!I153</f>
        <v>D22_O_00258266</v>
      </c>
      <c r="I152" s="7">
        <f>'[3]M.C UNPIV'!J153</f>
        <v>25000</v>
      </c>
      <c r="J152" s="7">
        <f>'[3]M.C UNPIV'!K153</f>
        <v>24999.99</v>
      </c>
      <c r="K152" s="7">
        <f>'[3]M.C UNPIV'!L153</f>
        <v>0</v>
      </c>
      <c r="L152" s="5" t="str">
        <f>'[3]M.C UNPIV'!M153</f>
        <v>Not Due</v>
      </c>
      <c r="M152" s="6">
        <f>'[3]M.C UNPIV'!N153</f>
        <v>46205</v>
      </c>
      <c r="N152" s="5" t="str">
        <f>'[3]M.C UNPIV'!O153</f>
        <v>PASTA</v>
      </c>
      <c r="O152" s="5">
        <f>'[3]M.C UNPIV'!P153</f>
        <v>-3</v>
      </c>
    </row>
    <row r="153" spans="1:15" x14ac:dyDescent="0.25">
      <c r="A153" s="4" t="str">
        <f>'[3]M.C UNPIV'!B154</f>
        <v>Delta A</v>
      </c>
      <c r="B153" s="5" t="str">
        <f>'[3]M.C UNPIV'!C154</f>
        <v>Damietta - Khaled Ismaiel Al-Fath</v>
      </c>
      <c r="C153" s="5" t="str">
        <f>'[3]M.C UNPIV'!D154</f>
        <v>Islam Ashraf Al tabaey</v>
      </c>
      <c r="D153" s="5" t="str">
        <f>'[3]M.C UNPIV'!E154</f>
        <v>D22_G01863</v>
      </c>
      <c r="E153" s="5" t="str">
        <f>'[3]M.C UNPIV'!F154</f>
        <v>شركة الرحمة</v>
      </c>
      <c r="F153" s="5" t="str">
        <f>'[3]M.C UNPIV'!G154</f>
        <v>W/s Consumer &amp; Industrial</v>
      </c>
      <c r="G153" s="6">
        <f>'[3]M.C UNPIV'!H154</f>
        <v>46186</v>
      </c>
      <c r="H153" s="5" t="str">
        <f>'[3]M.C UNPIV'!I154</f>
        <v>D22_O_00256619</v>
      </c>
      <c r="I153" s="7">
        <f>'[3]M.C UNPIV'!J154</f>
        <v>4000000</v>
      </c>
      <c r="J153" s="7">
        <f>'[3]M.C UNPIV'!K154</f>
        <v>599374.91</v>
      </c>
      <c r="K153" s="5">
        <f>'[3]M.C UNPIV'!L154</f>
        <v>599374.91</v>
      </c>
      <c r="L153" s="5" t="str">
        <f>'[3]M.C UNPIV'!M154</f>
        <v>1 : 10 Days</v>
      </c>
      <c r="M153" s="6">
        <f>'[3]M.C UNPIV'!N154</f>
        <v>46197</v>
      </c>
      <c r="N153" s="5" t="str">
        <f>'[3]M.C UNPIV'!O154</f>
        <v>PASTA</v>
      </c>
      <c r="O153" s="5">
        <f>'[3]M.C UNPIV'!P154</f>
        <v>5</v>
      </c>
    </row>
    <row r="154" spans="1:15" x14ac:dyDescent="0.25">
      <c r="A154" s="4" t="str">
        <f>'[3]M.C UNPIV'!B155</f>
        <v>Delta A</v>
      </c>
      <c r="B154" s="5" t="str">
        <f>'[3]M.C UNPIV'!C155</f>
        <v>Damietta - Khaled Ismaiel Al-Fath</v>
      </c>
      <c r="C154" s="5" t="str">
        <f>'[3]M.C UNPIV'!D155</f>
        <v>Islam Ashraf Al tabaey</v>
      </c>
      <c r="D154" s="5" t="str">
        <f>'[3]M.C UNPIV'!E155</f>
        <v>D22_G01863</v>
      </c>
      <c r="E154" s="5" t="str">
        <f>'[3]M.C UNPIV'!F155</f>
        <v>شركة الرحمة</v>
      </c>
      <c r="F154" s="5" t="str">
        <f>'[3]M.C UNPIV'!G155</f>
        <v>W/s Consumer &amp; Industrial</v>
      </c>
      <c r="G154" s="6">
        <f>'[3]M.C UNPIV'!H155</f>
        <v>46201.512531446802</v>
      </c>
      <c r="H154" s="5" t="str">
        <f>'[3]M.C UNPIV'!I155</f>
        <v>D22_O_00260387</v>
      </c>
      <c r="I154" s="7">
        <f>'[3]M.C UNPIV'!J155</f>
        <v>4000000</v>
      </c>
      <c r="J154" s="7">
        <f>'[3]M.C UNPIV'!K155</f>
        <v>924560</v>
      </c>
      <c r="K154" s="5">
        <f>'[3]M.C UNPIV'!L155</f>
        <v>0</v>
      </c>
      <c r="L154" s="5" t="str">
        <f>'[3]M.C UNPIV'!M155</f>
        <v>Not Due</v>
      </c>
      <c r="M154" s="6">
        <f>'[3]M.C UNPIV'!N155</f>
        <v>46212</v>
      </c>
      <c r="N154" s="5" t="str">
        <f>'[3]M.C UNPIV'!O155</f>
        <v>PASTA</v>
      </c>
      <c r="O154" s="5">
        <f>'[3]M.C UNPIV'!P155</f>
        <v>-10</v>
      </c>
    </row>
    <row r="155" spans="1:15" x14ac:dyDescent="0.25">
      <c r="A155" s="4" t="str">
        <f>'[3]M.C UNPIV'!B156</f>
        <v>Delta A</v>
      </c>
      <c r="B155" s="5" t="str">
        <f>'[3]M.C UNPIV'!C156</f>
        <v>Damietta - Khaled Ismaiel Al-Fath</v>
      </c>
      <c r="C155" s="5" t="str">
        <f>'[3]M.C UNPIV'!D156</f>
        <v>Islam Ashraf Al tabaey</v>
      </c>
      <c r="D155" s="5" t="str">
        <f>'[3]M.C UNPIV'!E156</f>
        <v>D22_G01874</v>
      </c>
      <c r="E155" s="5" t="str">
        <f>'[3]M.C UNPIV'!F156</f>
        <v>عمرو محرز</v>
      </c>
      <c r="F155" s="5" t="str">
        <f>'[3]M.C UNPIV'!G156</f>
        <v>W/s Consumer &amp; Industrial</v>
      </c>
      <c r="G155" s="6">
        <f>'[3]M.C UNPIV'!H156</f>
        <v>46196</v>
      </c>
      <c r="H155" s="5" t="str">
        <f>'[3]M.C UNPIV'!I156</f>
        <v>D22_O_00257726</v>
      </c>
      <c r="I155" s="7">
        <f>'[3]M.C UNPIV'!J156</f>
        <v>1500000</v>
      </c>
      <c r="J155" s="7">
        <f>'[3]M.C UNPIV'!K156</f>
        <v>1499870.78</v>
      </c>
      <c r="K155" s="5">
        <f>'[3]M.C UNPIV'!L156</f>
        <v>0</v>
      </c>
      <c r="L155" s="5" t="str">
        <f>'[3]M.C UNPIV'!M156</f>
        <v>Not Due</v>
      </c>
      <c r="M155" s="6">
        <f>'[3]M.C UNPIV'!N156</f>
        <v>46207</v>
      </c>
      <c r="N155" s="5" t="str">
        <f>'[3]M.C UNPIV'!O156</f>
        <v>PASTA</v>
      </c>
      <c r="O155" s="5">
        <f>'[3]M.C UNPIV'!P156</f>
        <v>-5</v>
      </c>
    </row>
    <row r="156" spans="1:15" x14ac:dyDescent="0.25">
      <c r="A156" s="4" t="str">
        <f>'[3]M.C UNPIV'!B157</f>
        <v>Delta A</v>
      </c>
      <c r="B156" s="5" t="str">
        <f>'[3]M.C UNPIV'!C157</f>
        <v>Damietta - Khaled Ismaiel Al-Fath</v>
      </c>
      <c r="C156" s="5" t="str">
        <f>'[3]M.C UNPIV'!D157</f>
        <v>Islam Ashraf Al tabaey</v>
      </c>
      <c r="D156" s="5" t="str">
        <f>'[3]M.C UNPIV'!E157</f>
        <v>D22_G01875</v>
      </c>
      <c r="E156" s="5" t="str">
        <f>'[3]M.C UNPIV'!F157</f>
        <v>عوض عبد الدايم</v>
      </c>
      <c r="F156" s="5" t="str">
        <f>'[3]M.C UNPIV'!G157</f>
        <v>W/s Consumer &amp; Industrial</v>
      </c>
      <c r="G156" s="6">
        <f>'[3]M.C UNPIV'!H157</f>
        <v>46158.417895717597</v>
      </c>
      <c r="H156" s="5" t="str">
        <f>'[3]M.C UNPIV'!I157</f>
        <v>D22_O_00254071</v>
      </c>
      <c r="I156" s="7">
        <f>'[3]M.C UNPIV'!J157</f>
        <v>150000</v>
      </c>
      <c r="J156" s="7">
        <f>'[3]M.C UNPIV'!K157</f>
        <v>132080</v>
      </c>
      <c r="K156" s="5">
        <f>'[3]M.C UNPIV'!L157</f>
        <v>132080</v>
      </c>
      <c r="L156" s="5" t="str">
        <f>'[3]M.C UNPIV'!M157</f>
        <v>31 : 60 Days</v>
      </c>
      <c r="M156" s="6">
        <f>'[3]M.C UNPIV'!N157</f>
        <v>46169</v>
      </c>
      <c r="N156" s="5" t="str">
        <f>'[3]M.C UNPIV'!O157</f>
        <v>PASTA</v>
      </c>
      <c r="O156" s="5">
        <f>'[3]M.C UNPIV'!P157</f>
        <v>33</v>
      </c>
    </row>
    <row r="157" spans="1:15" x14ac:dyDescent="0.25">
      <c r="A157" s="4" t="str">
        <f>'[3]M.C UNPIV'!B158</f>
        <v>Delta A</v>
      </c>
      <c r="B157" s="5" t="str">
        <f>'[3]M.C UNPIV'!C158</f>
        <v>Damietta - Khaled Ismaiel Al-Fath</v>
      </c>
      <c r="C157" s="5" t="str">
        <f>'[3]M.C UNPIV'!D158</f>
        <v>Islam Ashraf Al tabaey</v>
      </c>
      <c r="D157" s="5" t="str">
        <f>'[3]M.C UNPIV'!E158</f>
        <v>D22_G01972</v>
      </c>
      <c r="E157" s="5" t="str">
        <f>'[3]M.C UNPIV'!F158</f>
        <v>منصور السيد سالم على</v>
      </c>
      <c r="F157" s="5" t="str">
        <f>'[3]M.C UNPIV'!G158</f>
        <v>W/s Consumer &amp; Industrial</v>
      </c>
      <c r="G157" s="6">
        <f>'[3]M.C UNPIV'!H158</f>
        <v>46180.403835798599</v>
      </c>
      <c r="H157" s="5" t="str">
        <f>'[3]M.C UNPIV'!I158</f>
        <v>D22_O_00257156</v>
      </c>
      <c r="I157" s="7">
        <f>'[3]M.C UNPIV'!J158</f>
        <v>100000</v>
      </c>
      <c r="J157" s="7">
        <f>'[3]M.C UNPIV'!K158</f>
        <v>99994.99</v>
      </c>
      <c r="K157" s="5">
        <f>'[3]M.C UNPIV'!L158</f>
        <v>99994.99</v>
      </c>
      <c r="L157" s="5" t="str">
        <f>'[3]M.C UNPIV'!M158</f>
        <v>11 : 20 Days</v>
      </c>
      <c r="M157" s="6">
        <f>'[3]M.C UNPIV'!N158</f>
        <v>46191</v>
      </c>
      <c r="N157" s="5" t="str">
        <f>'[3]M.C UNPIV'!O158</f>
        <v>PASTA</v>
      </c>
      <c r="O157" s="5">
        <f>'[3]M.C UNPIV'!P158</f>
        <v>11</v>
      </c>
    </row>
    <row r="158" spans="1:15" x14ac:dyDescent="0.25">
      <c r="A158" s="4" t="str">
        <f>'[3]M.C UNPIV'!B159</f>
        <v>Delta A</v>
      </c>
      <c r="B158" s="5" t="str">
        <f>'[3]M.C UNPIV'!C159</f>
        <v>Damietta - Khaled Ismaiel Al-Fath</v>
      </c>
      <c r="C158" s="5" t="str">
        <f>'[3]M.C UNPIV'!D159</f>
        <v>Moaz Mohamed Al desouky</v>
      </c>
      <c r="D158" s="5" t="str">
        <f>'[3]M.C UNPIV'!E159</f>
        <v>D22_R01896</v>
      </c>
      <c r="E158" s="5" t="str">
        <f>'[3]M.C UNPIV'!F159</f>
        <v>ابو علاء</v>
      </c>
      <c r="F158" s="5" t="str">
        <f>'[3]M.C UNPIV'!G159</f>
        <v>W/s Consumer &amp; Industrial</v>
      </c>
      <c r="G158" s="6">
        <f>'[3]M.C UNPIV'!H159</f>
        <v>46176</v>
      </c>
      <c r="H158" s="5" t="str">
        <f>'[3]M.C UNPIV'!I159</f>
        <v>D22_O_00255383</v>
      </c>
      <c r="I158" s="7">
        <f>'[3]M.C UNPIV'!J159</f>
        <v>25000</v>
      </c>
      <c r="J158" s="7">
        <f>'[3]M.C UNPIV'!K159</f>
        <v>24961.64</v>
      </c>
      <c r="K158" s="5">
        <f>'[3]M.C UNPIV'!L159</f>
        <v>24961.64</v>
      </c>
      <c r="L158" s="5" t="str">
        <f>'[3]M.C UNPIV'!M159</f>
        <v>11 : 20 Days</v>
      </c>
      <c r="M158" s="6">
        <f>'[3]M.C UNPIV'!N159</f>
        <v>46187</v>
      </c>
      <c r="N158" s="5" t="str">
        <f>'[3]M.C UNPIV'!O159</f>
        <v>AFIA</v>
      </c>
      <c r="O158" s="5">
        <f>'[3]M.C UNPIV'!P159</f>
        <v>15</v>
      </c>
    </row>
    <row r="159" spans="1:15" x14ac:dyDescent="0.25">
      <c r="A159" s="4" t="str">
        <f>'[3]M.C UNPIV'!B160</f>
        <v>Delta A</v>
      </c>
      <c r="B159" s="5" t="str">
        <f>'[3]M.C UNPIV'!C160</f>
        <v>Damietta - Khaled Ismaiel Al-Fath</v>
      </c>
      <c r="C159" s="5" t="str">
        <f>'[3]M.C UNPIV'!D160</f>
        <v>Moaz Mohamed Al desouky</v>
      </c>
      <c r="D159" s="5" t="str">
        <f>'[3]M.C UNPIV'!E160</f>
        <v>D22_R01898</v>
      </c>
      <c r="E159" s="5" t="str">
        <f>'[3]M.C UNPIV'!F160</f>
        <v>احمد عبدالله</v>
      </c>
      <c r="F159" s="5" t="str">
        <f>'[3]M.C UNPIV'!G160</f>
        <v>W/s Consumer &amp; Industrial</v>
      </c>
      <c r="G159" s="6">
        <f>'[3]M.C UNPIV'!H160</f>
        <v>46193</v>
      </c>
      <c r="H159" s="5" t="str">
        <f>'[3]M.C UNPIV'!I160</f>
        <v>D22_O_00253946</v>
      </c>
      <c r="I159" s="7">
        <f>'[3]M.C UNPIV'!J160</f>
        <v>100000</v>
      </c>
      <c r="J159" s="7">
        <f>'[3]M.C UNPIV'!K160</f>
        <v>56032.71</v>
      </c>
      <c r="K159" s="5">
        <f>'[3]M.C UNPIV'!L160</f>
        <v>0</v>
      </c>
      <c r="L159" s="5" t="str">
        <f>'[3]M.C UNPIV'!M160</f>
        <v>Not Due</v>
      </c>
      <c r="M159" s="6">
        <f>'[3]M.C UNPIV'!N160</f>
        <v>46204</v>
      </c>
      <c r="N159" s="5" t="str">
        <f>'[3]M.C UNPIV'!O160</f>
        <v>AFIA</v>
      </c>
      <c r="O159" s="5">
        <f>'[3]M.C UNPIV'!P160</f>
        <v>-2</v>
      </c>
    </row>
    <row r="160" spans="1:15" x14ac:dyDescent="0.25">
      <c r="A160" s="4" t="str">
        <f>'[3]M.C UNPIV'!B161</f>
        <v>Delta A</v>
      </c>
      <c r="B160" s="5" t="str">
        <f>'[3]M.C UNPIV'!C161</f>
        <v>Damietta - Khaled Ismaiel Al-Fath</v>
      </c>
      <c r="C160" s="5" t="str">
        <f>'[3]M.C UNPIV'!D161</f>
        <v>Moaz Mohamed Al desouky</v>
      </c>
      <c r="D160" s="5" t="str">
        <f>'[3]M.C UNPIV'!E161</f>
        <v>D22_R01901</v>
      </c>
      <c r="E160" s="5" t="str">
        <f>'[3]M.C UNPIV'!F161</f>
        <v>الايمان</v>
      </c>
      <c r="F160" s="5" t="str">
        <f>'[3]M.C UNPIV'!G161</f>
        <v>W/s Consumer &amp; Industrial</v>
      </c>
      <c r="G160" s="6">
        <f>'[3]M.C UNPIV'!H161</f>
        <v>46197</v>
      </c>
      <c r="H160" s="5" t="str">
        <f>'[3]M.C UNPIV'!I161</f>
        <v>D22_O_00256606</v>
      </c>
      <c r="I160" s="7">
        <f>'[3]M.C UNPIV'!J161</f>
        <v>150000</v>
      </c>
      <c r="J160" s="7">
        <f>'[3]M.C UNPIV'!K161</f>
        <v>65124.67</v>
      </c>
      <c r="K160" s="5">
        <f>'[3]M.C UNPIV'!L161</f>
        <v>0</v>
      </c>
      <c r="L160" s="5" t="str">
        <f>'[3]M.C UNPIV'!M161</f>
        <v>Not Due</v>
      </c>
      <c r="M160" s="6">
        <f>'[3]M.C UNPIV'!N161</f>
        <v>46208</v>
      </c>
      <c r="N160" s="5" t="str">
        <f>'[3]M.C UNPIV'!O161</f>
        <v>AFIA</v>
      </c>
      <c r="O160" s="5">
        <f>'[3]M.C UNPIV'!P161</f>
        <v>-6</v>
      </c>
    </row>
    <row r="161" spans="1:15" x14ac:dyDescent="0.25">
      <c r="A161" s="4" t="str">
        <f>'[3]M.C UNPIV'!B162</f>
        <v>Delta A</v>
      </c>
      <c r="B161" s="5" t="str">
        <f>'[3]M.C UNPIV'!C162</f>
        <v>Damietta - Khaled Ismaiel Al-Fath</v>
      </c>
      <c r="C161" s="5" t="str">
        <f>'[3]M.C UNPIV'!D162</f>
        <v>Moaz Mohamed Al desouky</v>
      </c>
      <c r="D161" s="5" t="str">
        <f>'[3]M.C UNPIV'!E162</f>
        <v>D22_R01907</v>
      </c>
      <c r="E161" s="5" t="str">
        <f>'[3]M.C UNPIV'!F162</f>
        <v>الفردوس</v>
      </c>
      <c r="F161" s="5" t="str">
        <f>'[3]M.C UNPIV'!G162</f>
        <v>W/s Consumer &amp; Industrial</v>
      </c>
      <c r="G161" s="6">
        <f>'[3]M.C UNPIV'!H162</f>
        <v>46184</v>
      </c>
      <c r="H161" s="5" t="str">
        <f>'[3]M.C UNPIV'!I162</f>
        <v>D22_O_00257123</v>
      </c>
      <c r="I161" s="7">
        <f>'[3]M.C UNPIV'!J162</f>
        <v>100000</v>
      </c>
      <c r="J161" s="7">
        <f>'[3]M.C UNPIV'!K162</f>
        <v>51188.82</v>
      </c>
      <c r="K161" s="5">
        <f>'[3]M.C UNPIV'!L162</f>
        <v>51188.82</v>
      </c>
      <c r="L161" s="5" t="str">
        <f>'[3]M.C UNPIV'!M162</f>
        <v>1 : 10 Days</v>
      </c>
      <c r="M161" s="6">
        <f>'[3]M.C UNPIV'!N162</f>
        <v>46195</v>
      </c>
      <c r="N161" s="5" t="str">
        <f>'[3]M.C UNPIV'!O162</f>
        <v>AFIA</v>
      </c>
      <c r="O161" s="5">
        <f>'[3]M.C UNPIV'!P162</f>
        <v>7</v>
      </c>
    </row>
    <row r="162" spans="1:15" x14ac:dyDescent="0.25">
      <c r="A162" s="4" t="str">
        <f>'[3]M.C UNPIV'!B163</f>
        <v>Delta A</v>
      </c>
      <c r="B162" s="5" t="str">
        <f>'[3]M.C UNPIV'!C163</f>
        <v>Damietta - Khaled Ismaiel Al-Fath</v>
      </c>
      <c r="C162" s="5" t="str">
        <f>'[3]M.C UNPIV'!D163</f>
        <v>Moaz Mohamed Al desouky</v>
      </c>
      <c r="D162" s="5" t="str">
        <f>'[3]M.C UNPIV'!E163</f>
        <v>D22_R01910</v>
      </c>
      <c r="E162" s="5" t="str">
        <f>'[3]M.C UNPIV'!F163</f>
        <v>جنة المؤمنيين</v>
      </c>
      <c r="F162" s="5" t="str">
        <f>'[3]M.C UNPIV'!G163</f>
        <v>W/s Consumer &amp; Industrial</v>
      </c>
      <c r="G162" s="6">
        <f>'[3]M.C UNPIV'!H163</f>
        <v>46198</v>
      </c>
      <c r="H162" s="5" t="str">
        <f>'[3]M.C UNPIV'!I163</f>
        <v>D22_O_00259813</v>
      </c>
      <c r="I162" s="7">
        <f>'[3]M.C UNPIV'!J163</f>
        <v>100000</v>
      </c>
      <c r="J162" s="7">
        <f>'[3]M.C UNPIV'!K163</f>
        <v>98616.18</v>
      </c>
      <c r="K162" s="5">
        <f>'[3]M.C UNPIV'!L163</f>
        <v>0</v>
      </c>
      <c r="L162" s="5" t="str">
        <f>'[3]M.C UNPIV'!M163</f>
        <v>Not Due</v>
      </c>
      <c r="M162" s="6">
        <f>'[3]M.C UNPIV'!N163</f>
        <v>46209</v>
      </c>
      <c r="N162" s="5" t="str">
        <f>'[3]M.C UNPIV'!O163</f>
        <v>AFIA</v>
      </c>
      <c r="O162" s="5">
        <f>'[3]M.C UNPIV'!P163</f>
        <v>-7</v>
      </c>
    </row>
    <row r="163" spans="1:15" x14ac:dyDescent="0.25">
      <c r="A163" s="4" t="str">
        <f>'[3]M.C UNPIV'!B164</f>
        <v>Delta A</v>
      </c>
      <c r="B163" s="5" t="str">
        <f>'[3]M.C UNPIV'!C164</f>
        <v>Damietta - Khaled Ismaiel Al-Fath</v>
      </c>
      <c r="C163" s="5" t="str">
        <f>'[3]M.C UNPIV'!D164</f>
        <v>Moaz Mohamed Al desouky</v>
      </c>
      <c r="D163" s="5" t="str">
        <f>'[3]M.C UNPIV'!E164</f>
        <v>D22_R01913</v>
      </c>
      <c r="E163" s="5" t="str">
        <f>'[3]M.C UNPIV'!F164</f>
        <v>سامح عبد الله</v>
      </c>
      <c r="F163" s="5" t="str">
        <f>'[3]M.C UNPIV'!G164</f>
        <v>W/s Consumer &amp; Industrial</v>
      </c>
      <c r="G163" s="6">
        <f>'[3]M.C UNPIV'!H164</f>
        <v>46198</v>
      </c>
      <c r="H163" s="5" t="str">
        <f>'[3]M.C UNPIV'!I164</f>
        <v>D22_O_00259783</v>
      </c>
      <c r="I163" s="7">
        <f>'[3]M.C UNPIV'!J164</f>
        <v>50000</v>
      </c>
      <c r="J163" s="7">
        <f>'[3]M.C UNPIV'!K164</f>
        <v>16401.62</v>
      </c>
      <c r="K163" s="5">
        <f>'[3]M.C UNPIV'!L164</f>
        <v>0</v>
      </c>
      <c r="L163" s="5" t="str">
        <f>'[3]M.C UNPIV'!M164</f>
        <v>Not Due</v>
      </c>
      <c r="M163" s="6">
        <f>'[3]M.C UNPIV'!N164</f>
        <v>46209</v>
      </c>
      <c r="N163" s="5" t="str">
        <f>'[3]M.C UNPIV'!O164</f>
        <v>AFIA</v>
      </c>
      <c r="O163" s="5">
        <f>'[3]M.C UNPIV'!P164</f>
        <v>-7</v>
      </c>
    </row>
    <row r="164" spans="1:15" x14ac:dyDescent="0.25">
      <c r="A164" s="4" t="str">
        <f>'[3]M.C UNPIV'!B165</f>
        <v>Delta A</v>
      </c>
      <c r="B164" s="5" t="str">
        <f>'[3]M.C UNPIV'!C165</f>
        <v>Damietta - Khaled Ismaiel Al-Fath</v>
      </c>
      <c r="C164" s="5" t="str">
        <f>'[3]M.C UNPIV'!D165</f>
        <v>Moaz Mohamed Al desouky</v>
      </c>
      <c r="D164" s="5" t="str">
        <f>'[3]M.C UNPIV'!E165</f>
        <v>D22_R01916</v>
      </c>
      <c r="E164" s="5" t="str">
        <f>'[3]M.C UNPIV'!F165</f>
        <v>سعد شطا</v>
      </c>
      <c r="F164" s="5" t="str">
        <f>'[3]M.C UNPIV'!G165</f>
        <v>W/s Consumer &amp; Industrial</v>
      </c>
      <c r="G164" s="6">
        <f>'[3]M.C UNPIV'!H165</f>
        <v>46189</v>
      </c>
      <c r="H164" s="5" t="str">
        <f>'[3]M.C UNPIV'!I165</f>
        <v>D22_O_00256655</v>
      </c>
      <c r="I164" s="7">
        <f>'[3]M.C UNPIV'!J165</f>
        <v>75000</v>
      </c>
      <c r="J164" s="7">
        <f>'[3]M.C UNPIV'!K165</f>
        <v>74999.72</v>
      </c>
      <c r="K164" s="5">
        <f>'[3]M.C UNPIV'!L165</f>
        <v>74999.72</v>
      </c>
      <c r="L164" s="5" t="str">
        <f>'[3]M.C UNPIV'!M165</f>
        <v>1 : 10 Days</v>
      </c>
      <c r="M164" s="6">
        <f>'[3]M.C UNPIV'!N165</f>
        <v>46200</v>
      </c>
      <c r="N164" s="5" t="str">
        <f>'[3]M.C UNPIV'!O165</f>
        <v>AFIA</v>
      </c>
      <c r="O164" s="5">
        <f>'[3]M.C UNPIV'!P165</f>
        <v>2</v>
      </c>
    </row>
    <row r="165" spans="1:15" x14ac:dyDescent="0.25">
      <c r="A165" s="4" t="str">
        <f>'[3]M.C UNPIV'!B166</f>
        <v>Delta A</v>
      </c>
      <c r="B165" s="5" t="str">
        <f>'[3]M.C UNPIV'!C166</f>
        <v>Damietta - Khaled Ismaiel Al-Fath</v>
      </c>
      <c r="C165" s="5" t="str">
        <f>'[3]M.C UNPIV'!D166</f>
        <v>Moaz Mohamed Al desouky</v>
      </c>
      <c r="D165" s="5" t="str">
        <f>'[3]M.C UNPIV'!E166</f>
        <v>D22_R01917</v>
      </c>
      <c r="E165" s="5" t="str">
        <f>'[3]M.C UNPIV'!F166</f>
        <v>سما خوخه</v>
      </c>
      <c r="F165" s="5" t="str">
        <f>'[3]M.C UNPIV'!G166</f>
        <v>W/s Consumer &amp; Industrial</v>
      </c>
      <c r="G165" s="6">
        <f>'[3]M.C UNPIV'!H166</f>
        <v>46179</v>
      </c>
      <c r="H165" s="5" t="str">
        <f>'[3]M.C UNPIV'!I166</f>
        <v>D22_O_00256636</v>
      </c>
      <c r="I165" s="7">
        <f>'[3]M.C UNPIV'!J166</f>
        <v>150000</v>
      </c>
      <c r="J165" s="7">
        <f>'[3]M.C UNPIV'!K166</f>
        <v>120650.89</v>
      </c>
      <c r="K165" s="5">
        <f>'[3]M.C UNPIV'!L166</f>
        <v>120650.89</v>
      </c>
      <c r="L165" s="5" t="str">
        <f>'[3]M.C UNPIV'!M166</f>
        <v>11 : 20 Days</v>
      </c>
      <c r="M165" s="6">
        <f>'[3]M.C UNPIV'!N166</f>
        <v>46190</v>
      </c>
      <c r="N165" s="5" t="str">
        <f>'[3]M.C UNPIV'!O166</f>
        <v>AFIA</v>
      </c>
      <c r="O165" s="5">
        <f>'[3]M.C UNPIV'!P166</f>
        <v>12</v>
      </c>
    </row>
    <row r="166" spans="1:15" x14ac:dyDescent="0.25">
      <c r="A166" s="4" t="str">
        <f>'[3]M.C UNPIV'!B167</f>
        <v>Delta A</v>
      </c>
      <c r="B166" s="5" t="str">
        <f>'[3]M.C UNPIV'!C167</f>
        <v>Damietta - Khaled Ismaiel Al-Fath</v>
      </c>
      <c r="C166" s="5" t="str">
        <f>'[3]M.C UNPIV'!D167</f>
        <v>Moaz Mohamed Al desouky</v>
      </c>
      <c r="D166" s="5" t="str">
        <f>'[3]M.C UNPIV'!E167</f>
        <v>D22_R01923</v>
      </c>
      <c r="E166" s="5" t="str">
        <f>'[3]M.C UNPIV'!F167</f>
        <v>فتحى حجازى</v>
      </c>
      <c r="F166" s="5" t="str">
        <f>'[3]M.C UNPIV'!G167</f>
        <v>W/s Consumer &amp; Industrial</v>
      </c>
      <c r="G166" s="6">
        <f>'[3]M.C UNPIV'!H167</f>
        <v>46175</v>
      </c>
      <c r="H166" s="5" t="str">
        <f>'[3]M.C UNPIV'!I167</f>
        <v>D22_O_00256025</v>
      </c>
      <c r="I166" s="7">
        <f>'[3]M.C UNPIV'!J167</f>
        <v>100000</v>
      </c>
      <c r="J166" s="7">
        <f>'[3]M.C UNPIV'!K167</f>
        <v>11199.89</v>
      </c>
      <c r="K166" s="5">
        <f>'[3]M.C UNPIV'!L167</f>
        <v>11199.89</v>
      </c>
      <c r="L166" s="5" t="str">
        <f>'[3]M.C UNPIV'!M167</f>
        <v>11 : 20 Days</v>
      </c>
      <c r="M166" s="6">
        <f>'[3]M.C UNPIV'!N167</f>
        <v>46186</v>
      </c>
      <c r="N166" s="5" t="str">
        <f>'[3]M.C UNPIV'!O167</f>
        <v>AFIA</v>
      </c>
      <c r="O166" s="5">
        <f>'[3]M.C UNPIV'!P167</f>
        <v>16</v>
      </c>
    </row>
    <row r="167" spans="1:15" x14ac:dyDescent="0.25">
      <c r="A167" s="4" t="str">
        <f>'[3]M.C UNPIV'!B168</f>
        <v>Delta A</v>
      </c>
      <c r="B167" s="5" t="str">
        <f>'[3]M.C UNPIV'!C168</f>
        <v>Damietta - Khaled Ismaiel Al-Fath</v>
      </c>
      <c r="C167" s="5" t="str">
        <f>'[3]M.C UNPIV'!D168</f>
        <v>Moaz Mohamed Al desouky</v>
      </c>
      <c r="D167" s="5" t="str">
        <f>'[3]M.C UNPIV'!E168</f>
        <v>D22_R01923</v>
      </c>
      <c r="E167" s="5" t="str">
        <f>'[3]M.C UNPIV'!F168</f>
        <v>فتحى حجازى</v>
      </c>
      <c r="F167" s="5" t="str">
        <f>'[3]M.C UNPIV'!G168</f>
        <v>W/s Consumer &amp; Industrial</v>
      </c>
      <c r="G167" s="6">
        <f>'[3]M.C UNPIV'!H168</f>
        <v>46189</v>
      </c>
      <c r="H167" s="5" t="str">
        <f>'[3]M.C UNPIV'!I168</f>
        <v>D22_O_00258447</v>
      </c>
      <c r="I167" s="7">
        <f>'[3]M.C UNPIV'!J168</f>
        <v>100000</v>
      </c>
      <c r="J167" s="7">
        <f>'[3]M.C UNPIV'!K168</f>
        <v>59713.85</v>
      </c>
      <c r="K167" s="5">
        <f>'[3]M.C UNPIV'!L168</f>
        <v>59713.85</v>
      </c>
      <c r="L167" s="5" t="str">
        <f>'[3]M.C UNPIV'!M168</f>
        <v>1 : 10 Days</v>
      </c>
      <c r="M167" s="6">
        <f>'[3]M.C UNPIV'!N168</f>
        <v>46200</v>
      </c>
      <c r="N167" s="5" t="str">
        <f>'[3]M.C UNPIV'!O168</f>
        <v>AFIA</v>
      </c>
      <c r="O167" s="5">
        <f>'[3]M.C UNPIV'!P168</f>
        <v>2</v>
      </c>
    </row>
    <row r="168" spans="1:15" x14ac:dyDescent="0.25">
      <c r="A168" s="4" t="str">
        <f>'[3]M.C UNPIV'!B169</f>
        <v>Delta A</v>
      </c>
      <c r="B168" s="5" t="str">
        <f>'[3]M.C UNPIV'!C169</f>
        <v>Damietta - Khaled Ismaiel Al-Fath</v>
      </c>
      <c r="C168" s="5" t="str">
        <f>'[3]M.C UNPIV'!D169</f>
        <v>Moaz Mohamed Al desouky</v>
      </c>
      <c r="D168" s="5" t="str">
        <f>'[3]M.C UNPIV'!E169</f>
        <v>D22_R01924</v>
      </c>
      <c r="E168" s="5" t="str">
        <f>'[3]M.C UNPIV'!F169</f>
        <v>فتحى خميس</v>
      </c>
      <c r="F168" s="5" t="str">
        <f>'[3]M.C UNPIV'!G169</f>
        <v>W/s Consumer &amp; Industrial</v>
      </c>
      <c r="G168" s="6">
        <f>'[3]M.C UNPIV'!H169</f>
        <v>46175</v>
      </c>
      <c r="H168" s="5" t="str">
        <f>'[3]M.C UNPIV'!I169</f>
        <v>D22_O_00253904</v>
      </c>
      <c r="I168" s="7">
        <f>'[3]M.C UNPIV'!J169</f>
        <v>100000</v>
      </c>
      <c r="J168" s="7">
        <f>'[3]M.C UNPIV'!K169</f>
        <v>99998.61</v>
      </c>
      <c r="K168" s="5">
        <f>'[3]M.C UNPIV'!L169</f>
        <v>99998.61</v>
      </c>
      <c r="L168" s="5" t="str">
        <f>'[3]M.C UNPIV'!M169</f>
        <v>11 : 20 Days</v>
      </c>
      <c r="M168" s="6">
        <f>'[3]M.C UNPIV'!N169</f>
        <v>46186</v>
      </c>
      <c r="N168" s="5" t="str">
        <f>'[3]M.C UNPIV'!O169</f>
        <v>AFIA</v>
      </c>
      <c r="O168" s="5">
        <f>'[3]M.C UNPIV'!P169</f>
        <v>16</v>
      </c>
    </row>
    <row r="169" spans="1:15" x14ac:dyDescent="0.25">
      <c r="A169" s="4" t="str">
        <f>'[3]M.C UNPIV'!B170</f>
        <v>Delta A</v>
      </c>
      <c r="B169" s="5" t="str">
        <f>'[3]M.C UNPIV'!C170</f>
        <v>Damietta - Khaled Ismaiel Al-Fath</v>
      </c>
      <c r="C169" s="5" t="str">
        <f>'[3]M.C UNPIV'!D170</f>
        <v>Moaz Mohamed Al desouky</v>
      </c>
      <c r="D169" s="5" t="str">
        <f>'[3]M.C UNPIV'!E170</f>
        <v>D22_R01925</v>
      </c>
      <c r="E169" s="5" t="str">
        <f>'[3]M.C UNPIV'!F170</f>
        <v>لطفى العيسوى</v>
      </c>
      <c r="F169" s="5" t="str">
        <f>'[3]M.C UNPIV'!G170</f>
        <v>W/s Consumer &amp; Industrial</v>
      </c>
      <c r="G169" s="6">
        <f>'[3]M.C UNPIV'!H170</f>
        <v>46177</v>
      </c>
      <c r="H169" s="5" t="str">
        <f>'[3]M.C UNPIV'!I170</f>
        <v>D22_O_00256575</v>
      </c>
      <c r="I169" s="7">
        <f>'[3]M.C UNPIV'!J170</f>
        <v>600000</v>
      </c>
      <c r="J169" s="7">
        <f>'[3]M.C UNPIV'!K170</f>
        <v>345602.01</v>
      </c>
      <c r="K169" s="5">
        <f>'[3]M.C UNPIV'!L170</f>
        <v>345602.01</v>
      </c>
      <c r="L169" s="5" t="str">
        <f>'[3]M.C UNPIV'!M170</f>
        <v>11 : 20 Days</v>
      </c>
      <c r="M169" s="6">
        <f>'[3]M.C UNPIV'!N170</f>
        <v>46188</v>
      </c>
      <c r="N169" s="5" t="str">
        <f>'[3]M.C UNPIV'!O170</f>
        <v>AFIA</v>
      </c>
      <c r="O169" s="5">
        <f>'[3]M.C UNPIV'!P170</f>
        <v>14</v>
      </c>
    </row>
    <row r="170" spans="1:15" x14ac:dyDescent="0.25">
      <c r="A170" s="4" t="str">
        <f>'[3]M.C UNPIV'!B171</f>
        <v>Delta A</v>
      </c>
      <c r="B170" s="5" t="str">
        <f>'[3]M.C UNPIV'!C171</f>
        <v>Damietta - Khaled Ismaiel Al-Fath</v>
      </c>
      <c r="C170" s="5" t="str">
        <f>'[3]M.C UNPIV'!D171</f>
        <v>Moaz Mohamed Al desouky</v>
      </c>
      <c r="D170" s="5" t="str">
        <f>'[3]M.C UNPIV'!E171</f>
        <v>D22_R01925</v>
      </c>
      <c r="E170" s="5" t="str">
        <f>'[3]M.C UNPIV'!F171</f>
        <v>لطفى العيسوى</v>
      </c>
      <c r="F170" s="5" t="str">
        <f>'[3]M.C UNPIV'!G171</f>
        <v>W/s Consumer &amp; Industrial</v>
      </c>
      <c r="G170" s="6">
        <f>'[3]M.C UNPIV'!H171</f>
        <v>46181</v>
      </c>
      <c r="H170" s="5" t="str">
        <f>'[3]M.C UNPIV'!I171</f>
        <v>D22_O_00256767</v>
      </c>
      <c r="I170" s="7">
        <f>'[3]M.C UNPIV'!J171</f>
        <v>600000</v>
      </c>
      <c r="J170" s="7">
        <f>'[3]M.C UNPIV'!K171</f>
        <v>254396.98</v>
      </c>
      <c r="K170" s="5">
        <f>'[3]M.C UNPIV'!L171</f>
        <v>254396.98</v>
      </c>
      <c r="L170" s="5" t="str">
        <f>'[3]M.C UNPIV'!M171</f>
        <v>1 : 10 Days</v>
      </c>
      <c r="M170" s="6">
        <f>'[3]M.C UNPIV'!N171</f>
        <v>46192</v>
      </c>
      <c r="N170" s="5" t="str">
        <f>'[3]M.C UNPIV'!O171</f>
        <v>AFIA</v>
      </c>
      <c r="O170" s="5">
        <f>'[3]M.C UNPIV'!P171</f>
        <v>10</v>
      </c>
    </row>
    <row r="171" spans="1:15" x14ac:dyDescent="0.25">
      <c r="A171" s="4" t="str">
        <f>'[3]M.C UNPIV'!B172</f>
        <v>Delta A</v>
      </c>
      <c r="B171" s="5" t="str">
        <f>'[3]M.C UNPIV'!C172</f>
        <v>Damietta - Khaled Ismaiel Al-Fath</v>
      </c>
      <c r="C171" s="5" t="str">
        <f>'[3]M.C UNPIV'!D172</f>
        <v>Moaz Mohamed Al desouky</v>
      </c>
      <c r="D171" s="5" t="str">
        <f>'[3]M.C UNPIV'!E172</f>
        <v>D22_R01928</v>
      </c>
      <c r="E171" s="5" t="str">
        <f>'[3]M.C UNPIV'!F172</f>
        <v>محمود حجازى</v>
      </c>
      <c r="F171" s="5" t="str">
        <f>'[3]M.C UNPIV'!G172</f>
        <v>W/s Consumer &amp; Industrial</v>
      </c>
      <c r="G171" s="6">
        <f>'[3]M.C UNPIV'!H172</f>
        <v>46179</v>
      </c>
      <c r="H171" s="5" t="str">
        <f>'[3]M.C UNPIV'!I172</f>
        <v>D22_O_00256066</v>
      </c>
      <c r="I171" s="7">
        <f>'[3]M.C UNPIV'!J172</f>
        <v>75000</v>
      </c>
      <c r="J171" s="7">
        <f>'[3]M.C UNPIV'!K172</f>
        <v>25020.1</v>
      </c>
      <c r="K171" s="5">
        <f>'[3]M.C UNPIV'!L172</f>
        <v>25020.1</v>
      </c>
      <c r="L171" s="5" t="str">
        <f>'[3]M.C UNPIV'!M172</f>
        <v>11 : 20 Days</v>
      </c>
      <c r="M171" s="6">
        <f>'[3]M.C UNPIV'!N172</f>
        <v>46190</v>
      </c>
      <c r="N171" s="5" t="str">
        <f>'[3]M.C UNPIV'!O172</f>
        <v>AFIA</v>
      </c>
      <c r="O171" s="5">
        <f>'[3]M.C UNPIV'!P172</f>
        <v>12</v>
      </c>
    </row>
    <row r="172" spans="1:15" x14ac:dyDescent="0.25">
      <c r="A172" s="4" t="str">
        <f>'[3]M.C UNPIV'!B173</f>
        <v>Delta A</v>
      </c>
      <c r="B172" s="5" t="str">
        <f>'[3]M.C UNPIV'!C173</f>
        <v>Damietta - Khaled Ismaiel Al-Fath</v>
      </c>
      <c r="C172" s="5" t="str">
        <f>'[3]M.C UNPIV'!D173</f>
        <v>Moaz Mohamed Al desouky</v>
      </c>
      <c r="D172" s="5" t="str">
        <f>'[3]M.C UNPIV'!E173</f>
        <v>D22_R01929</v>
      </c>
      <c r="E172" s="5" t="str">
        <f>'[3]M.C UNPIV'!F173</f>
        <v>محمود فايد</v>
      </c>
      <c r="F172" s="5" t="str">
        <f>'[3]M.C UNPIV'!G173</f>
        <v>W/s Consumer &amp; Industrial</v>
      </c>
      <c r="G172" s="6">
        <f>'[3]M.C UNPIV'!H173</f>
        <v>46193</v>
      </c>
      <c r="H172" s="5" t="str">
        <f>'[3]M.C UNPIV'!I173</f>
        <v>D22_O_00257587</v>
      </c>
      <c r="I172" s="7">
        <f>'[3]M.C UNPIV'!J173</f>
        <v>150000</v>
      </c>
      <c r="J172" s="7">
        <f>'[3]M.C UNPIV'!K173</f>
        <v>37777.120000000003</v>
      </c>
      <c r="K172" s="5">
        <f>'[3]M.C UNPIV'!L173</f>
        <v>0</v>
      </c>
      <c r="L172" s="5" t="str">
        <f>'[3]M.C UNPIV'!M173</f>
        <v>Not Due</v>
      </c>
      <c r="M172" s="6">
        <f>'[3]M.C UNPIV'!N173</f>
        <v>46204</v>
      </c>
      <c r="N172" s="5" t="str">
        <f>'[3]M.C UNPIV'!O173</f>
        <v>AFIA</v>
      </c>
      <c r="O172" s="5">
        <f>'[3]M.C UNPIV'!P173</f>
        <v>-2</v>
      </c>
    </row>
    <row r="173" spans="1:15" x14ac:dyDescent="0.25">
      <c r="A173" s="4" t="str">
        <f>'[3]M.C UNPIV'!B174</f>
        <v>Delta A</v>
      </c>
      <c r="B173" s="5" t="str">
        <f>'[3]M.C UNPIV'!C174</f>
        <v>Damietta - Khaled Ismaiel Al-Fath</v>
      </c>
      <c r="C173" s="5" t="str">
        <f>'[3]M.C UNPIV'!D174</f>
        <v>Moaz Mohamed Al desouky</v>
      </c>
      <c r="D173" s="5" t="str">
        <f>'[3]M.C UNPIV'!E174</f>
        <v>D22_R01931</v>
      </c>
      <c r="E173" s="5" t="str">
        <f>'[3]M.C UNPIV'!F174</f>
        <v>ملفاى</v>
      </c>
      <c r="F173" s="5" t="str">
        <f>'[3]M.C UNPIV'!G174</f>
        <v>W/s Consumer &amp; Industrial</v>
      </c>
      <c r="G173" s="6">
        <f>'[3]M.C UNPIV'!H174</f>
        <v>46191</v>
      </c>
      <c r="H173" s="5" t="str">
        <f>'[3]M.C UNPIV'!I174</f>
        <v>D22_O_00257718</v>
      </c>
      <c r="I173" s="7">
        <f>'[3]M.C UNPIV'!J174</f>
        <v>75000</v>
      </c>
      <c r="J173" s="7">
        <f>'[3]M.C UNPIV'!K174</f>
        <v>74680.25</v>
      </c>
      <c r="K173" s="5">
        <f>'[3]M.C UNPIV'!L174</f>
        <v>0</v>
      </c>
      <c r="L173" s="5" t="str">
        <f>'[3]M.C UNPIV'!M174</f>
        <v>Not Due</v>
      </c>
      <c r="M173" s="6">
        <f>'[3]M.C UNPIV'!N174</f>
        <v>46202</v>
      </c>
      <c r="N173" s="5" t="str">
        <f>'[3]M.C UNPIV'!O174</f>
        <v>AFIA</v>
      </c>
      <c r="O173" s="5">
        <f>'[3]M.C UNPIV'!P174</f>
        <v>0</v>
      </c>
    </row>
    <row r="174" spans="1:15" x14ac:dyDescent="0.25">
      <c r="A174" s="4" t="str">
        <f>'[3]M.C UNPIV'!B175</f>
        <v>Delta A</v>
      </c>
      <c r="B174" s="5" t="str">
        <f>'[3]M.C UNPIV'!C175</f>
        <v>Damietta - Khaled Ismaiel Al-Fath</v>
      </c>
      <c r="C174" s="5" t="str">
        <f>'[3]M.C UNPIV'!D175</f>
        <v>Moaz Mohamed Al desouky</v>
      </c>
      <c r="D174" s="5" t="str">
        <f>'[3]M.C UNPIV'!E175</f>
        <v>D22_R02216</v>
      </c>
      <c r="E174" s="5" t="str">
        <f>'[3]M.C UNPIV'!F175</f>
        <v>الطازج</v>
      </c>
      <c r="F174" s="5" t="str">
        <f>'[3]M.C UNPIV'!G175</f>
        <v>W/s Consumer &amp; Industrial</v>
      </c>
      <c r="G174" s="6">
        <f>'[3]M.C UNPIV'!H175</f>
        <v>46194</v>
      </c>
      <c r="H174" s="5" t="str">
        <f>'[3]M.C UNPIV'!I175</f>
        <v>D22_O_00258171</v>
      </c>
      <c r="I174" s="7">
        <f>'[3]M.C UNPIV'!J175</f>
        <v>75000</v>
      </c>
      <c r="J174" s="7">
        <f>'[3]M.C UNPIV'!K175</f>
        <v>20599.84</v>
      </c>
      <c r="K174" s="5">
        <f>'[3]M.C UNPIV'!L175</f>
        <v>0</v>
      </c>
      <c r="L174" s="5" t="str">
        <f>'[3]M.C UNPIV'!M175</f>
        <v>Not Due</v>
      </c>
      <c r="M174" s="6">
        <f>'[3]M.C UNPIV'!N175</f>
        <v>46205</v>
      </c>
      <c r="N174" s="5" t="str">
        <f>'[3]M.C UNPIV'!O175</f>
        <v>AFIA</v>
      </c>
      <c r="O174" s="5">
        <f>'[3]M.C UNPIV'!P175</f>
        <v>-3</v>
      </c>
    </row>
    <row r="175" spans="1:15" x14ac:dyDescent="0.25">
      <c r="A175" s="4" t="str">
        <f>'[3]M.C UNPIV'!B176</f>
        <v>Delta A</v>
      </c>
      <c r="B175" s="5" t="str">
        <f>'[3]M.C UNPIV'!C176</f>
        <v>Damietta - Khaled Ismaiel Al-Fath</v>
      </c>
      <c r="C175" s="5" t="str">
        <f>'[3]M.C UNPIV'!D176</f>
        <v>Mohamed Elsayed Badawy</v>
      </c>
      <c r="D175" s="5" t="str">
        <f>'[3]M.C UNPIV'!E176</f>
        <v>D22_P00063</v>
      </c>
      <c r="E175" s="5" t="str">
        <f>'[3]M.C UNPIV'!F176</f>
        <v>محمود فايد</v>
      </c>
      <c r="F175" s="5" t="str">
        <f>'[3]M.C UNPIV'!G176</f>
        <v>W/s Consumer &amp; Industrial</v>
      </c>
      <c r="G175" s="6">
        <f>'[3]M.C UNPIV'!H176</f>
        <v>46177.447408761604</v>
      </c>
      <c r="H175" s="5" t="str">
        <f>'[3]M.C UNPIV'!I176</f>
        <v>D22_O_00256669</v>
      </c>
      <c r="I175" s="7">
        <f>'[3]M.C UNPIV'!J176</f>
        <v>100000</v>
      </c>
      <c r="J175" s="7">
        <f>'[3]M.C UNPIV'!K176</f>
        <v>26070</v>
      </c>
      <c r="K175" s="5">
        <f>'[3]M.C UNPIV'!L176</f>
        <v>26070</v>
      </c>
      <c r="L175" s="5" t="str">
        <f>'[3]M.C UNPIV'!M176</f>
        <v>11 : 20 Days</v>
      </c>
      <c r="M175" s="6">
        <f>'[3]M.C UNPIV'!N176</f>
        <v>46188</v>
      </c>
      <c r="N175" s="5" t="str">
        <f>'[3]M.C UNPIV'!O176</f>
        <v>PASTA</v>
      </c>
      <c r="O175" s="5">
        <f>'[3]M.C UNPIV'!P176</f>
        <v>14</v>
      </c>
    </row>
    <row r="176" spans="1:15" x14ac:dyDescent="0.25">
      <c r="A176" s="4" t="str">
        <f>'[3]M.C UNPIV'!B177</f>
        <v>Delta A</v>
      </c>
      <c r="B176" s="5" t="str">
        <f>'[3]M.C UNPIV'!C177</f>
        <v>Damietta - Khaled Ismaiel Al-Fath</v>
      </c>
      <c r="C176" s="5" t="str">
        <f>'[3]M.C UNPIV'!D177</f>
        <v>Mohamed Elsayed Badawy</v>
      </c>
      <c r="D176" s="5" t="str">
        <f>'[3]M.C UNPIV'!E177</f>
        <v>D22_P00078</v>
      </c>
      <c r="E176" s="5" t="str">
        <f>'[3]M.C UNPIV'!F177</f>
        <v>الفردوس</v>
      </c>
      <c r="F176" s="5" t="str">
        <f>'[3]M.C UNPIV'!G177</f>
        <v>W/s Consumer &amp; Industrial</v>
      </c>
      <c r="G176" s="6">
        <f>'[3]M.C UNPIV'!H177</f>
        <v>46195.437277002296</v>
      </c>
      <c r="H176" s="5" t="str">
        <f>'[3]M.C UNPIV'!I177</f>
        <v>D22_O_00259472</v>
      </c>
      <c r="I176" s="7">
        <f>'[3]M.C UNPIV'!J177</f>
        <v>250000</v>
      </c>
      <c r="J176" s="7">
        <f>'[3]M.C UNPIV'!K177</f>
        <v>76120</v>
      </c>
      <c r="K176" s="5">
        <f>'[3]M.C UNPIV'!L177</f>
        <v>0</v>
      </c>
      <c r="L176" s="5" t="str">
        <f>'[3]M.C UNPIV'!M177</f>
        <v>Not Due</v>
      </c>
      <c r="M176" s="6">
        <f>'[3]M.C UNPIV'!N177</f>
        <v>46206</v>
      </c>
      <c r="N176" s="5" t="str">
        <f>'[3]M.C UNPIV'!O177</f>
        <v>PASTA</v>
      </c>
      <c r="O176" s="5">
        <f>'[3]M.C UNPIV'!P177</f>
        <v>-4</v>
      </c>
    </row>
    <row r="177" spans="1:15" x14ac:dyDescent="0.25">
      <c r="A177" s="4" t="str">
        <f>'[3]M.C UNPIV'!B178</f>
        <v>Delta A</v>
      </c>
      <c r="B177" s="5" t="str">
        <f>'[3]M.C UNPIV'!C178</f>
        <v>Damietta - Khaled Ismaiel Al-Fath</v>
      </c>
      <c r="C177" s="5" t="str">
        <f>'[3]M.C UNPIV'!D178</f>
        <v>Mohamed Elsayed Badawy</v>
      </c>
      <c r="D177" s="5" t="str">
        <f>'[3]M.C UNPIV'!E178</f>
        <v>D22_P00078</v>
      </c>
      <c r="E177" s="5" t="str">
        <f>'[3]M.C UNPIV'!F178</f>
        <v>الفردوس</v>
      </c>
      <c r="F177" s="5" t="str">
        <f>'[3]M.C UNPIV'!G178</f>
        <v>W/s Consumer &amp; Industrial</v>
      </c>
      <c r="G177" s="6">
        <f>'[3]M.C UNPIV'!H178</f>
        <v>46198.460062418999</v>
      </c>
      <c r="H177" s="5" t="str">
        <f>'[3]M.C UNPIV'!I178</f>
        <v>D22_O_00260050</v>
      </c>
      <c r="I177" s="7">
        <f>'[3]M.C UNPIV'!J178</f>
        <v>250000</v>
      </c>
      <c r="J177" s="7">
        <f>'[3]M.C UNPIV'!K178</f>
        <v>112980</v>
      </c>
      <c r="K177" s="5">
        <f>'[3]M.C UNPIV'!L178</f>
        <v>0</v>
      </c>
      <c r="L177" s="5" t="str">
        <f>'[3]M.C UNPIV'!M178</f>
        <v>Not Due</v>
      </c>
      <c r="M177" s="6">
        <f>'[3]M.C UNPIV'!N178</f>
        <v>46209</v>
      </c>
      <c r="N177" s="5" t="str">
        <f>'[3]M.C UNPIV'!O178</f>
        <v>PASTA</v>
      </c>
      <c r="O177" s="5">
        <f>'[3]M.C UNPIV'!P178</f>
        <v>-7</v>
      </c>
    </row>
    <row r="178" spans="1:15" x14ac:dyDescent="0.25">
      <c r="A178" s="4" t="str">
        <f>'[3]M.C UNPIV'!B179</f>
        <v>Delta A</v>
      </c>
      <c r="B178" s="5" t="str">
        <f>'[3]M.C UNPIV'!C179</f>
        <v>Damietta - Khaled Ismaiel Al-Fath</v>
      </c>
      <c r="C178" s="5" t="str">
        <f>'[3]M.C UNPIV'!D179</f>
        <v>Mohamed Elsayed Badawy</v>
      </c>
      <c r="D178" s="5" t="str">
        <f>'[3]M.C UNPIV'!E179</f>
        <v>D22_P00078</v>
      </c>
      <c r="E178" s="5" t="str">
        <f>'[3]M.C UNPIV'!F179</f>
        <v>الفردوس</v>
      </c>
      <c r="F178" s="5" t="str">
        <f>'[3]M.C UNPIV'!G179</f>
        <v>W/s Consumer &amp; Industrial</v>
      </c>
      <c r="G178" s="6">
        <f>'[3]M.C UNPIV'!H179</f>
        <v>46200.455083298599</v>
      </c>
      <c r="H178" s="5" t="str">
        <f>'[3]M.C UNPIV'!I179</f>
        <v>D22_O_00260215</v>
      </c>
      <c r="I178" s="7">
        <f>'[3]M.C UNPIV'!J179</f>
        <v>250000</v>
      </c>
      <c r="J178" s="7">
        <f>'[3]M.C UNPIV'!K179</f>
        <v>60900</v>
      </c>
      <c r="K178" s="5">
        <f>'[3]M.C UNPIV'!L179</f>
        <v>0</v>
      </c>
      <c r="L178" s="5" t="str">
        <f>'[3]M.C UNPIV'!M179</f>
        <v>Not Due</v>
      </c>
      <c r="M178" s="6">
        <f>'[3]M.C UNPIV'!N179</f>
        <v>46211</v>
      </c>
      <c r="N178" s="5" t="str">
        <f>'[3]M.C UNPIV'!O179</f>
        <v>PASTA</v>
      </c>
      <c r="O178" s="5">
        <f>'[3]M.C UNPIV'!P179</f>
        <v>-9</v>
      </c>
    </row>
    <row r="179" spans="1:15" x14ac:dyDescent="0.25">
      <c r="A179" s="4" t="str">
        <f>'[3]M.C UNPIV'!B180</f>
        <v>Delta A</v>
      </c>
      <c r="B179" s="5" t="str">
        <f>'[3]M.C UNPIV'!C180</f>
        <v>Damietta - Khaled Ismaiel Al-Fath</v>
      </c>
      <c r="C179" s="5" t="str">
        <f>'[3]M.C UNPIV'!D180</f>
        <v>Mohamed Elsayed Badawy</v>
      </c>
      <c r="D179" s="5" t="str">
        <f>'[3]M.C UNPIV'!E180</f>
        <v>D22_P01802</v>
      </c>
      <c r="E179" s="5" t="str">
        <f>'[3]M.C UNPIV'!F180</f>
        <v>عمرو محرز</v>
      </c>
      <c r="F179" s="5" t="str">
        <f>'[3]M.C UNPIV'!G180</f>
        <v>W/s Consumer &amp; Industrial</v>
      </c>
      <c r="G179" s="6">
        <f>'[3]M.C UNPIV'!H180</f>
        <v>46198.445611261603</v>
      </c>
      <c r="H179" s="5" t="str">
        <f>'[3]M.C UNPIV'!I180</f>
        <v>D22_O_00260048</v>
      </c>
      <c r="I179" s="7">
        <f>'[3]M.C UNPIV'!J180</f>
        <v>1000000</v>
      </c>
      <c r="J179" s="7">
        <f>'[3]M.C UNPIV'!K180</f>
        <v>71209</v>
      </c>
      <c r="K179" s="5">
        <f>'[3]M.C UNPIV'!L180</f>
        <v>0</v>
      </c>
      <c r="L179" s="5" t="str">
        <f>'[3]M.C UNPIV'!M180</f>
        <v>Not Due</v>
      </c>
      <c r="M179" s="6">
        <f>'[3]M.C UNPIV'!N180</f>
        <v>46209</v>
      </c>
      <c r="N179" s="5" t="str">
        <f>'[3]M.C UNPIV'!O180</f>
        <v>PASTA</v>
      </c>
      <c r="O179" s="5">
        <f>'[3]M.C UNPIV'!P180</f>
        <v>-7</v>
      </c>
    </row>
    <row r="180" spans="1:15" x14ac:dyDescent="0.25">
      <c r="A180" s="4" t="str">
        <f>'[3]M.C UNPIV'!B181</f>
        <v>Delta A</v>
      </c>
      <c r="B180" s="5" t="str">
        <f>'[3]M.C UNPIV'!C181</f>
        <v>Damietta - Khaled Ismaiel Al-Fath</v>
      </c>
      <c r="C180" s="5" t="str">
        <f>'[3]M.C UNPIV'!D181</f>
        <v>Mohamed Elsayed Badawy</v>
      </c>
      <c r="D180" s="5" t="str">
        <f>'[3]M.C UNPIV'!E181</f>
        <v>D22_P01802</v>
      </c>
      <c r="E180" s="5" t="str">
        <f>'[3]M.C UNPIV'!F181</f>
        <v>عمرو محرز</v>
      </c>
      <c r="F180" s="5" t="str">
        <f>'[3]M.C UNPIV'!G181</f>
        <v>W/s Consumer &amp; Industrial</v>
      </c>
      <c r="G180" s="6">
        <f>'[3]M.C UNPIV'!H181</f>
        <v>46200.425004594901</v>
      </c>
      <c r="H180" s="5" t="str">
        <f>'[3]M.C UNPIV'!I181</f>
        <v>D22_O_00260212</v>
      </c>
      <c r="I180" s="7">
        <f>'[3]M.C UNPIV'!J181</f>
        <v>1000000</v>
      </c>
      <c r="J180" s="7">
        <f>'[3]M.C UNPIV'!K181</f>
        <v>104040</v>
      </c>
      <c r="K180" s="5">
        <f>'[3]M.C UNPIV'!L181</f>
        <v>0</v>
      </c>
      <c r="L180" s="5" t="str">
        <f>'[3]M.C UNPIV'!M181</f>
        <v>Not Due</v>
      </c>
      <c r="M180" s="6">
        <f>'[3]M.C UNPIV'!N181</f>
        <v>46211</v>
      </c>
      <c r="N180" s="5" t="str">
        <f>'[3]M.C UNPIV'!O181</f>
        <v>PASTA</v>
      </c>
      <c r="O180" s="5">
        <f>'[3]M.C UNPIV'!P181</f>
        <v>-9</v>
      </c>
    </row>
    <row r="181" spans="1:15" x14ac:dyDescent="0.25">
      <c r="A181" s="4" t="str">
        <f>'[3]M.C UNPIV'!B182</f>
        <v>Delta A</v>
      </c>
      <c r="B181" s="5" t="str">
        <f>'[3]M.C UNPIV'!C182</f>
        <v>Damietta - Khaled Ismaiel Al-Fath</v>
      </c>
      <c r="C181" s="5" t="str">
        <f>'[3]M.C UNPIV'!D182</f>
        <v>Mohamed Elsayed Badawy</v>
      </c>
      <c r="D181" s="5" t="str">
        <f>'[3]M.C UNPIV'!E182</f>
        <v>D22_P01802</v>
      </c>
      <c r="E181" s="5" t="str">
        <f>'[3]M.C UNPIV'!F182</f>
        <v>عمرو محرز</v>
      </c>
      <c r="F181" s="5" t="str">
        <f>'[3]M.C UNPIV'!G182</f>
        <v>W/s Consumer &amp; Industrial</v>
      </c>
      <c r="G181" s="6">
        <f>'[3]M.C UNPIV'!H182</f>
        <v>46201.449076076402</v>
      </c>
      <c r="H181" s="5" t="str">
        <f>'[3]M.C UNPIV'!I182</f>
        <v>D22_O_00260380</v>
      </c>
      <c r="I181" s="7">
        <f>'[3]M.C UNPIV'!J182</f>
        <v>1000000</v>
      </c>
      <c r="J181" s="7">
        <f>'[3]M.C UNPIV'!K182</f>
        <v>104040</v>
      </c>
      <c r="K181" s="5">
        <f>'[3]M.C UNPIV'!L182</f>
        <v>0</v>
      </c>
      <c r="L181" s="5" t="str">
        <f>'[3]M.C UNPIV'!M182</f>
        <v>Not Due</v>
      </c>
      <c r="M181" s="6">
        <f>'[3]M.C UNPIV'!N182</f>
        <v>46212</v>
      </c>
      <c r="N181" s="5" t="str">
        <f>'[3]M.C UNPIV'!O182</f>
        <v>PASTA</v>
      </c>
      <c r="O181" s="5">
        <f>'[3]M.C UNPIV'!P182</f>
        <v>-10</v>
      </c>
    </row>
    <row r="182" spans="1:15" x14ac:dyDescent="0.25">
      <c r="A182" s="4" t="str">
        <f>'[3]M.C UNPIV'!B183</f>
        <v>Delta A</v>
      </c>
      <c r="B182" s="5" t="str">
        <f>'[3]M.C UNPIV'!C183</f>
        <v>Damietta - Khaled Ismaiel Al-Fath</v>
      </c>
      <c r="C182" s="5" t="str">
        <f>'[3]M.C UNPIV'!D183</f>
        <v>Mohamed Elsayed Badawy</v>
      </c>
      <c r="D182" s="5" t="str">
        <f>'[3]M.C UNPIV'!E183</f>
        <v>D22_P01808</v>
      </c>
      <c r="E182" s="5" t="str">
        <f>'[3]M.C UNPIV'!F183</f>
        <v>افندينا</v>
      </c>
      <c r="F182" s="5" t="str">
        <f>'[3]M.C UNPIV'!G183</f>
        <v>W/s Consumer &amp; Industrial</v>
      </c>
      <c r="G182" s="6">
        <f>'[3]M.C UNPIV'!H183</f>
        <v>46198.453916782397</v>
      </c>
      <c r="H182" s="5" t="str">
        <f>'[3]M.C UNPIV'!I183</f>
        <v>D22_O_00260049</v>
      </c>
      <c r="I182" s="7">
        <f>'[3]M.C UNPIV'!J183</f>
        <v>200000</v>
      </c>
      <c r="J182" s="7">
        <f>'[3]M.C UNPIV'!K183</f>
        <v>37050</v>
      </c>
      <c r="K182" s="5">
        <f>'[3]M.C UNPIV'!L183</f>
        <v>0</v>
      </c>
      <c r="L182" s="5" t="str">
        <f>'[3]M.C UNPIV'!M183</f>
        <v>Not Due</v>
      </c>
      <c r="M182" s="6">
        <f>'[3]M.C UNPIV'!N183</f>
        <v>46209</v>
      </c>
      <c r="N182" s="5" t="str">
        <f>'[3]M.C UNPIV'!O183</f>
        <v>PASTA</v>
      </c>
      <c r="O182" s="5">
        <f>'[3]M.C UNPIV'!P183</f>
        <v>-7</v>
      </c>
    </row>
    <row r="183" spans="1:15" x14ac:dyDescent="0.25">
      <c r="A183" s="4" t="str">
        <f>'[3]M.C UNPIV'!B184</f>
        <v>Delta A</v>
      </c>
      <c r="B183" s="5" t="str">
        <f>'[3]M.C UNPIV'!C184</f>
        <v>Damietta - Khaled Ismaiel Al-Fath</v>
      </c>
      <c r="C183" s="5" t="str">
        <f>'[3]M.C UNPIV'!D184</f>
        <v>Mohamed Elsayed Badawy</v>
      </c>
      <c r="D183" s="5" t="str">
        <f>'[3]M.C UNPIV'!E184</f>
        <v>D22_P01814</v>
      </c>
      <c r="E183" s="5" t="str">
        <f>'[3]M.C UNPIV'!F184</f>
        <v>كشري العدوى</v>
      </c>
      <c r="F183" s="5" t="str">
        <f>'[3]M.C UNPIV'!G184</f>
        <v>W/s Consumer &amp; Industrial</v>
      </c>
      <c r="G183" s="6">
        <f>'[3]M.C UNPIV'!H184</f>
        <v>46182.474621030102</v>
      </c>
      <c r="H183" s="5" t="str">
        <f>'[3]M.C UNPIV'!I184</f>
        <v>D22_O_00257549</v>
      </c>
      <c r="I183" s="7">
        <f>'[3]M.C UNPIV'!J184</f>
        <v>50000</v>
      </c>
      <c r="J183" s="7">
        <f>'[3]M.C UNPIV'!K184</f>
        <v>20684.98</v>
      </c>
      <c r="K183" s="5">
        <f>'[3]M.C UNPIV'!L184</f>
        <v>20684.98</v>
      </c>
      <c r="L183" s="5" t="str">
        <f>'[3]M.C UNPIV'!M184</f>
        <v>1 : 10 Days</v>
      </c>
      <c r="M183" s="6">
        <f>'[3]M.C UNPIV'!N184</f>
        <v>46193</v>
      </c>
      <c r="N183" s="5" t="str">
        <f>'[3]M.C UNPIV'!O184</f>
        <v>PASTA</v>
      </c>
      <c r="O183" s="5">
        <f>'[3]M.C UNPIV'!P184</f>
        <v>9</v>
      </c>
    </row>
    <row r="184" spans="1:15" x14ac:dyDescent="0.25">
      <c r="A184" s="4" t="str">
        <f>'[3]M.C UNPIV'!B185</f>
        <v>Delta A</v>
      </c>
      <c r="B184" s="5" t="str">
        <f>'[3]M.C UNPIV'!C185</f>
        <v>Damietta - Khaled Ismaiel Al-Fath</v>
      </c>
      <c r="C184" s="5" t="str">
        <f>'[3]M.C UNPIV'!D185</f>
        <v>Mohamed Elsayed Badawy</v>
      </c>
      <c r="D184" s="5" t="str">
        <f>'[3]M.C UNPIV'!E185</f>
        <v>D22_P01814</v>
      </c>
      <c r="E184" s="5" t="str">
        <f>'[3]M.C UNPIV'!F185</f>
        <v>كشري العدوى</v>
      </c>
      <c r="F184" s="5" t="str">
        <f>'[3]M.C UNPIV'!G185</f>
        <v>W/s Consumer &amp; Industrial</v>
      </c>
      <c r="G184" s="6">
        <f>'[3]M.C UNPIV'!H185</f>
        <v>46196.465638391201</v>
      </c>
      <c r="H184" s="5" t="str">
        <f>'[3]M.C UNPIV'!I185</f>
        <v>D22_O_00259670</v>
      </c>
      <c r="I184" s="7">
        <f>'[3]M.C UNPIV'!J185</f>
        <v>50000</v>
      </c>
      <c r="J184" s="7">
        <f>'[3]M.C UNPIV'!K185</f>
        <v>29312</v>
      </c>
      <c r="K184" s="5">
        <f>'[3]M.C UNPIV'!L185</f>
        <v>0</v>
      </c>
      <c r="L184" s="5" t="str">
        <f>'[3]M.C UNPIV'!M185</f>
        <v>Not Due</v>
      </c>
      <c r="M184" s="6">
        <f>'[3]M.C UNPIV'!N185</f>
        <v>46207</v>
      </c>
      <c r="N184" s="5" t="str">
        <f>'[3]M.C UNPIV'!O185</f>
        <v>PASTA</v>
      </c>
      <c r="O184" s="5">
        <f>'[3]M.C UNPIV'!P185</f>
        <v>-5</v>
      </c>
    </row>
    <row r="185" spans="1:15" x14ac:dyDescent="0.25">
      <c r="A185" s="4" t="str">
        <f>'[3]M.C UNPIV'!B186</f>
        <v>Delta A</v>
      </c>
      <c r="B185" s="5" t="str">
        <f>'[3]M.C UNPIV'!C186</f>
        <v>Damietta - Khaled Ismaiel Al-Fath</v>
      </c>
      <c r="C185" s="5" t="str">
        <f>'[3]M.C UNPIV'!D186</f>
        <v>Mohamed Elsayed Badawy</v>
      </c>
      <c r="D185" s="5" t="str">
        <f>'[3]M.C UNPIV'!E186</f>
        <v>D22_P01815</v>
      </c>
      <c r="E185" s="5" t="str">
        <f>'[3]M.C UNPIV'!F186</f>
        <v>الزعيم</v>
      </c>
      <c r="F185" s="5" t="str">
        <f>'[3]M.C UNPIV'!G186</f>
        <v>W/s Consumer &amp; Industrial</v>
      </c>
      <c r="G185" s="6">
        <f>'[3]M.C UNPIV'!H186</f>
        <v>46193.443926817097</v>
      </c>
      <c r="H185" s="5" t="str">
        <f>'[3]M.C UNPIV'!I186</f>
        <v>D22_O_00259099</v>
      </c>
      <c r="I185" s="7">
        <f>'[3]M.C UNPIV'!J186</f>
        <v>100000</v>
      </c>
      <c r="J185" s="7">
        <f>'[3]M.C UNPIV'!K186</f>
        <v>22900</v>
      </c>
      <c r="K185" s="5">
        <f>'[3]M.C UNPIV'!L186</f>
        <v>0</v>
      </c>
      <c r="L185" s="5" t="str">
        <f>'[3]M.C UNPIV'!M186</f>
        <v>Not Due</v>
      </c>
      <c r="M185" s="6">
        <f>'[3]M.C UNPIV'!N186</f>
        <v>46204</v>
      </c>
      <c r="N185" s="5" t="str">
        <f>'[3]M.C UNPIV'!O186</f>
        <v>PASTA</v>
      </c>
      <c r="O185" s="5">
        <f>'[3]M.C UNPIV'!P186</f>
        <v>-2</v>
      </c>
    </row>
    <row r="186" spans="1:15" x14ac:dyDescent="0.25">
      <c r="A186" s="4" t="str">
        <f>'[3]M.C UNPIV'!B187</f>
        <v>Delta A</v>
      </c>
      <c r="B186" s="5" t="str">
        <f>'[3]M.C UNPIV'!C187</f>
        <v>Damietta - Khaled Ismaiel Al-Fath</v>
      </c>
      <c r="C186" s="5" t="str">
        <f>'[3]M.C UNPIV'!D187</f>
        <v>Mohamed Elsayed Badawy</v>
      </c>
      <c r="D186" s="5" t="str">
        <f>'[3]M.C UNPIV'!E187</f>
        <v>D22_P01816</v>
      </c>
      <c r="E186" s="5" t="str">
        <f>'[3]M.C UNPIV'!F187</f>
        <v>الامبراطور</v>
      </c>
      <c r="F186" s="5" t="str">
        <f>'[3]M.C UNPIV'!G187</f>
        <v>W/s Consumer &amp; Industrial</v>
      </c>
      <c r="G186" s="6">
        <f>'[3]M.C UNPIV'!H187</f>
        <v>46197.428827858799</v>
      </c>
      <c r="H186" s="5" t="str">
        <f>'[3]M.C UNPIV'!I187</f>
        <v>D22_O_00259877</v>
      </c>
      <c r="I186" s="7">
        <f>'[3]M.C UNPIV'!J187</f>
        <v>250000</v>
      </c>
      <c r="J186" s="7">
        <f>'[3]M.C UNPIV'!K187</f>
        <v>249999.98</v>
      </c>
      <c r="K186" s="5">
        <f>'[3]M.C UNPIV'!L187</f>
        <v>0</v>
      </c>
      <c r="L186" s="5" t="str">
        <f>'[3]M.C UNPIV'!M187</f>
        <v>Not Due</v>
      </c>
      <c r="M186" s="6">
        <f>'[3]M.C UNPIV'!N187</f>
        <v>46208</v>
      </c>
      <c r="N186" s="5" t="str">
        <f>'[3]M.C UNPIV'!O187</f>
        <v>PASTA</v>
      </c>
      <c r="O186" s="5">
        <f>'[3]M.C UNPIV'!P187</f>
        <v>-6</v>
      </c>
    </row>
    <row r="187" spans="1:15" x14ac:dyDescent="0.25">
      <c r="A187" s="4" t="str">
        <f>'[3]M.C UNPIV'!B188</f>
        <v>Delta A</v>
      </c>
      <c r="B187" s="5" t="str">
        <f>'[3]M.C UNPIV'!C188</f>
        <v>Damietta - Khaled Ismaiel Al-Fath</v>
      </c>
      <c r="C187" s="5" t="str">
        <f>'[3]M.C UNPIV'!D188</f>
        <v>Mohamed Elsayed Badawy</v>
      </c>
      <c r="D187" s="5" t="str">
        <f>'[3]M.C UNPIV'!E188</f>
        <v>D22_P01828</v>
      </c>
      <c r="E187" s="5" t="str">
        <f>'[3]M.C UNPIV'!F188</f>
        <v>منصور السيد سالم على</v>
      </c>
      <c r="F187" s="5" t="str">
        <f>'[3]M.C UNPIV'!G188</f>
        <v>W/s Consumer &amp; Industrial</v>
      </c>
      <c r="G187" s="6">
        <f>'[3]M.C UNPIV'!H188</f>
        <v>46186.454588078697</v>
      </c>
      <c r="H187" s="5" t="str">
        <f>'[3]M.C UNPIV'!I188</f>
        <v>D22_O_00258052</v>
      </c>
      <c r="I187" s="7">
        <f>'[3]M.C UNPIV'!J188</f>
        <v>300000</v>
      </c>
      <c r="J187" s="7">
        <f>'[3]M.C UNPIV'!K188</f>
        <v>208080</v>
      </c>
      <c r="K187" s="5">
        <f>'[3]M.C UNPIV'!L188</f>
        <v>208080</v>
      </c>
      <c r="L187" s="5" t="str">
        <f>'[3]M.C UNPIV'!M188</f>
        <v>1 : 10 Days</v>
      </c>
      <c r="M187" s="6">
        <f>'[3]M.C UNPIV'!N188</f>
        <v>46197</v>
      </c>
      <c r="N187" s="5" t="str">
        <f>'[3]M.C UNPIV'!O188</f>
        <v>PASTA</v>
      </c>
      <c r="O187" s="5">
        <f>'[3]M.C UNPIV'!P188</f>
        <v>5</v>
      </c>
    </row>
    <row r="188" spans="1:15" x14ac:dyDescent="0.25">
      <c r="A188" s="4" t="str">
        <f>'[3]M.C UNPIV'!B189</f>
        <v>Delta A</v>
      </c>
      <c r="B188" s="5" t="str">
        <f>'[3]M.C UNPIV'!C189</f>
        <v>Damietta - Khaled Ismaiel Al-Fath</v>
      </c>
      <c r="C188" s="5" t="str">
        <f>'[3]M.C UNPIV'!D189</f>
        <v>Mohamed Elsayed Badawy</v>
      </c>
      <c r="D188" s="5" t="str">
        <f>'[3]M.C UNPIV'!E189</f>
        <v>D22_P01828</v>
      </c>
      <c r="E188" s="5" t="str">
        <f>'[3]M.C UNPIV'!F189</f>
        <v>منصور السيد سالم على</v>
      </c>
      <c r="F188" s="5" t="str">
        <f>'[3]M.C UNPIV'!G189</f>
        <v>W/s Consumer &amp; Industrial</v>
      </c>
      <c r="G188" s="6">
        <f>'[3]M.C UNPIV'!H189</f>
        <v>46189.4542651968</v>
      </c>
      <c r="H188" s="5" t="str">
        <f>'[3]M.C UNPIV'!I189</f>
        <v>D22_O_00258602</v>
      </c>
      <c r="I188" s="7">
        <f>'[3]M.C UNPIV'!J189</f>
        <v>300000</v>
      </c>
      <c r="J188" s="7">
        <f>'[3]M.C UNPIV'!K189</f>
        <v>91350</v>
      </c>
      <c r="K188" s="5">
        <f>'[3]M.C UNPIV'!L189</f>
        <v>91350</v>
      </c>
      <c r="L188" s="5" t="str">
        <f>'[3]M.C UNPIV'!M189</f>
        <v>1 : 10 Days</v>
      </c>
      <c r="M188" s="6">
        <f>'[3]M.C UNPIV'!N189</f>
        <v>46200</v>
      </c>
      <c r="N188" s="5" t="str">
        <f>'[3]M.C UNPIV'!O189</f>
        <v>PASTA</v>
      </c>
      <c r="O188" s="5">
        <f>'[3]M.C UNPIV'!P189</f>
        <v>2</v>
      </c>
    </row>
    <row r="189" spans="1:15" x14ac:dyDescent="0.25">
      <c r="A189" s="4" t="str">
        <f>'[3]M.C UNPIV'!B190</f>
        <v>Delta A</v>
      </c>
      <c r="B189" s="5" t="str">
        <f>'[3]M.C UNPIV'!C190</f>
        <v>Damietta - Khaled Ismaiel Al-Fath</v>
      </c>
      <c r="C189" s="5" t="str">
        <f>'[3]M.C UNPIV'!D190</f>
        <v>Mohamed Zakaria Ibrahim</v>
      </c>
      <c r="D189" s="5" t="str">
        <f>'[3]M.C UNPIV'!E190</f>
        <v>D22_G01806</v>
      </c>
      <c r="E189" s="5" t="str">
        <f>'[3]M.C UNPIV'!F190</f>
        <v>القواس</v>
      </c>
      <c r="F189" s="5" t="str">
        <f>'[3]M.C UNPIV'!G190</f>
        <v>K-Retail</v>
      </c>
      <c r="G189" s="6">
        <f>'[3]M.C UNPIV'!H190</f>
        <v>46159.589073032403</v>
      </c>
      <c r="H189" s="5" t="str">
        <f>'[3]M.C UNPIV'!I190</f>
        <v>D22_O_00254331</v>
      </c>
      <c r="I189" s="7">
        <f>'[3]M.C UNPIV'!J190</f>
        <v>1000000</v>
      </c>
      <c r="J189" s="7">
        <f>'[3]M.C UNPIV'!K190</f>
        <v>15401.56</v>
      </c>
      <c r="K189" s="5">
        <f>'[3]M.C UNPIV'!L190</f>
        <v>15401.56</v>
      </c>
      <c r="L189" s="5" t="str">
        <f>'[3]M.C UNPIV'!M190</f>
        <v>21 : 30 Days</v>
      </c>
      <c r="M189" s="6">
        <f>'[3]M.C UNPIV'!N190</f>
        <v>46175</v>
      </c>
      <c r="N189" s="5" t="str">
        <f>'[3]M.C UNPIV'!O190</f>
        <v>PASTA</v>
      </c>
      <c r="O189" s="5">
        <f>'[3]M.C UNPIV'!P190</f>
        <v>27</v>
      </c>
    </row>
    <row r="190" spans="1:15" x14ac:dyDescent="0.25">
      <c r="A190" s="4" t="str">
        <f>'[3]M.C UNPIV'!B191</f>
        <v>Delta A</v>
      </c>
      <c r="B190" s="5" t="str">
        <f>'[3]M.C UNPIV'!C191</f>
        <v>Damietta - Khaled Ismaiel Al-Fath</v>
      </c>
      <c r="C190" s="5" t="str">
        <f>'[3]M.C UNPIV'!D191</f>
        <v>Mohamed Zakaria Ibrahim</v>
      </c>
      <c r="D190" s="5" t="str">
        <f>'[3]M.C UNPIV'!E191</f>
        <v>D22_G01806</v>
      </c>
      <c r="E190" s="5" t="str">
        <f>'[3]M.C UNPIV'!F191</f>
        <v>القواس</v>
      </c>
      <c r="F190" s="5" t="str">
        <f>'[3]M.C UNPIV'!G191</f>
        <v>K-Retail</v>
      </c>
      <c r="G190" s="6">
        <f>'[3]M.C UNPIV'!H191</f>
        <v>46186.676501539303</v>
      </c>
      <c r="H190" s="5" t="str">
        <f>'[3]M.C UNPIV'!I191</f>
        <v>D22_O_00258254</v>
      </c>
      <c r="I190" s="7">
        <f>'[3]M.C UNPIV'!J191</f>
        <v>1000000</v>
      </c>
      <c r="J190" s="7">
        <f>'[3]M.C UNPIV'!K191</f>
        <v>150049.51</v>
      </c>
      <c r="K190" s="5">
        <f>'[3]M.C UNPIV'!L191</f>
        <v>0</v>
      </c>
      <c r="L190" s="5" t="str">
        <f>'[3]M.C UNPIV'!M191</f>
        <v>Not Due</v>
      </c>
      <c r="M190" s="6">
        <f>'[3]M.C UNPIV'!N191</f>
        <v>46202</v>
      </c>
      <c r="N190" s="5" t="str">
        <f>'[3]M.C UNPIV'!O191</f>
        <v>PASTA</v>
      </c>
      <c r="O190" s="5">
        <f>'[3]M.C UNPIV'!P191</f>
        <v>0</v>
      </c>
    </row>
    <row r="191" spans="1:15" x14ac:dyDescent="0.25">
      <c r="A191" s="4" t="str">
        <f>'[3]M.C UNPIV'!B192</f>
        <v>Delta A</v>
      </c>
      <c r="B191" s="5" t="str">
        <f>'[3]M.C UNPIV'!C192</f>
        <v>Damietta - Khaled Ismaiel Al-Fath</v>
      </c>
      <c r="C191" s="5" t="str">
        <f>'[3]M.C UNPIV'!D192</f>
        <v>Mohamed Zakaria Ibrahim</v>
      </c>
      <c r="D191" s="5" t="str">
        <f>'[3]M.C UNPIV'!E192</f>
        <v>D22_G01806</v>
      </c>
      <c r="E191" s="5" t="str">
        <f>'[3]M.C UNPIV'!F192</f>
        <v>القواس</v>
      </c>
      <c r="F191" s="5" t="str">
        <f>'[3]M.C UNPIV'!G192</f>
        <v>K-Retail</v>
      </c>
      <c r="G191" s="6">
        <f>'[3]M.C UNPIV'!H192</f>
        <v>46193.752983831</v>
      </c>
      <c r="H191" s="5" t="str">
        <f>'[3]M.C UNPIV'!I192</f>
        <v>D22_O_00259284</v>
      </c>
      <c r="I191" s="7">
        <f>'[3]M.C UNPIV'!J192</f>
        <v>1000000</v>
      </c>
      <c r="J191" s="7">
        <f>'[3]M.C UNPIV'!K192</f>
        <v>85228.49</v>
      </c>
      <c r="K191" s="7">
        <f>'[3]M.C UNPIV'!L192</f>
        <v>0</v>
      </c>
      <c r="L191" s="7" t="str">
        <f>'[3]M.C UNPIV'!M192</f>
        <v>Not Due</v>
      </c>
      <c r="M191" s="6">
        <f>'[3]M.C UNPIV'!N192</f>
        <v>46209</v>
      </c>
      <c r="N191" s="5" t="str">
        <f>'[3]M.C UNPIV'!O192</f>
        <v>PASTA</v>
      </c>
      <c r="O191" s="5">
        <f>'[3]M.C UNPIV'!P192</f>
        <v>-7</v>
      </c>
    </row>
    <row r="192" spans="1:15" x14ac:dyDescent="0.25">
      <c r="A192" s="4" t="str">
        <f>'[3]M.C UNPIV'!B193</f>
        <v>Delta A</v>
      </c>
      <c r="B192" s="5" t="str">
        <f>'[3]M.C UNPIV'!C193</f>
        <v>Damietta - Khaled Ismaiel Al-Fath</v>
      </c>
      <c r="C192" s="5" t="str">
        <f>'[3]M.C UNPIV'!D193</f>
        <v>Mohamed Zakaria Ibrahim</v>
      </c>
      <c r="D192" s="5" t="str">
        <f>'[3]M.C UNPIV'!E193</f>
        <v>D22_G01806</v>
      </c>
      <c r="E192" s="5" t="str">
        <f>'[3]M.C UNPIV'!F193</f>
        <v>القواس</v>
      </c>
      <c r="F192" s="5" t="str">
        <f>'[3]M.C UNPIV'!G193</f>
        <v>K-Retail</v>
      </c>
      <c r="G192" s="6">
        <f>'[3]M.C UNPIV'!H193</f>
        <v>46197.676869675903</v>
      </c>
      <c r="H192" s="5" t="str">
        <f>'[3]M.C UNPIV'!I193</f>
        <v>D22_O_00260024</v>
      </c>
      <c r="I192" s="7">
        <f>'[3]M.C UNPIV'!J193</f>
        <v>1000000</v>
      </c>
      <c r="J192" s="7">
        <f>'[3]M.C UNPIV'!K193</f>
        <v>168329.69</v>
      </c>
      <c r="K192" s="7">
        <f>'[3]M.C UNPIV'!L193</f>
        <v>0</v>
      </c>
      <c r="L192" s="7" t="str">
        <f>'[3]M.C UNPIV'!M193</f>
        <v>Not Due</v>
      </c>
      <c r="M192" s="6">
        <f>'[3]M.C UNPIV'!N193</f>
        <v>46213</v>
      </c>
      <c r="N192" s="5" t="str">
        <f>'[3]M.C UNPIV'!O193</f>
        <v>PASTA</v>
      </c>
      <c r="O192" s="5">
        <f>'[3]M.C UNPIV'!P193</f>
        <v>-11</v>
      </c>
    </row>
    <row r="193" spans="1:15" x14ac:dyDescent="0.25">
      <c r="A193" s="4" t="str">
        <f>'[3]M.C UNPIV'!B194</f>
        <v>Delta A</v>
      </c>
      <c r="B193" s="5" t="str">
        <f>'[3]M.C UNPIV'!C194</f>
        <v>Damietta - Khaled Ismaiel Al-Fath</v>
      </c>
      <c r="C193" s="5" t="str">
        <f>'[3]M.C UNPIV'!D194</f>
        <v>Mohamed Zakaria Ibrahim</v>
      </c>
      <c r="D193" s="5" t="str">
        <f>'[3]M.C UNPIV'!E194</f>
        <v>D22_G01812</v>
      </c>
      <c r="E193" s="5" t="str">
        <f>'[3]M.C UNPIV'!F194</f>
        <v>محلات محمود الفار</v>
      </c>
      <c r="F193" s="5" t="str">
        <f>'[3]M.C UNPIV'!G194</f>
        <v>K-Retail</v>
      </c>
      <c r="G193" s="6">
        <f>'[3]M.C UNPIV'!H194</f>
        <v>46145.627479861098</v>
      </c>
      <c r="H193" s="5" t="str">
        <f>'[3]M.C UNPIV'!I194</f>
        <v>D22_O_00251949</v>
      </c>
      <c r="I193" s="7">
        <f>'[3]M.C UNPIV'!J194</f>
        <v>1000000</v>
      </c>
      <c r="J193" s="7">
        <f>'[3]M.C UNPIV'!K194</f>
        <v>124304.56</v>
      </c>
      <c r="K193" s="7">
        <f>'[3]M.C UNPIV'!L194</f>
        <v>124304.56</v>
      </c>
      <c r="L193" s="7" t="str">
        <f>'[3]M.C UNPIV'!M194</f>
        <v>31 : 60 Days</v>
      </c>
      <c r="M193" s="6">
        <f>'[3]M.C UNPIV'!N194</f>
        <v>46161</v>
      </c>
      <c r="N193" s="5" t="str">
        <f>'[3]M.C UNPIV'!O194</f>
        <v>PASTA</v>
      </c>
      <c r="O193" s="5">
        <f>'[3]M.C UNPIV'!P194</f>
        <v>41</v>
      </c>
    </row>
    <row r="194" spans="1:15" x14ac:dyDescent="0.25">
      <c r="A194" s="4" t="str">
        <f>'[3]M.C UNPIV'!B195</f>
        <v>Delta A</v>
      </c>
      <c r="B194" s="5" t="str">
        <f>'[3]M.C UNPIV'!C195</f>
        <v>Damietta - Khaled Ismaiel Al-Fath</v>
      </c>
      <c r="C194" s="5" t="str">
        <f>'[3]M.C UNPIV'!D195</f>
        <v>Mohamed Zakaria Ibrahim</v>
      </c>
      <c r="D194" s="5" t="str">
        <f>'[3]M.C UNPIV'!E195</f>
        <v>D22_G01812</v>
      </c>
      <c r="E194" s="5" t="str">
        <f>'[3]M.C UNPIV'!F195</f>
        <v>محلات محمود الفار</v>
      </c>
      <c r="F194" s="5" t="str">
        <f>'[3]M.C UNPIV'!G195</f>
        <v>K-Retail</v>
      </c>
      <c r="G194" s="6">
        <f>'[3]M.C UNPIV'!H195</f>
        <v>46153.708921296296</v>
      </c>
      <c r="H194" s="5" t="str">
        <f>'[3]M.C UNPIV'!I195</f>
        <v>D22_O_00253556</v>
      </c>
      <c r="I194" s="7">
        <f>'[3]M.C UNPIV'!J195</f>
        <v>1000000</v>
      </c>
      <c r="J194" s="7">
        <f>'[3]M.C UNPIV'!K195</f>
        <v>206247.36</v>
      </c>
      <c r="K194" s="7">
        <f>'[3]M.C UNPIV'!L195</f>
        <v>206247.36</v>
      </c>
      <c r="L194" s="7" t="str">
        <f>'[3]M.C UNPIV'!M195</f>
        <v>31 : 60 Days</v>
      </c>
      <c r="M194" s="6">
        <f>'[3]M.C UNPIV'!N195</f>
        <v>46169</v>
      </c>
      <c r="N194" s="5" t="str">
        <f>'[3]M.C UNPIV'!O195</f>
        <v>PASTA</v>
      </c>
      <c r="O194" s="5">
        <f>'[3]M.C UNPIV'!P195</f>
        <v>33</v>
      </c>
    </row>
    <row r="195" spans="1:15" x14ac:dyDescent="0.25">
      <c r="A195" s="4" t="str">
        <f>'[3]M.C UNPIV'!B196</f>
        <v>Delta A</v>
      </c>
      <c r="B195" s="5" t="str">
        <f>'[3]M.C UNPIV'!C196</f>
        <v>Damietta - Khaled Ismaiel Al-Fath</v>
      </c>
      <c r="C195" s="5" t="str">
        <f>'[3]M.C UNPIV'!D196</f>
        <v>Mohamed Zakaria Ibrahim</v>
      </c>
      <c r="D195" s="5" t="str">
        <f>'[3]M.C UNPIV'!E196</f>
        <v>D22_G01812</v>
      </c>
      <c r="E195" s="5" t="str">
        <f>'[3]M.C UNPIV'!F196</f>
        <v>محلات محمود الفار</v>
      </c>
      <c r="F195" s="5" t="str">
        <f>'[3]M.C UNPIV'!G196</f>
        <v>K-Retail</v>
      </c>
      <c r="G195" s="6">
        <f>'[3]M.C UNPIV'!H196</f>
        <v>46167.487452974499</v>
      </c>
      <c r="H195" s="5" t="str">
        <f>'[3]M.C UNPIV'!I196</f>
        <v>D22_O_00255813</v>
      </c>
      <c r="I195" s="7">
        <f>'[3]M.C UNPIV'!J196</f>
        <v>1000000</v>
      </c>
      <c r="J195" s="7">
        <f>'[3]M.C UNPIV'!K196</f>
        <v>243924.79</v>
      </c>
      <c r="K195" s="7">
        <f>'[3]M.C UNPIV'!L196</f>
        <v>243924.79</v>
      </c>
      <c r="L195" s="7" t="str">
        <f>'[3]M.C UNPIV'!M196</f>
        <v>11 : 20 Days</v>
      </c>
      <c r="M195" s="6">
        <f>'[3]M.C UNPIV'!N196</f>
        <v>46183</v>
      </c>
      <c r="N195" s="5" t="str">
        <f>'[3]M.C UNPIV'!O196</f>
        <v>PASTA</v>
      </c>
      <c r="O195" s="5">
        <f>'[3]M.C UNPIV'!P196</f>
        <v>19</v>
      </c>
    </row>
    <row r="196" spans="1:15" x14ac:dyDescent="0.25">
      <c r="A196" s="4" t="str">
        <f>'[3]M.C UNPIV'!B197</f>
        <v>Delta A</v>
      </c>
      <c r="B196" s="5" t="str">
        <f>'[3]M.C UNPIV'!C197</f>
        <v>Damietta - Khaled Ismaiel Al-Fath</v>
      </c>
      <c r="C196" s="5" t="str">
        <f>'[3]M.C UNPIV'!D197</f>
        <v>Mohamed Zakaria Ibrahim</v>
      </c>
      <c r="D196" s="5" t="str">
        <f>'[3]M.C UNPIV'!E197</f>
        <v>D22_G01812</v>
      </c>
      <c r="E196" s="5" t="str">
        <f>'[3]M.C UNPIV'!F197</f>
        <v>محلات محمود الفار</v>
      </c>
      <c r="F196" s="5" t="str">
        <f>'[3]M.C UNPIV'!G197</f>
        <v>K-Retail</v>
      </c>
      <c r="G196" s="6">
        <f>'[3]M.C UNPIV'!H197</f>
        <v>46189.450206169</v>
      </c>
      <c r="H196" s="5" t="str">
        <f>'[3]M.C UNPIV'!I197</f>
        <v>D22_O_00258605</v>
      </c>
      <c r="I196" s="7">
        <f>'[3]M.C UNPIV'!J197</f>
        <v>1000000</v>
      </c>
      <c r="J196" s="7">
        <f>'[3]M.C UNPIV'!K197</f>
        <v>96894.94</v>
      </c>
      <c r="K196" s="7">
        <f>'[3]M.C UNPIV'!L197</f>
        <v>0</v>
      </c>
      <c r="L196" s="7" t="str">
        <f>'[3]M.C UNPIV'!M197</f>
        <v>Not Due</v>
      </c>
      <c r="M196" s="6">
        <f>'[3]M.C UNPIV'!N197</f>
        <v>46205</v>
      </c>
      <c r="N196" s="5" t="str">
        <f>'[3]M.C UNPIV'!O197</f>
        <v>PASTA</v>
      </c>
      <c r="O196" s="5">
        <f>'[3]M.C UNPIV'!P197</f>
        <v>-3</v>
      </c>
    </row>
    <row r="197" spans="1:15" x14ac:dyDescent="0.25">
      <c r="A197" s="4" t="str">
        <f>'[3]M.C UNPIV'!B198</f>
        <v>Delta A</v>
      </c>
      <c r="B197" s="5" t="str">
        <f>'[3]M.C UNPIV'!C198</f>
        <v>Damietta - Khaled Ismaiel Al-Fath</v>
      </c>
      <c r="C197" s="5" t="str">
        <f>'[3]M.C UNPIV'!D198</f>
        <v>Mohamed Zakaria Ibrahim</v>
      </c>
      <c r="D197" s="5" t="str">
        <f>'[3]M.C UNPIV'!E198</f>
        <v>D22_G01812</v>
      </c>
      <c r="E197" s="5" t="str">
        <f>'[3]M.C UNPIV'!F198</f>
        <v>محلات محمود الفار</v>
      </c>
      <c r="F197" s="5" t="str">
        <f>'[3]M.C UNPIV'!G198</f>
        <v>K-Retail</v>
      </c>
      <c r="G197" s="6">
        <f>'[3]M.C UNPIV'!H198</f>
        <v>46196.722415358803</v>
      </c>
      <c r="H197" s="5" t="str">
        <f>'[3]M.C UNPIV'!I198</f>
        <v>D22_O_00259846</v>
      </c>
      <c r="I197" s="7">
        <f>'[3]M.C UNPIV'!J198</f>
        <v>1000000</v>
      </c>
      <c r="J197" s="7">
        <f>'[3]M.C UNPIV'!K198</f>
        <v>229361.17</v>
      </c>
      <c r="K197" s="7">
        <f>'[3]M.C UNPIV'!L198</f>
        <v>0</v>
      </c>
      <c r="L197" s="7" t="str">
        <f>'[3]M.C UNPIV'!M198</f>
        <v>Not Due</v>
      </c>
      <c r="M197" s="6">
        <f>'[3]M.C UNPIV'!N198</f>
        <v>46212</v>
      </c>
      <c r="N197" s="5" t="str">
        <f>'[3]M.C UNPIV'!O198</f>
        <v>PASTA</v>
      </c>
      <c r="O197" s="5">
        <f>'[3]M.C UNPIV'!P198</f>
        <v>-10</v>
      </c>
    </row>
    <row r="198" spans="1:15" x14ac:dyDescent="0.25">
      <c r="A198" s="4" t="str">
        <f>'[3]M.C UNPIV'!B199</f>
        <v>Delta A</v>
      </c>
      <c r="B198" s="5" t="str">
        <f>'[3]M.C UNPIV'!C199</f>
        <v>Damietta - Khaled Ismaiel Al-Fath</v>
      </c>
      <c r="C198" s="5" t="str">
        <f>'[3]M.C UNPIV'!D199</f>
        <v>Mohamed Zakaria Ibrahim</v>
      </c>
      <c r="D198" s="5" t="str">
        <f>'[3]M.C UNPIV'!E199</f>
        <v>D22_G02156</v>
      </c>
      <c r="E198" s="5" t="str">
        <f>'[3]M.C UNPIV'!F199</f>
        <v>داون تاون العرب</v>
      </c>
      <c r="F198" s="5" t="str">
        <f>'[3]M.C UNPIV'!G199</f>
        <v>K-Retail</v>
      </c>
      <c r="G198" s="6">
        <f>'[3]M.C UNPIV'!H199</f>
        <v>46147.599206516199</v>
      </c>
      <c r="H198" s="5" t="str">
        <f>'[3]M.C UNPIV'!I199</f>
        <v>D22_O_00252493</v>
      </c>
      <c r="I198" s="7">
        <f>'[3]M.C UNPIV'!J199</f>
        <v>75000</v>
      </c>
      <c r="J198" s="7">
        <f>'[3]M.C UNPIV'!K199</f>
        <v>18914.310000000001</v>
      </c>
      <c r="K198" s="7">
        <f>'[3]M.C UNPIV'!L199</f>
        <v>18914.310000000001</v>
      </c>
      <c r="L198" s="7" t="str">
        <f>'[3]M.C UNPIV'!M199</f>
        <v>31 : 60 Days</v>
      </c>
      <c r="M198" s="6">
        <f>'[3]M.C UNPIV'!N199</f>
        <v>46163</v>
      </c>
      <c r="N198" s="5" t="str">
        <f>'[3]M.C UNPIV'!O199</f>
        <v>PASTA</v>
      </c>
      <c r="O198" s="5">
        <f>'[3]M.C UNPIV'!P199</f>
        <v>39</v>
      </c>
    </row>
    <row r="199" spans="1:15" x14ac:dyDescent="0.25">
      <c r="A199" s="4" t="str">
        <f>'[3]M.C UNPIV'!B200</f>
        <v>Delta A</v>
      </c>
      <c r="B199" s="5" t="str">
        <f>'[3]M.C UNPIV'!C200</f>
        <v>Damietta - Khaled Ismaiel Al-Fath</v>
      </c>
      <c r="C199" s="5" t="str">
        <f>'[3]M.C UNPIV'!D200</f>
        <v>Mohamed Zakaria Ibrahim</v>
      </c>
      <c r="D199" s="5" t="str">
        <f>'[3]M.C UNPIV'!E200</f>
        <v>D22_G02156</v>
      </c>
      <c r="E199" s="5" t="str">
        <f>'[3]M.C UNPIV'!F200</f>
        <v>داون تاون العرب</v>
      </c>
      <c r="F199" s="5" t="str">
        <f>'[3]M.C UNPIV'!G200</f>
        <v>K-Retail</v>
      </c>
      <c r="G199" s="6">
        <f>'[3]M.C UNPIV'!H200</f>
        <v>46198.679032870401</v>
      </c>
      <c r="H199" s="5" t="str">
        <f>'[3]M.C UNPIV'!I200</f>
        <v>D22_O_00260167</v>
      </c>
      <c r="I199" s="7">
        <f>'[3]M.C UNPIV'!J200</f>
        <v>75000</v>
      </c>
      <c r="J199" s="7">
        <f>'[3]M.C UNPIV'!K200</f>
        <v>52951.89</v>
      </c>
      <c r="K199" s="7">
        <f>'[3]M.C UNPIV'!L200</f>
        <v>0</v>
      </c>
      <c r="L199" s="7" t="str">
        <f>'[3]M.C UNPIV'!M200</f>
        <v>Not Due</v>
      </c>
      <c r="M199" s="6">
        <f>'[3]M.C UNPIV'!N200</f>
        <v>46214</v>
      </c>
      <c r="N199" s="5" t="str">
        <f>'[3]M.C UNPIV'!O200</f>
        <v>PASTA</v>
      </c>
      <c r="O199" s="5">
        <f>'[3]M.C UNPIV'!P200</f>
        <v>-12</v>
      </c>
    </row>
    <row r="200" spans="1:15" x14ac:dyDescent="0.25">
      <c r="A200" s="4" t="str">
        <f>'[3]M.C UNPIV'!B201</f>
        <v>Delta A</v>
      </c>
      <c r="B200" s="5" t="str">
        <f>'[3]M.C UNPIV'!C201</f>
        <v>Damietta - Khaled Ismaiel Al-Fath</v>
      </c>
      <c r="C200" s="5" t="str">
        <f>'[3]M.C UNPIV'!D201</f>
        <v>Mohamed Zakaria Ibrahim</v>
      </c>
      <c r="D200" s="5" t="str">
        <f>'[3]M.C UNPIV'!E201</f>
        <v>D22_R01806</v>
      </c>
      <c r="E200" s="5" t="str">
        <f>'[3]M.C UNPIV'!F201</f>
        <v>القواس</v>
      </c>
      <c r="F200" s="5" t="str">
        <f>'[3]M.C UNPIV'!G201</f>
        <v>K-Retail</v>
      </c>
      <c r="G200" s="6">
        <f>'[3]M.C UNPIV'!H201</f>
        <v>46194.713306863399</v>
      </c>
      <c r="H200" s="5" t="str">
        <f>'[3]M.C UNPIV'!I201</f>
        <v>D22_O_00259446</v>
      </c>
      <c r="I200" s="7">
        <f>'[3]M.C UNPIV'!J201</f>
        <v>1000000</v>
      </c>
      <c r="J200" s="7">
        <f>'[3]M.C UNPIV'!K201</f>
        <v>180789.08</v>
      </c>
      <c r="K200" s="7">
        <f>'[3]M.C UNPIV'!L201</f>
        <v>0</v>
      </c>
      <c r="L200" s="7" t="str">
        <f>'[3]M.C UNPIV'!M201</f>
        <v>Not Due</v>
      </c>
      <c r="M200" s="6">
        <f>'[3]M.C UNPIV'!N201</f>
        <v>46210</v>
      </c>
      <c r="N200" s="5" t="str">
        <f>'[3]M.C UNPIV'!O201</f>
        <v>AFIA</v>
      </c>
      <c r="O200" s="5">
        <f>'[3]M.C UNPIV'!P201</f>
        <v>-8</v>
      </c>
    </row>
    <row r="201" spans="1:15" x14ac:dyDescent="0.25">
      <c r="A201" s="4" t="str">
        <f>'[3]M.C UNPIV'!B202</f>
        <v>Delta A</v>
      </c>
      <c r="B201" s="5" t="str">
        <f>'[3]M.C UNPIV'!C202</f>
        <v>Damietta - Khaled Ismaiel Al-Fath</v>
      </c>
      <c r="C201" s="5" t="str">
        <f>'[3]M.C UNPIV'!D202</f>
        <v>Mohamed Zakaria Ibrahim</v>
      </c>
      <c r="D201" s="5" t="str">
        <f>'[3]M.C UNPIV'!E202</f>
        <v>D22_R01812</v>
      </c>
      <c r="E201" s="5" t="str">
        <f>'[3]M.C UNPIV'!F202</f>
        <v>محلات محمود الفار</v>
      </c>
      <c r="F201" s="5" t="str">
        <f>'[3]M.C UNPIV'!G202</f>
        <v>K-Retail</v>
      </c>
      <c r="G201" s="6">
        <f>'[3]M.C UNPIV'!H202</f>
        <v>46166.5066814815</v>
      </c>
      <c r="H201" s="5" t="str">
        <f>'[3]M.C UNPIV'!I202</f>
        <v>D22_O_00255512</v>
      </c>
      <c r="I201" s="7">
        <f>'[3]M.C UNPIV'!J202</f>
        <v>3000000</v>
      </c>
      <c r="J201" s="7">
        <f>'[3]M.C UNPIV'!K202</f>
        <v>35784.43</v>
      </c>
      <c r="K201" s="7">
        <f>'[3]M.C UNPIV'!L202</f>
        <v>35784.43</v>
      </c>
      <c r="L201" s="7" t="str">
        <f>'[3]M.C UNPIV'!M202</f>
        <v>11 : 20 Days</v>
      </c>
      <c r="M201" s="6">
        <f>'[3]M.C UNPIV'!N202</f>
        <v>46182</v>
      </c>
      <c r="N201" s="5" t="str">
        <f>'[3]M.C UNPIV'!O202</f>
        <v>AFIA</v>
      </c>
      <c r="O201" s="5">
        <f>'[3]M.C UNPIV'!P202</f>
        <v>20</v>
      </c>
    </row>
    <row r="202" spans="1:15" x14ac:dyDescent="0.25">
      <c r="A202" s="4" t="str">
        <f>'[3]M.C UNPIV'!B203</f>
        <v>Delta A</v>
      </c>
      <c r="B202" s="5" t="str">
        <f>'[3]M.C UNPIV'!C203</f>
        <v>Damietta - Khaled Ismaiel Al-Fath</v>
      </c>
      <c r="C202" s="5" t="str">
        <f>'[3]M.C UNPIV'!D203</f>
        <v>Mohamed Zakaria Ibrahim</v>
      </c>
      <c r="D202" s="5" t="str">
        <f>'[3]M.C UNPIV'!E203</f>
        <v>D22_R01812</v>
      </c>
      <c r="E202" s="5" t="str">
        <f>'[3]M.C UNPIV'!F203</f>
        <v>محلات محمود الفار</v>
      </c>
      <c r="F202" s="5" t="str">
        <f>'[3]M.C UNPIV'!G203</f>
        <v>K-Retail</v>
      </c>
      <c r="G202" s="6">
        <f>'[3]M.C UNPIV'!H203</f>
        <v>46182.418694756903</v>
      </c>
      <c r="H202" s="5" t="str">
        <f>'[3]M.C UNPIV'!I203</f>
        <v>D22_O_00257547</v>
      </c>
      <c r="I202" s="7">
        <f>'[3]M.C UNPIV'!J203</f>
        <v>3000000</v>
      </c>
      <c r="J202" s="7">
        <f>'[3]M.C UNPIV'!K203</f>
        <v>98716.87</v>
      </c>
      <c r="K202" s="7">
        <f>'[3]M.C UNPIV'!L203</f>
        <v>98716.87</v>
      </c>
      <c r="L202" s="7" t="str">
        <f>'[3]M.C UNPIV'!M203</f>
        <v>1 : 10 Days</v>
      </c>
      <c r="M202" s="6">
        <f>'[3]M.C UNPIV'!N203</f>
        <v>46198</v>
      </c>
      <c r="N202" s="5" t="str">
        <f>'[3]M.C UNPIV'!O203</f>
        <v>AFIA</v>
      </c>
      <c r="O202" s="5">
        <f>'[3]M.C UNPIV'!P203</f>
        <v>4</v>
      </c>
    </row>
    <row r="203" spans="1:15" x14ac:dyDescent="0.25">
      <c r="A203" s="4" t="str">
        <f>'[3]M.C UNPIV'!B204</f>
        <v>Delta A</v>
      </c>
      <c r="B203" s="5" t="str">
        <f>'[3]M.C UNPIV'!C204</f>
        <v>Damietta - Khaled Ismaiel Al-Fath</v>
      </c>
      <c r="C203" s="5" t="str">
        <f>'[3]M.C UNPIV'!D204</f>
        <v>Mohamed Zakaria Ibrahim</v>
      </c>
      <c r="D203" s="5" t="str">
        <f>'[3]M.C UNPIV'!E204</f>
        <v>D22_R01812</v>
      </c>
      <c r="E203" s="5" t="str">
        <f>'[3]M.C UNPIV'!F204</f>
        <v>محلات محمود الفار</v>
      </c>
      <c r="F203" s="5" t="str">
        <f>'[3]M.C UNPIV'!G204</f>
        <v>K-Retail</v>
      </c>
      <c r="G203" s="6">
        <f>'[3]M.C UNPIV'!H204</f>
        <v>46196.848310300898</v>
      </c>
      <c r="H203" s="5" t="str">
        <f>'[3]M.C UNPIV'!I204</f>
        <v>D22_O_00259874</v>
      </c>
      <c r="I203" s="7">
        <f>'[3]M.C UNPIV'!J204</f>
        <v>3000000</v>
      </c>
      <c r="J203" s="7">
        <f>'[3]M.C UNPIV'!K204</f>
        <v>949019.04</v>
      </c>
      <c r="K203" s="7">
        <f>'[3]M.C UNPIV'!L204</f>
        <v>0</v>
      </c>
      <c r="L203" s="7" t="str">
        <f>'[3]M.C UNPIV'!M204</f>
        <v>Not Due</v>
      </c>
      <c r="M203" s="6">
        <f>'[3]M.C UNPIV'!N204</f>
        <v>46212</v>
      </c>
      <c r="N203" s="5" t="str">
        <f>'[3]M.C UNPIV'!O204</f>
        <v>AFIA</v>
      </c>
      <c r="O203" s="5">
        <f>'[3]M.C UNPIV'!P204</f>
        <v>-10</v>
      </c>
    </row>
    <row r="204" spans="1:15" x14ac:dyDescent="0.25">
      <c r="A204" s="4" t="str">
        <f>'[3]M.C UNPIV'!B205</f>
        <v>Delta A</v>
      </c>
      <c r="B204" s="5" t="str">
        <f>'[3]M.C UNPIV'!C205</f>
        <v>Damietta - Khaled Ismaiel Al-Fath</v>
      </c>
      <c r="C204" s="5" t="str">
        <f>'[3]M.C UNPIV'!D205</f>
        <v>Mohamed Zakaria Ibrahim</v>
      </c>
      <c r="D204" s="5" t="str">
        <f>'[3]M.C UNPIV'!E205</f>
        <v>D22_R02156</v>
      </c>
      <c r="E204" s="5" t="str">
        <f>'[3]M.C UNPIV'!F205</f>
        <v>داون تاون العرب</v>
      </c>
      <c r="F204" s="5" t="str">
        <f>'[3]M.C UNPIV'!G205</f>
        <v>K-Retail</v>
      </c>
      <c r="G204" s="6">
        <f>'[3]M.C UNPIV'!H205</f>
        <v>46198.690031284699</v>
      </c>
      <c r="H204" s="5" t="str">
        <f>'[3]M.C UNPIV'!I205</f>
        <v>D22_O_00260176</v>
      </c>
      <c r="I204" s="7">
        <f>'[3]M.C UNPIV'!J205</f>
        <v>100000</v>
      </c>
      <c r="J204" s="7">
        <f>'[3]M.C UNPIV'!K205</f>
        <v>99802.91</v>
      </c>
      <c r="K204" s="7">
        <f>'[3]M.C UNPIV'!L205</f>
        <v>0</v>
      </c>
      <c r="L204" s="7" t="str">
        <f>'[3]M.C UNPIV'!M205</f>
        <v>Not Due</v>
      </c>
      <c r="M204" s="6">
        <f>'[3]M.C UNPIV'!N205</f>
        <v>46214</v>
      </c>
      <c r="N204" s="5" t="str">
        <f>'[3]M.C UNPIV'!O205</f>
        <v>AFIA</v>
      </c>
      <c r="O204" s="5">
        <f>'[3]M.C UNPIV'!P205</f>
        <v>-12</v>
      </c>
    </row>
    <row r="205" spans="1:15" x14ac:dyDescent="0.25">
      <c r="A205" s="4">
        <f>'[3]M.C UNPIV'!B206</f>
        <v>0</v>
      </c>
      <c r="B205" s="5">
        <f>'[3]M.C UNPIV'!C206</f>
        <v>0</v>
      </c>
      <c r="C205" s="5">
        <f>'[3]M.C UNPIV'!D206</f>
        <v>0</v>
      </c>
      <c r="D205" s="5">
        <f>'[3]M.C UNPIV'!E206</f>
        <v>0</v>
      </c>
      <c r="E205" s="5">
        <f>'[3]M.C UNPIV'!F206</f>
        <v>0</v>
      </c>
      <c r="F205" s="5">
        <f>'[3]M.C UNPIV'!G206</f>
        <v>0</v>
      </c>
      <c r="G205" s="6">
        <f>'[3]M.C UNPIV'!H206</f>
        <v>0</v>
      </c>
      <c r="H205" s="5">
        <f>'[3]M.C UNPIV'!I206</f>
        <v>0</v>
      </c>
      <c r="I205" s="7">
        <f>'[3]M.C UNPIV'!J206</f>
        <v>0</v>
      </c>
      <c r="J205" s="7">
        <f>'[3]M.C UNPIV'!K206</f>
        <v>0</v>
      </c>
      <c r="K205" s="7">
        <f>'[3]M.C UNPIV'!L206</f>
        <v>0</v>
      </c>
      <c r="L205" s="7">
        <f>'[3]M.C UNPIV'!M206</f>
        <v>0</v>
      </c>
      <c r="M205" s="6">
        <f>'[3]M.C UNPIV'!N206</f>
        <v>0</v>
      </c>
      <c r="N205" s="5">
        <f>'[3]M.C UNPIV'!O206</f>
        <v>0</v>
      </c>
      <c r="O205" s="5">
        <f>'[3]M.C UNPIV'!P206</f>
        <v>0</v>
      </c>
    </row>
    <row r="206" spans="1:15" x14ac:dyDescent="0.25">
      <c r="A206" s="4">
        <f>'[3]M.C UNPIV'!B207</f>
        <v>0</v>
      </c>
      <c r="B206" s="5">
        <f>'[3]M.C UNPIV'!C207</f>
        <v>0</v>
      </c>
      <c r="C206" s="5">
        <f>'[3]M.C UNPIV'!D207</f>
        <v>0</v>
      </c>
      <c r="D206" s="5">
        <f>'[3]M.C UNPIV'!E207</f>
        <v>0</v>
      </c>
      <c r="E206" s="5">
        <f>'[3]M.C UNPIV'!F207</f>
        <v>0</v>
      </c>
      <c r="F206" s="5">
        <f>'[3]M.C UNPIV'!G207</f>
        <v>0</v>
      </c>
      <c r="G206" s="6">
        <f>'[3]M.C UNPIV'!H207</f>
        <v>0</v>
      </c>
      <c r="H206" s="5">
        <f>'[3]M.C UNPIV'!I207</f>
        <v>0</v>
      </c>
      <c r="I206" s="7">
        <f>'[3]M.C UNPIV'!J207</f>
        <v>0</v>
      </c>
      <c r="J206" s="7">
        <f>'[3]M.C UNPIV'!K207</f>
        <v>0</v>
      </c>
      <c r="K206" s="7">
        <f>'[3]M.C UNPIV'!L207</f>
        <v>0</v>
      </c>
      <c r="L206" s="7">
        <f>'[3]M.C UNPIV'!M207</f>
        <v>0</v>
      </c>
      <c r="M206" s="6">
        <f>'[3]M.C UNPIV'!N207</f>
        <v>0</v>
      </c>
      <c r="N206" s="5">
        <f>'[3]M.C UNPIV'!O207</f>
        <v>0</v>
      </c>
      <c r="O206" s="5">
        <f>'[3]M.C UNPIV'!P207</f>
        <v>0</v>
      </c>
    </row>
    <row r="207" spans="1:15" x14ac:dyDescent="0.25">
      <c r="A207" s="4">
        <f>'[3]M.C UNPIV'!B208</f>
        <v>0</v>
      </c>
      <c r="B207" s="5">
        <f>'[3]M.C UNPIV'!C208</f>
        <v>0</v>
      </c>
      <c r="C207" s="5">
        <f>'[3]M.C UNPIV'!D208</f>
        <v>0</v>
      </c>
      <c r="D207" s="5">
        <f>'[3]M.C UNPIV'!E208</f>
        <v>0</v>
      </c>
      <c r="E207" s="5">
        <f>'[3]M.C UNPIV'!F208</f>
        <v>0</v>
      </c>
      <c r="F207" s="5">
        <f>'[3]M.C UNPIV'!G208</f>
        <v>0</v>
      </c>
      <c r="G207" s="6">
        <f>'[3]M.C UNPIV'!H208</f>
        <v>0</v>
      </c>
      <c r="H207" s="5">
        <f>'[3]M.C UNPIV'!I208</f>
        <v>0</v>
      </c>
      <c r="I207" s="7">
        <f>'[3]M.C UNPIV'!J208</f>
        <v>0</v>
      </c>
      <c r="J207" s="7">
        <f>'[3]M.C UNPIV'!K208</f>
        <v>0</v>
      </c>
      <c r="K207" s="7">
        <f>'[3]M.C UNPIV'!L208</f>
        <v>0</v>
      </c>
      <c r="L207" s="7">
        <f>'[3]M.C UNPIV'!M208</f>
        <v>0</v>
      </c>
      <c r="M207" s="6">
        <f>'[3]M.C UNPIV'!N208</f>
        <v>0</v>
      </c>
      <c r="N207" s="5">
        <f>'[3]M.C UNPIV'!O208</f>
        <v>0</v>
      </c>
      <c r="O207" s="5">
        <f>'[3]M.C UNPIV'!P208</f>
        <v>0</v>
      </c>
    </row>
    <row r="208" spans="1:15" x14ac:dyDescent="0.25">
      <c r="A208" s="4">
        <f>'[3]M.C UNPIV'!B209</f>
        <v>0</v>
      </c>
      <c r="B208" s="5">
        <f>'[3]M.C UNPIV'!C209</f>
        <v>0</v>
      </c>
      <c r="C208" s="5">
        <f>'[3]M.C UNPIV'!D209</f>
        <v>0</v>
      </c>
      <c r="D208" s="5">
        <f>'[3]M.C UNPIV'!E209</f>
        <v>0</v>
      </c>
      <c r="E208" s="5">
        <f>'[3]M.C UNPIV'!F209</f>
        <v>0</v>
      </c>
      <c r="F208" s="5">
        <f>'[3]M.C UNPIV'!G209</f>
        <v>0</v>
      </c>
      <c r="G208" s="6">
        <f>'[3]M.C UNPIV'!H209</f>
        <v>0</v>
      </c>
      <c r="H208" s="5">
        <f>'[3]M.C UNPIV'!I209</f>
        <v>0</v>
      </c>
      <c r="I208" s="7">
        <f>'[3]M.C UNPIV'!J209</f>
        <v>0</v>
      </c>
      <c r="J208" s="7">
        <f>'[3]M.C UNPIV'!K209</f>
        <v>0</v>
      </c>
      <c r="K208" s="7">
        <f>'[3]M.C UNPIV'!L209</f>
        <v>0</v>
      </c>
      <c r="L208" s="7">
        <f>'[3]M.C UNPIV'!M209</f>
        <v>0</v>
      </c>
      <c r="M208" s="6">
        <f>'[3]M.C UNPIV'!N209</f>
        <v>0</v>
      </c>
      <c r="N208" s="5">
        <f>'[3]M.C UNPIV'!O209</f>
        <v>0</v>
      </c>
      <c r="O208" s="5">
        <f>'[3]M.C UNPIV'!P209</f>
        <v>0</v>
      </c>
    </row>
    <row r="209" spans="1:15" x14ac:dyDescent="0.25">
      <c r="A209" s="4">
        <f>'[3]M.C UNPIV'!B210</f>
        <v>0</v>
      </c>
      <c r="B209" s="5">
        <f>'[3]M.C UNPIV'!C210</f>
        <v>0</v>
      </c>
      <c r="C209" s="5">
        <f>'[3]M.C UNPIV'!D210</f>
        <v>0</v>
      </c>
      <c r="D209" s="5">
        <f>'[3]M.C UNPIV'!E210</f>
        <v>0</v>
      </c>
      <c r="E209" s="5">
        <f>'[3]M.C UNPIV'!F210</f>
        <v>0</v>
      </c>
      <c r="F209" s="5">
        <f>'[3]M.C UNPIV'!G210</f>
        <v>0</v>
      </c>
      <c r="G209" s="6">
        <f>'[3]M.C UNPIV'!H210</f>
        <v>0</v>
      </c>
      <c r="H209" s="5">
        <f>'[3]M.C UNPIV'!I210</f>
        <v>0</v>
      </c>
      <c r="I209" s="7">
        <f>'[3]M.C UNPIV'!J210</f>
        <v>0</v>
      </c>
      <c r="J209" s="7">
        <f>'[3]M.C UNPIV'!K210</f>
        <v>0</v>
      </c>
      <c r="K209" s="7">
        <f>'[3]M.C UNPIV'!L210</f>
        <v>0</v>
      </c>
      <c r="L209" s="7">
        <f>'[3]M.C UNPIV'!M210</f>
        <v>0</v>
      </c>
      <c r="M209" s="6">
        <f>'[3]M.C UNPIV'!N210</f>
        <v>0</v>
      </c>
      <c r="N209" s="5">
        <f>'[3]M.C UNPIV'!O210</f>
        <v>0</v>
      </c>
      <c r="O209" s="5">
        <f>'[3]M.C UNPIV'!P210</f>
        <v>0</v>
      </c>
    </row>
    <row r="210" spans="1:15" x14ac:dyDescent="0.25">
      <c r="A210" s="4">
        <f>'[3]M.C UNPIV'!B211</f>
        <v>0</v>
      </c>
      <c r="B210" s="5">
        <f>'[3]M.C UNPIV'!C211</f>
        <v>0</v>
      </c>
      <c r="C210" s="5">
        <f>'[3]M.C UNPIV'!D211</f>
        <v>0</v>
      </c>
      <c r="D210" s="5">
        <f>'[3]M.C UNPIV'!E211</f>
        <v>0</v>
      </c>
      <c r="E210" s="5">
        <f>'[3]M.C UNPIV'!F211</f>
        <v>0</v>
      </c>
      <c r="F210" s="5">
        <f>'[3]M.C UNPIV'!G211</f>
        <v>0</v>
      </c>
      <c r="G210" s="6">
        <f>'[3]M.C UNPIV'!H211</f>
        <v>0</v>
      </c>
      <c r="H210" s="5">
        <f>'[3]M.C UNPIV'!I211</f>
        <v>0</v>
      </c>
      <c r="I210" s="7">
        <f>'[3]M.C UNPIV'!J211</f>
        <v>0</v>
      </c>
      <c r="J210" s="7">
        <f>'[3]M.C UNPIV'!K211</f>
        <v>0</v>
      </c>
      <c r="K210" s="7">
        <f>'[3]M.C UNPIV'!L211</f>
        <v>0</v>
      </c>
      <c r="L210" s="7">
        <f>'[3]M.C UNPIV'!M211</f>
        <v>0</v>
      </c>
      <c r="M210" s="6">
        <f>'[3]M.C UNPIV'!N211</f>
        <v>0</v>
      </c>
      <c r="N210" s="5">
        <f>'[3]M.C UNPIV'!O211</f>
        <v>0</v>
      </c>
      <c r="O210" s="5">
        <f>'[3]M.C UNPIV'!P211</f>
        <v>0</v>
      </c>
    </row>
    <row r="211" spans="1:15" x14ac:dyDescent="0.25">
      <c r="A211" s="4">
        <f>'[3]M.C UNPIV'!B212</f>
        <v>0</v>
      </c>
      <c r="B211" s="5">
        <f>'[3]M.C UNPIV'!C212</f>
        <v>0</v>
      </c>
      <c r="C211" s="5">
        <f>'[3]M.C UNPIV'!D212</f>
        <v>0</v>
      </c>
      <c r="D211" s="5">
        <f>'[3]M.C UNPIV'!E212</f>
        <v>0</v>
      </c>
      <c r="E211" s="5">
        <f>'[3]M.C UNPIV'!F212</f>
        <v>0</v>
      </c>
      <c r="F211" s="5">
        <f>'[3]M.C UNPIV'!G212</f>
        <v>0</v>
      </c>
      <c r="G211" s="6">
        <f>'[3]M.C UNPIV'!H212</f>
        <v>0</v>
      </c>
      <c r="H211" s="5">
        <f>'[3]M.C UNPIV'!I212</f>
        <v>0</v>
      </c>
      <c r="I211" s="7">
        <f>'[3]M.C UNPIV'!J212</f>
        <v>0</v>
      </c>
      <c r="J211" s="7">
        <f>'[3]M.C UNPIV'!K212</f>
        <v>0</v>
      </c>
      <c r="K211" s="7">
        <f>'[3]M.C UNPIV'!L212</f>
        <v>0</v>
      </c>
      <c r="L211" s="7">
        <f>'[3]M.C UNPIV'!M212</f>
        <v>0</v>
      </c>
      <c r="M211" s="6">
        <f>'[3]M.C UNPIV'!N212</f>
        <v>0</v>
      </c>
      <c r="N211" s="5">
        <f>'[3]M.C UNPIV'!O212</f>
        <v>0</v>
      </c>
      <c r="O211" s="5">
        <f>'[3]M.C UNPIV'!P212</f>
        <v>0</v>
      </c>
    </row>
    <row r="212" spans="1:15" x14ac:dyDescent="0.25">
      <c r="A212" s="4">
        <f>'[3]M.C UNPIV'!B213</f>
        <v>0</v>
      </c>
      <c r="B212" s="5">
        <f>'[3]M.C UNPIV'!C213</f>
        <v>0</v>
      </c>
      <c r="C212" s="5">
        <f>'[3]M.C UNPIV'!D213</f>
        <v>0</v>
      </c>
      <c r="D212" s="5">
        <f>'[3]M.C UNPIV'!E213</f>
        <v>0</v>
      </c>
      <c r="E212" s="5">
        <f>'[3]M.C UNPIV'!F213</f>
        <v>0</v>
      </c>
      <c r="F212" s="5">
        <f>'[3]M.C UNPIV'!G213</f>
        <v>0</v>
      </c>
      <c r="G212" s="6">
        <f>'[3]M.C UNPIV'!H213</f>
        <v>0</v>
      </c>
      <c r="H212" s="5">
        <f>'[3]M.C UNPIV'!I213</f>
        <v>0</v>
      </c>
      <c r="I212" s="7">
        <f>'[3]M.C UNPIV'!J213</f>
        <v>0</v>
      </c>
      <c r="J212" s="7">
        <f>'[3]M.C UNPIV'!K213</f>
        <v>0</v>
      </c>
      <c r="K212" s="7">
        <f>'[3]M.C UNPIV'!L213</f>
        <v>0</v>
      </c>
      <c r="L212" s="7">
        <f>'[3]M.C UNPIV'!M213</f>
        <v>0</v>
      </c>
      <c r="M212" s="6">
        <f>'[3]M.C UNPIV'!N213</f>
        <v>0</v>
      </c>
      <c r="N212" s="5">
        <f>'[3]M.C UNPIV'!O213</f>
        <v>0</v>
      </c>
      <c r="O212" s="5">
        <f>'[3]M.C UNPIV'!P213</f>
        <v>0</v>
      </c>
    </row>
    <row r="213" spans="1:15" x14ac:dyDescent="0.25">
      <c r="A213" s="4">
        <f>'[3]M.C UNPIV'!B214</f>
        <v>0</v>
      </c>
      <c r="B213" s="5">
        <f>'[3]M.C UNPIV'!C214</f>
        <v>0</v>
      </c>
      <c r="C213" s="5">
        <f>'[3]M.C UNPIV'!D214</f>
        <v>0</v>
      </c>
      <c r="D213" s="5">
        <f>'[3]M.C UNPIV'!E214</f>
        <v>0</v>
      </c>
      <c r="E213" s="5">
        <f>'[3]M.C UNPIV'!F214</f>
        <v>0</v>
      </c>
      <c r="F213" s="5">
        <f>'[3]M.C UNPIV'!G214</f>
        <v>0</v>
      </c>
      <c r="G213" s="6">
        <f>'[3]M.C UNPIV'!H214</f>
        <v>0</v>
      </c>
      <c r="H213" s="5">
        <f>'[3]M.C UNPIV'!I214</f>
        <v>0</v>
      </c>
      <c r="I213" s="7">
        <f>'[3]M.C UNPIV'!J214</f>
        <v>0</v>
      </c>
      <c r="J213" s="7">
        <f>'[3]M.C UNPIV'!K214</f>
        <v>0</v>
      </c>
      <c r="K213" s="7">
        <f>'[3]M.C UNPIV'!L214</f>
        <v>0</v>
      </c>
      <c r="L213" s="7">
        <f>'[3]M.C UNPIV'!M214</f>
        <v>0</v>
      </c>
      <c r="M213" s="6">
        <f>'[3]M.C UNPIV'!N214</f>
        <v>0</v>
      </c>
      <c r="N213" s="5">
        <f>'[3]M.C UNPIV'!O214</f>
        <v>0</v>
      </c>
      <c r="O213" s="5">
        <f>'[3]M.C UNPIV'!P214</f>
        <v>0</v>
      </c>
    </row>
    <row r="214" spans="1:15" x14ac:dyDescent="0.25">
      <c r="A214" s="4">
        <f>'[3]M.C UNPIV'!B215</f>
        <v>0</v>
      </c>
      <c r="B214" s="5">
        <f>'[3]M.C UNPIV'!C215</f>
        <v>0</v>
      </c>
      <c r="C214" s="5">
        <f>'[3]M.C UNPIV'!D215</f>
        <v>0</v>
      </c>
      <c r="D214" s="5">
        <f>'[3]M.C UNPIV'!E215</f>
        <v>0</v>
      </c>
      <c r="E214" s="5">
        <f>'[3]M.C UNPIV'!F215</f>
        <v>0</v>
      </c>
      <c r="F214" s="5">
        <f>'[3]M.C UNPIV'!G215</f>
        <v>0</v>
      </c>
      <c r="G214" s="6">
        <f>'[3]M.C UNPIV'!H215</f>
        <v>0</v>
      </c>
      <c r="H214" s="5">
        <f>'[3]M.C UNPIV'!I215</f>
        <v>0</v>
      </c>
      <c r="I214" s="7">
        <f>'[3]M.C UNPIV'!J215</f>
        <v>0</v>
      </c>
      <c r="J214" s="7">
        <f>'[3]M.C UNPIV'!K215</f>
        <v>0</v>
      </c>
      <c r="K214" s="7">
        <f>'[3]M.C UNPIV'!L215</f>
        <v>0</v>
      </c>
      <c r="L214" s="7">
        <f>'[3]M.C UNPIV'!M215</f>
        <v>0</v>
      </c>
      <c r="M214" s="6">
        <f>'[3]M.C UNPIV'!N215</f>
        <v>0</v>
      </c>
      <c r="N214" s="5">
        <f>'[3]M.C UNPIV'!O215</f>
        <v>0</v>
      </c>
      <c r="O214" s="5">
        <f>'[3]M.C UNPIV'!P215</f>
        <v>0</v>
      </c>
    </row>
    <row r="215" spans="1:15" x14ac:dyDescent="0.25">
      <c r="A215" s="4">
        <f>'[3]M.C UNPIV'!B216</f>
        <v>0</v>
      </c>
      <c r="B215" s="5">
        <f>'[3]M.C UNPIV'!C216</f>
        <v>0</v>
      </c>
      <c r="C215" s="5">
        <f>'[3]M.C UNPIV'!D216</f>
        <v>0</v>
      </c>
      <c r="D215" s="5">
        <f>'[3]M.C UNPIV'!E216</f>
        <v>0</v>
      </c>
      <c r="E215" s="5">
        <f>'[3]M.C UNPIV'!F216</f>
        <v>0</v>
      </c>
      <c r="F215" s="5">
        <f>'[3]M.C UNPIV'!G216</f>
        <v>0</v>
      </c>
      <c r="G215" s="6">
        <f>'[3]M.C UNPIV'!H216</f>
        <v>0</v>
      </c>
      <c r="H215" s="5">
        <f>'[3]M.C UNPIV'!I216</f>
        <v>0</v>
      </c>
      <c r="I215" s="7">
        <f>'[3]M.C UNPIV'!J216</f>
        <v>0</v>
      </c>
      <c r="J215" s="7">
        <f>'[3]M.C UNPIV'!K216</f>
        <v>0</v>
      </c>
      <c r="K215" s="7">
        <f>'[3]M.C UNPIV'!L216</f>
        <v>0</v>
      </c>
      <c r="L215" s="7">
        <f>'[3]M.C UNPIV'!M216</f>
        <v>0</v>
      </c>
      <c r="M215" s="6">
        <f>'[3]M.C UNPIV'!N216</f>
        <v>0</v>
      </c>
      <c r="N215" s="5">
        <f>'[3]M.C UNPIV'!O216</f>
        <v>0</v>
      </c>
      <c r="O215" s="5">
        <f>'[3]M.C UNPIV'!P216</f>
        <v>0</v>
      </c>
    </row>
    <row r="216" spans="1:15" x14ac:dyDescent="0.25">
      <c r="A216" s="4">
        <f>'[3]M.C UNPIV'!B217</f>
        <v>0</v>
      </c>
      <c r="B216" s="5">
        <f>'[3]M.C UNPIV'!C217</f>
        <v>0</v>
      </c>
      <c r="C216" s="5">
        <f>'[3]M.C UNPIV'!D217</f>
        <v>0</v>
      </c>
      <c r="D216" s="5">
        <f>'[3]M.C UNPIV'!E217</f>
        <v>0</v>
      </c>
      <c r="E216" s="5">
        <f>'[3]M.C UNPIV'!F217</f>
        <v>0</v>
      </c>
      <c r="F216" s="5">
        <f>'[3]M.C UNPIV'!G217</f>
        <v>0</v>
      </c>
      <c r="G216" s="6">
        <f>'[3]M.C UNPIV'!H217</f>
        <v>0</v>
      </c>
      <c r="H216" s="5">
        <f>'[3]M.C UNPIV'!I217</f>
        <v>0</v>
      </c>
      <c r="I216" s="7">
        <f>'[3]M.C UNPIV'!J217</f>
        <v>0</v>
      </c>
      <c r="J216" s="7">
        <f>'[3]M.C UNPIV'!K217</f>
        <v>0</v>
      </c>
      <c r="K216" s="7">
        <f>'[3]M.C UNPIV'!L217</f>
        <v>0</v>
      </c>
      <c r="L216" s="7">
        <f>'[3]M.C UNPIV'!M217</f>
        <v>0</v>
      </c>
      <c r="M216" s="6">
        <f>'[3]M.C UNPIV'!N217</f>
        <v>0</v>
      </c>
      <c r="N216" s="5">
        <f>'[3]M.C UNPIV'!O217</f>
        <v>0</v>
      </c>
      <c r="O216" s="5">
        <f>'[3]M.C UNPIV'!P217</f>
        <v>0</v>
      </c>
    </row>
    <row r="217" spans="1:15" x14ac:dyDescent="0.25">
      <c r="A217" s="4">
        <f>'[3]M.C UNPIV'!B218</f>
        <v>0</v>
      </c>
      <c r="B217" s="5">
        <f>'[3]M.C UNPIV'!C218</f>
        <v>0</v>
      </c>
      <c r="C217" s="5">
        <f>'[3]M.C UNPIV'!D218</f>
        <v>0</v>
      </c>
      <c r="D217" s="5">
        <f>'[3]M.C UNPIV'!E218</f>
        <v>0</v>
      </c>
      <c r="E217" s="5">
        <f>'[3]M.C UNPIV'!F218</f>
        <v>0</v>
      </c>
      <c r="F217" s="5">
        <f>'[3]M.C UNPIV'!G218</f>
        <v>0</v>
      </c>
      <c r="G217" s="6">
        <f>'[3]M.C UNPIV'!H218</f>
        <v>0</v>
      </c>
      <c r="H217" s="5">
        <f>'[3]M.C UNPIV'!I218</f>
        <v>0</v>
      </c>
      <c r="I217" s="7">
        <f>'[3]M.C UNPIV'!J218</f>
        <v>0</v>
      </c>
      <c r="J217" s="7">
        <f>'[3]M.C UNPIV'!K218</f>
        <v>0</v>
      </c>
      <c r="K217" s="7">
        <f>'[3]M.C UNPIV'!L218</f>
        <v>0</v>
      </c>
      <c r="L217" s="7">
        <f>'[3]M.C UNPIV'!M218</f>
        <v>0</v>
      </c>
      <c r="M217" s="6">
        <f>'[3]M.C UNPIV'!N218</f>
        <v>0</v>
      </c>
      <c r="N217" s="5">
        <f>'[3]M.C UNPIV'!O218</f>
        <v>0</v>
      </c>
      <c r="O217" s="5">
        <f>'[3]M.C UNPIV'!P218</f>
        <v>0</v>
      </c>
    </row>
    <row r="218" spans="1:15" x14ac:dyDescent="0.25">
      <c r="A218" s="4">
        <f>'[3]M.C UNPIV'!B219</f>
        <v>0</v>
      </c>
      <c r="B218" s="5">
        <f>'[3]M.C UNPIV'!C219</f>
        <v>0</v>
      </c>
      <c r="C218" s="5">
        <f>'[3]M.C UNPIV'!D219</f>
        <v>0</v>
      </c>
      <c r="D218" s="5">
        <f>'[3]M.C UNPIV'!E219</f>
        <v>0</v>
      </c>
      <c r="E218" s="5">
        <f>'[3]M.C UNPIV'!F219</f>
        <v>0</v>
      </c>
      <c r="F218" s="5">
        <f>'[3]M.C UNPIV'!G219</f>
        <v>0</v>
      </c>
      <c r="G218" s="6">
        <f>'[3]M.C UNPIV'!H219</f>
        <v>0</v>
      </c>
      <c r="H218" s="5">
        <f>'[3]M.C UNPIV'!I219</f>
        <v>0</v>
      </c>
      <c r="I218" s="7">
        <f>'[3]M.C UNPIV'!J219</f>
        <v>0</v>
      </c>
      <c r="J218" s="7">
        <f>'[3]M.C UNPIV'!K219</f>
        <v>0</v>
      </c>
      <c r="K218" s="7">
        <f>'[3]M.C UNPIV'!L219</f>
        <v>0</v>
      </c>
      <c r="L218" s="7">
        <f>'[3]M.C UNPIV'!M219</f>
        <v>0</v>
      </c>
      <c r="M218" s="6">
        <f>'[3]M.C UNPIV'!N219</f>
        <v>0</v>
      </c>
      <c r="N218" s="5">
        <f>'[3]M.C UNPIV'!O219</f>
        <v>0</v>
      </c>
      <c r="O218" s="5">
        <f>'[3]M.C UNPIV'!P219</f>
        <v>0</v>
      </c>
    </row>
    <row r="219" spans="1:15" x14ac:dyDescent="0.25">
      <c r="A219" s="4">
        <f>'[3]M.C UNPIV'!B220</f>
        <v>0</v>
      </c>
      <c r="B219" s="5">
        <f>'[3]M.C UNPIV'!C220</f>
        <v>0</v>
      </c>
      <c r="C219" s="5">
        <f>'[3]M.C UNPIV'!D220</f>
        <v>0</v>
      </c>
      <c r="D219" s="5">
        <f>'[3]M.C UNPIV'!E220</f>
        <v>0</v>
      </c>
      <c r="E219" s="5">
        <f>'[3]M.C UNPIV'!F220</f>
        <v>0</v>
      </c>
      <c r="F219" s="5">
        <f>'[3]M.C UNPIV'!G220</f>
        <v>0</v>
      </c>
      <c r="G219" s="6">
        <f>'[3]M.C UNPIV'!H220</f>
        <v>0</v>
      </c>
      <c r="H219" s="5">
        <f>'[3]M.C UNPIV'!I220</f>
        <v>0</v>
      </c>
      <c r="I219" s="7">
        <f>'[3]M.C UNPIV'!J220</f>
        <v>0</v>
      </c>
      <c r="J219" s="7">
        <f>'[3]M.C UNPIV'!K220</f>
        <v>0</v>
      </c>
      <c r="K219" s="7">
        <f>'[3]M.C UNPIV'!L220</f>
        <v>0</v>
      </c>
      <c r="L219" s="7">
        <f>'[3]M.C UNPIV'!M220</f>
        <v>0</v>
      </c>
      <c r="M219" s="6">
        <f>'[3]M.C UNPIV'!N220</f>
        <v>0</v>
      </c>
      <c r="N219" s="5">
        <f>'[3]M.C UNPIV'!O220</f>
        <v>0</v>
      </c>
      <c r="O219" s="5">
        <f>'[3]M.C UNPIV'!P220</f>
        <v>0</v>
      </c>
    </row>
    <row r="220" spans="1:15" x14ac:dyDescent="0.25">
      <c r="A220" s="4">
        <f>'[3]M.C UNPIV'!B221</f>
        <v>0</v>
      </c>
      <c r="B220" s="5">
        <f>'[3]M.C UNPIV'!C221</f>
        <v>0</v>
      </c>
      <c r="C220" s="5">
        <f>'[3]M.C UNPIV'!D221</f>
        <v>0</v>
      </c>
      <c r="D220" s="5">
        <f>'[3]M.C UNPIV'!E221</f>
        <v>0</v>
      </c>
      <c r="E220" s="5">
        <f>'[3]M.C UNPIV'!F221</f>
        <v>0</v>
      </c>
      <c r="F220" s="5">
        <f>'[3]M.C UNPIV'!G221</f>
        <v>0</v>
      </c>
      <c r="G220" s="6">
        <f>'[3]M.C UNPIV'!H221</f>
        <v>0</v>
      </c>
      <c r="H220" s="5">
        <f>'[3]M.C UNPIV'!I221</f>
        <v>0</v>
      </c>
      <c r="I220" s="7">
        <f>'[3]M.C UNPIV'!J221</f>
        <v>0</v>
      </c>
      <c r="J220" s="7">
        <f>'[3]M.C UNPIV'!K221</f>
        <v>0</v>
      </c>
      <c r="K220" s="7">
        <f>'[3]M.C UNPIV'!L221</f>
        <v>0</v>
      </c>
      <c r="L220" s="7">
        <f>'[3]M.C UNPIV'!M221</f>
        <v>0</v>
      </c>
      <c r="M220" s="6">
        <f>'[3]M.C UNPIV'!N221</f>
        <v>0</v>
      </c>
      <c r="N220" s="5">
        <f>'[3]M.C UNPIV'!O221</f>
        <v>0</v>
      </c>
      <c r="O220" s="5">
        <f>'[3]M.C UNPIV'!P221</f>
        <v>0</v>
      </c>
    </row>
    <row r="221" spans="1:15" x14ac:dyDescent="0.25">
      <c r="A221" s="4">
        <f>'[3]M.C UNPIV'!B222</f>
        <v>0</v>
      </c>
      <c r="B221" s="5">
        <f>'[3]M.C UNPIV'!C222</f>
        <v>0</v>
      </c>
      <c r="C221" s="5">
        <f>'[3]M.C UNPIV'!D222</f>
        <v>0</v>
      </c>
      <c r="D221" s="5">
        <f>'[3]M.C UNPIV'!E222</f>
        <v>0</v>
      </c>
      <c r="E221" s="5">
        <f>'[3]M.C UNPIV'!F222</f>
        <v>0</v>
      </c>
      <c r="F221" s="5">
        <f>'[3]M.C UNPIV'!G222</f>
        <v>0</v>
      </c>
      <c r="G221" s="6">
        <f>'[3]M.C UNPIV'!H222</f>
        <v>0</v>
      </c>
      <c r="H221" s="5">
        <f>'[3]M.C UNPIV'!I222</f>
        <v>0</v>
      </c>
      <c r="I221" s="7">
        <f>'[3]M.C UNPIV'!J222</f>
        <v>0</v>
      </c>
      <c r="J221" s="7">
        <f>'[3]M.C UNPIV'!K222</f>
        <v>0</v>
      </c>
      <c r="K221" s="7">
        <f>'[3]M.C UNPIV'!L222</f>
        <v>0</v>
      </c>
      <c r="L221" s="7">
        <f>'[3]M.C UNPIV'!M222</f>
        <v>0</v>
      </c>
      <c r="M221" s="6">
        <f>'[3]M.C UNPIV'!N222</f>
        <v>0</v>
      </c>
      <c r="N221" s="5">
        <f>'[3]M.C UNPIV'!O222</f>
        <v>0</v>
      </c>
      <c r="O221" s="5">
        <f>'[3]M.C UNPIV'!P222</f>
        <v>0</v>
      </c>
    </row>
    <row r="222" spans="1:15" x14ac:dyDescent="0.25">
      <c r="A222" s="4">
        <f>'[3]M.C UNPIV'!B223</f>
        <v>0</v>
      </c>
      <c r="B222" s="5">
        <f>'[3]M.C UNPIV'!C223</f>
        <v>0</v>
      </c>
      <c r="C222" s="5">
        <f>'[3]M.C UNPIV'!D223</f>
        <v>0</v>
      </c>
      <c r="D222" s="5">
        <f>'[3]M.C UNPIV'!E223</f>
        <v>0</v>
      </c>
      <c r="E222" s="5">
        <f>'[3]M.C UNPIV'!F223</f>
        <v>0</v>
      </c>
      <c r="F222" s="5">
        <f>'[3]M.C UNPIV'!G223</f>
        <v>0</v>
      </c>
      <c r="G222" s="6">
        <f>'[3]M.C UNPIV'!H223</f>
        <v>0</v>
      </c>
      <c r="H222" s="5">
        <f>'[3]M.C UNPIV'!I223</f>
        <v>0</v>
      </c>
      <c r="I222" s="7">
        <f>'[3]M.C UNPIV'!J223</f>
        <v>0</v>
      </c>
      <c r="J222" s="7">
        <f>'[3]M.C UNPIV'!K223</f>
        <v>0</v>
      </c>
      <c r="K222" s="7">
        <f>'[3]M.C UNPIV'!L223</f>
        <v>0</v>
      </c>
      <c r="L222" s="7">
        <f>'[3]M.C UNPIV'!M223</f>
        <v>0</v>
      </c>
      <c r="M222" s="6">
        <f>'[3]M.C UNPIV'!N223</f>
        <v>0</v>
      </c>
      <c r="N222" s="5">
        <f>'[3]M.C UNPIV'!O223</f>
        <v>0</v>
      </c>
      <c r="O222" s="5">
        <f>'[3]M.C UNPIV'!P223</f>
        <v>0</v>
      </c>
    </row>
    <row r="223" spans="1:15" x14ac:dyDescent="0.25">
      <c r="A223" s="4">
        <f>'[3]M.C UNPIV'!B224</f>
        <v>0</v>
      </c>
      <c r="B223" s="5">
        <f>'[3]M.C UNPIV'!C224</f>
        <v>0</v>
      </c>
      <c r="C223" s="5">
        <f>'[3]M.C UNPIV'!D224</f>
        <v>0</v>
      </c>
      <c r="D223" s="5">
        <f>'[3]M.C UNPIV'!E224</f>
        <v>0</v>
      </c>
      <c r="E223" s="5">
        <f>'[3]M.C UNPIV'!F224</f>
        <v>0</v>
      </c>
      <c r="F223" s="5">
        <f>'[3]M.C UNPIV'!G224</f>
        <v>0</v>
      </c>
      <c r="G223" s="6">
        <f>'[3]M.C UNPIV'!H224</f>
        <v>0</v>
      </c>
      <c r="H223" s="5">
        <f>'[3]M.C UNPIV'!I224</f>
        <v>0</v>
      </c>
      <c r="I223" s="7">
        <f>'[3]M.C UNPIV'!J224</f>
        <v>0</v>
      </c>
      <c r="J223" s="7">
        <f>'[3]M.C UNPIV'!K224</f>
        <v>0</v>
      </c>
      <c r="K223" s="7">
        <f>'[3]M.C UNPIV'!L224</f>
        <v>0</v>
      </c>
      <c r="L223" s="7">
        <f>'[3]M.C UNPIV'!M224</f>
        <v>0</v>
      </c>
      <c r="M223" s="6">
        <f>'[3]M.C UNPIV'!N224</f>
        <v>0</v>
      </c>
      <c r="N223" s="5">
        <f>'[3]M.C UNPIV'!O224</f>
        <v>0</v>
      </c>
      <c r="O223" s="5">
        <f>'[3]M.C UNPIV'!P224</f>
        <v>0</v>
      </c>
    </row>
    <row r="224" spans="1:15" x14ac:dyDescent="0.25">
      <c r="A224" s="4">
        <f>'[3]M.C UNPIV'!B225</f>
        <v>0</v>
      </c>
      <c r="B224" s="5">
        <f>'[3]M.C UNPIV'!C225</f>
        <v>0</v>
      </c>
      <c r="C224" s="5">
        <f>'[3]M.C UNPIV'!D225</f>
        <v>0</v>
      </c>
      <c r="D224" s="5">
        <f>'[3]M.C UNPIV'!E225</f>
        <v>0</v>
      </c>
      <c r="E224" s="5">
        <f>'[3]M.C UNPIV'!F225</f>
        <v>0</v>
      </c>
      <c r="F224" s="5">
        <f>'[3]M.C UNPIV'!G225</f>
        <v>0</v>
      </c>
      <c r="G224" s="6">
        <f>'[3]M.C UNPIV'!H225</f>
        <v>0</v>
      </c>
      <c r="H224" s="5">
        <f>'[3]M.C UNPIV'!I225</f>
        <v>0</v>
      </c>
      <c r="I224" s="7">
        <f>'[3]M.C UNPIV'!J225</f>
        <v>0</v>
      </c>
      <c r="J224" s="7">
        <f>'[3]M.C UNPIV'!K225</f>
        <v>0</v>
      </c>
      <c r="K224" s="7">
        <f>'[3]M.C UNPIV'!L225</f>
        <v>0</v>
      </c>
      <c r="L224" s="7">
        <f>'[3]M.C UNPIV'!M225</f>
        <v>0</v>
      </c>
      <c r="M224" s="6">
        <f>'[3]M.C UNPIV'!N225</f>
        <v>0</v>
      </c>
      <c r="N224" s="5">
        <f>'[3]M.C UNPIV'!O225</f>
        <v>0</v>
      </c>
      <c r="O224" s="5">
        <f>'[3]M.C UNPIV'!P225</f>
        <v>0</v>
      </c>
    </row>
    <row r="225" spans="1:15" x14ac:dyDescent="0.25">
      <c r="A225" s="4">
        <f>'[3]M.C UNPIV'!B226</f>
        <v>0</v>
      </c>
      <c r="B225" s="5">
        <f>'[3]M.C UNPIV'!C226</f>
        <v>0</v>
      </c>
      <c r="C225" s="5">
        <f>'[3]M.C UNPIV'!D226</f>
        <v>0</v>
      </c>
      <c r="D225" s="5">
        <f>'[3]M.C UNPIV'!E226</f>
        <v>0</v>
      </c>
      <c r="E225" s="5">
        <f>'[3]M.C UNPIV'!F226</f>
        <v>0</v>
      </c>
      <c r="F225" s="5">
        <f>'[3]M.C UNPIV'!G226</f>
        <v>0</v>
      </c>
      <c r="G225" s="6">
        <f>'[3]M.C UNPIV'!H226</f>
        <v>0</v>
      </c>
      <c r="H225" s="5">
        <f>'[3]M.C UNPIV'!I226</f>
        <v>0</v>
      </c>
      <c r="I225" s="7">
        <f>'[3]M.C UNPIV'!J226</f>
        <v>0</v>
      </c>
      <c r="J225" s="7">
        <f>'[3]M.C UNPIV'!K226</f>
        <v>0</v>
      </c>
      <c r="K225" s="7">
        <f>'[3]M.C UNPIV'!L226</f>
        <v>0</v>
      </c>
      <c r="L225" s="7">
        <f>'[3]M.C UNPIV'!M226</f>
        <v>0</v>
      </c>
      <c r="M225" s="6">
        <f>'[3]M.C UNPIV'!N226</f>
        <v>0</v>
      </c>
      <c r="N225" s="5">
        <f>'[3]M.C UNPIV'!O226</f>
        <v>0</v>
      </c>
      <c r="O225" s="5">
        <f>'[3]M.C UNPIV'!P226</f>
        <v>0</v>
      </c>
    </row>
    <row r="226" spans="1:15" x14ac:dyDescent="0.25">
      <c r="A226" s="4">
        <f>'[3]M.C UNPIV'!B227</f>
        <v>0</v>
      </c>
      <c r="B226" s="5">
        <f>'[3]M.C UNPIV'!C227</f>
        <v>0</v>
      </c>
      <c r="C226" s="5">
        <f>'[3]M.C UNPIV'!D227</f>
        <v>0</v>
      </c>
      <c r="D226" s="5">
        <f>'[3]M.C UNPIV'!E227</f>
        <v>0</v>
      </c>
      <c r="E226" s="5">
        <f>'[3]M.C UNPIV'!F227</f>
        <v>0</v>
      </c>
      <c r="F226" s="5">
        <f>'[3]M.C UNPIV'!G227</f>
        <v>0</v>
      </c>
      <c r="G226" s="6">
        <f>'[3]M.C UNPIV'!H227</f>
        <v>0</v>
      </c>
      <c r="H226" s="5">
        <f>'[3]M.C UNPIV'!I227</f>
        <v>0</v>
      </c>
      <c r="I226" s="7">
        <f>'[3]M.C UNPIV'!J227</f>
        <v>0</v>
      </c>
      <c r="J226" s="7">
        <f>'[3]M.C UNPIV'!K227</f>
        <v>0</v>
      </c>
      <c r="K226" s="7">
        <f>'[3]M.C UNPIV'!L227</f>
        <v>0</v>
      </c>
      <c r="L226" s="7">
        <f>'[3]M.C UNPIV'!M227</f>
        <v>0</v>
      </c>
      <c r="M226" s="6">
        <f>'[3]M.C UNPIV'!N227</f>
        <v>0</v>
      </c>
      <c r="N226" s="5">
        <f>'[3]M.C UNPIV'!O227</f>
        <v>0</v>
      </c>
      <c r="O226" s="5">
        <f>'[3]M.C UNPIV'!P227</f>
        <v>0</v>
      </c>
    </row>
    <row r="227" spans="1:15" x14ac:dyDescent="0.25">
      <c r="A227" s="4">
        <f>'[3]M.C UNPIV'!B228</f>
        <v>0</v>
      </c>
      <c r="B227" s="5">
        <f>'[3]M.C UNPIV'!C228</f>
        <v>0</v>
      </c>
      <c r="C227" s="5">
        <f>'[3]M.C UNPIV'!D228</f>
        <v>0</v>
      </c>
      <c r="D227" s="5">
        <f>'[3]M.C UNPIV'!E228</f>
        <v>0</v>
      </c>
      <c r="E227" s="5">
        <f>'[3]M.C UNPIV'!F228</f>
        <v>0</v>
      </c>
      <c r="F227" s="5">
        <f>'[3]M.C UNPIV'!G228</f>
        <v>0</v>
      </c>
      <c r="G227" s="6">
        <f>'[3]M.C UNPIV'!H228</f>
        <v>0</v>
      </c>
      <c r="H227" s="5">
        <f>'[3]M.C UNPIV'!I228</f>
        <v>0</v>
      </c>
      <c r="I227" s="7">
        <f>'[3]M.C UNPIV'!J228</f>
        <v>0</v>
      </c>
      <c r="J227" s="7">
        <f>'[3]M.C UNPIV'!K228</f>
        <v>0</v>
      </c>
      <c r="K227" s="7">
        <f>'[3]M.C UNPIV'!L228</f>
        <v>0</v>
      </c>
      <c r="L227" s="7">
        <f>'[3]M.C UNPIV'!M228</f>
        <v>0</v>
      </c>
      <c r="M227" s="6">
        <f>'[3]M.C UNPIV'!N228</f>
        <v>0</v>
      </c>
      <c r="N227" s="5">
        <f>'[3]M.C UNPIV'!O228</f>
        <v>0</v>
      </c>
      <c r="O227" s="5">
        <f>'[3]M.C UNPIV'!P228</f>
        <v>0</v>
      </c>
    </row>
    <row r="228" spans="1:15" x14ac:dyDescent="0.25">
      <c r="A228" s="4">
        <f>'[3]M.C UNPIV'!B229</f>
        <v>0</v>
      </c>
      <c r="B228" s="5">
        <f>'[3]M.C UNPIV'!C229</f>
        <v>0</v>
      </c>
      <c r="C228" s="5">
        <f>'[3]M.C UNPIV'!D229</f>
        <v>0</v>
      </c>
      <c r="D228" s="5">
        <f>'[3]M.C UNPIV'!E229</f>
        <v>0</v>
      </c>
      <c r="E228" s="5">
        <f>'[3]M.C UNPIV'!F229</f>
        <v>0</v>
      </c>
      <c r="F228" s="5">
        <f>'[3]M.C UNPIV'!G229</f>
        <v>0</v>
      </c>
      <c r="G228" s="6">
        <f>'[3]M.C UNPIV'!H229</f>
        <v>0</v>
      </c>
      <c r="H228" s="5">
        <f>'[3]M.C UNPIV'!I229</f>
        <v>0</v>
      </c>
      <c r="I228" s="7">
        <f>'[3]M.C UNPIV'!J229</f>
        <v>0</v>
      </c>
      <c r="J228" s="7">
        <f>'[3]M.C UNPIV'!K229</f>
        <v>0</v>
      </c>
      <c r="K228" s="7">
        <f>'[3]M.C UNPIV'!L229</f>
        <v>0</v>
      </c>
      <c r="L228" s="7">
        <f>'[3]M.C UNPIV'!M229</f>
        <v>0</v>
      </c>
      <c r="M228" s="6">
        <f>'[3]M.C UNPIV'!N229</f>
        <v>0</v>
      </c>
      <c r="N228" s="5">
        <f>'[3]M.C UNPIV'!O229</f>
        <v>0</v>
      </c>
      <c r="O228" s="5">
        <f>'[3]M.C UNPIV'!P229</f>
        <v>0</v>
      </c>
    </row>
    <row r="229" spans="1:15" x14ac:dyDescent="0.25">
      <c r="A229" s="4">
        <f>'[3]M.C UNPIV'!B230</f>
        <v>0</v>
      </c>
      <c r="B229" s="5">
        <f>'[3]M.C UNPIV'!C230</f>
        <v>0</v>
      </c>
      <c r="C229" s="5">
        <f>'[3]M.C UNPIV'!D230</f>
        <v>0</v>
      </c>
      <c r="D229" s="5">
        <f>'[3]M.C UNPIV'!E230</f>
        <v>0</v>
      </c>
      <c r="E229" s="5">
        <f>'[3]M.C UNPIV'!F230</f>
        <v>0</v>
      </c>
      <c r="F229" s="5">
        <f>'[3]M.C UNPIV'!G230</f>
        <v>0</v>
      </c>
      <c r="G229" s="6">
        <f>'[3]M.C UNPIV'!H230</f>
        <v>0</v>
      </c>
      <c r="H229" s="5">
        <f>'[3]M.C UNPIV'!I230</f>
        <v>0</v>
      </c>
      <c r="I229" s="7">
        <f>'[3]M.C UNPIV'!J230</f>
        <v>0</v>
      </c>
      <c r="J229" s="7">
        <f>'[3]M.C UNPIV'!K230</f>
        <v>0</v>
      </c>
      <c r="K229" s="7">
        <f>'[3]M.C UNPIV'!L230</f>
        <v>0</v>
      </c>
      <c r="L229" s="7">
        <f>'[3]M.C UNPIV'!M230</f>
        <v>0</v>
      </c>
      <c r="M229" s="6">
        <f>'[3]M.C UNPIV'!N230</f>
        <v>0</v>
      </c>
      <c r="N229" s="5">
        <f>'[3]M.C UNPIV'!O230</f>
        <v>0</v>
      </c>
      <c r="O229" s="5">
        <f>'[3]M.C UNPIV'!P230</f>
        <v>0</v>
      </c>
    </row>
    <row r="230" spans="1:15" x14ac:dyDescent="0.25">
      <c r="A230" s="4">
        <f>'[3]M.C UNPIV'!B231</f>
        <v>0</v>
      </c>
      <c r="B230" s="5">
        <f>'[3]M.C UNPIV'!C231</f>
        <v>0</v>
      </c>
      <c r="C230" s="5">
        <f>'[3]M.C UNPIV'!D231</f>
        <v>0</v>
      </c>
      <c r="D230" s="5">
        <f>'[3]M.C UNPIV'!E231</f>
        <v>0</v>
      </c>
      <c r="E230" s="5">
        <f>'[3]M.C UNPIV'!F231</f>
        <v>0</v>
      </c>
      <c r="F230" s="5">
        <f>'[3]M.C UNPIV'!G231</f>
        <v>0</v>
      </c>
      <c r="G230" s="6">
        <f>'[3]M.C UNPIV'!H231</f>
        <v>0</v>
      </c>
      <c r="H230" s="5">
        <f>'[3]M.C UNPIV'!I231</f>
        <v>0</v>
      </c>
      <c r="I230" s="7">
        <f>'[3]M.C UNPIV'!J231</f>
        <v>0</v>
      </c>
      <c r="J230" s="7">
        <f>'[3]M.C UNPIV'!K231</f>
        <v>0</v>
      </c>
      <c r="K230" s="7">
        <f>'[3]M.C UNPIV'!L231</f>
        <v>0</v>
      </c>
      <c r="L230" s="7">
        <f>'[3]M.C UNPIV'!M231</f>
        <v>0</v>
      </c>
      <c r="M230" s="6">
        <f>'[3]M.C UNPIV'!N231</f>
        <v>0</v>
      </c>
      <c r="N230" s="5">
        <f>'[3]M.C UNPIV'!O231</f>
        <v>0</v>
      </c>
      <c r="O230" s="5">
        <f>'[3]M.C UNPIV'!P231</f>
        <v>0</v>
      </c>
    </row>
    <row r="231" spans="1:15" x14ac:dyDescent="0.25">
      <c r="A231" s="4">
        <f>'[3]M.C UNPIV'!B232</f>
        <v>0</v>
      </c>
      <c r="B231" s="5">
        <f>'[3]M.C UNPIV'!C232</f>
        <v>0</v>
      </c>
      <c r="C231" s="5">
        <f>'[3]M.C UNPIV'!D232</f>
        <v>0</v>
      </c>
      <c r="D231" s="5">
        <f>'[3]M.C UNPIV'!E232</f>
        <v>0</v>
      </c>
      <c r="E231" s="5">
        <f>'[3]M.C UNPIV'!F232</f>
        <v>0</v>
      </c>
      <c r="F231" s="5">
        <f>'[3]M.C UNPIV'!G232</f>
        <v>0</v>
      </c>
      <c r="G231" s="6">
        <f>'[3]M.C UNPIV'!H232</f>
        <v>0</v>
      </c>
      <c r="H231" s="5">
        <f>'[3]M.C UNPIV'!I232</f>
        <v>0</v>
      </c>
      <c r="I231" s="7">
        <f>'[3]M.C UNPIV'!J232</f>
        <v>0</v>
      </c>
      <c r="J231" s="7">
        <f>'[3]M.C UNPIV'!K232</f>
        <v>0</v>
      </c>
      <c r="K231" s="7">
        <f>'[3]M.C UNPIV'!L232</f>
        <v>0</v>
      </c>
      <c r="L231" s="7">
        <f>'[3]M.C UNPIV'!M232</f>
        <v>0</v>
      </c>
      <c r="M231" s="6">
        <f>'[3]M.C UNPIV'!N232</f>
        <v>0</v>
      </c>
      <c r="N231" s="5">
        <f>'[3]M.C UNPIV'!O232</f>
        <v>0</v>
      </c>
      <c r="O231" s="5">
        <f>'[3]M.C UNPIV'!P232</f>
        <v>0</v>
      </c>
    </row>
    <row r="232" spans="1:15" x14ac:dyDescent="0.25">
      <c r="A232" s="4">
        <f>'[3]M.C UNPIV'!B233</f>
        <v>0</v>
      </c>
      <c r="B232" s="5">
        <f>'[3]M.C UNPIV'!C233</f>
        <v>0</v>
      </c>
      <c r="C232" s="5">
        <f>'[3]M.C UNPIV'!D233</f>
        <v>0</v>
      </c>
      <c r="D232" s="5">
        <f>'[3]M.C UNPIV'!E233</f>
        <v>0</v>
      </c>
      <c r="E232" s="5">
        <f>'[3]M.C UNPIV'!F233</f>
        <v>0</v>
      </c>
      <c r="F232" s="5">
        <f>'[3]M.C UNPIV'!G233</f>
        <v>0</v>
      </c>
      <c r="G232" s="6">
        <f>'[3]M.C UNPIV'!H233</f>
        <v>0</v>
      </c>
      <c r="H232" s="5">
        <f>'[3]M.C UNPIV'!I233</f>
        <v>0</v>
      </c>
      <c r="I232" s="7">
        <f>'[3]M.C UNPIV'!J233</f>
        <v>0</v>
      </c>
      <c r="J232" s="7">
        <f>'[3]M.C UNPIV'!K233</f>
        <v>0</v>
      </c>
      <c r="K232" s="7">
        <f>'[3]M.C UNPIV'!L233</f>
        <v>0</v>
      </c>
      <c r="L232" s="7">
        <f>'[3]M.C UNPIV'!M233</f>
        <v>0</v>
      </c>
      <c r="M232" s="6">
        <f>'[3]M.C UNPIV'!N233</f>
        <v>0</v>
      </c>
      <c r="N232" s="5">
        <f>'[3]M.C UNPIV'!O233</f>
        <v>0</v>
      </c>
      <c r="O232" s="5">
        <f>'[3]M.C UNPIV'!P233</f>
        <v>0</v>
      </c>
    </row>
    <row r="233" spans="1:15" x14ac:dyDescent="0.25">
      <c r="A233" s="4">
        <f>'[3]M.C UNPIV'!B234</f>
        <v>0</v>
      </c>
      <c r="B233" s="5">
        <f>'[3]M.C UNPIV'!C234</f>
        <v>0</v>
      </c>
      <c r="C233" s="5">
        <f>'[3]M.C UNPIV'!D234</f>
        <v>0</v>
      </c>
      <c r="D233" s="5">
        <f>'[3]M.C UNPIV'!E234</f>
        <v>0</v>
      </c>
      <c r="E233" s="5">
        <f>'[3]M.C UNPIV'!F234</f>
        <v>0</v>
      </c>
      <c r="F233" s="5">
        <f>'[3]M.C UNPIV'!G234</f>
        <v>0</v>
      </c>
      <c r="G233" s="6">
        <f>'[3]M.C UNPIV'!H234</f>
        <v>0</v>
      </c>
      <c r="H233" s="5">
        <f>'[3]M.C UNPIV'!I234</f>
        <v>0</v>
      </c>
      <c r="I233" s="7">
        <f>'[3]M.C UNPIV'!J234</f>
        <v>0</v>
      </c>
      <c r="J233" s="7">
        <f>'[3]M.C UNPIV'!K234</f>
        <v>0</v>
      </c>
      <c r="K233" s="7">
        <f>'[3]M.C UNPIV'!L234</f>
        <v>0</v>
      </c>
      <c r="L233" s="7">
        <f>'[3]M.C UNPIV'!M234</f>
        <v>0</v>
      </c>
      <c r="M233" s="6">
        <f>'[3]M.C UNPIV'!N234</f>
        <v>0</v>
      </c>
      <c r="N233" s="5">
        <f>'[3]M.C UNPIV'!O234</f>
        <v>0</v>
      </c>
      <c r="O233" s="5">
        <f>'[3]M.C UNPIV'!P234</f>
        <v>0</v>
      </c>
    </row>
    <row r="234" spans="1:15" x14ac:dyDescent="0.25">
      <c r="A234" s="4">
        <f>'[3]M.C UNPIV'!B235</f>
        <v>0</v>
      </c>
      <c r="B234" s="5">
        <f>'[3]M.C UNPIV'!C235</f>
        <v>0</v>
      </c>
      <c r="C234" s="5">
        <f>'[3]M.C UNPIV'!D235</f>
        <v>0</v>
      </c>
      <c r="D234" s="5">
        <f>'[3]M.C UNPIV'!E235</f>
        <v>0</v>
      </c>
      <c r="E234" s="5">
        <f>'[3]M.C UNPIV'!F235</f>
        <v>0</v>
      </c>
      <c r="F234" s="5">
        <f>'[3]M.C UNPIV'!G235</f>
        <v>0</v>
      </c>
      <c r="G234" s="6">
        <f>'[3]M.C UNPIV'!H235</f>
        <v>0</v>
      </c>
      <c r="H234" s="5">
        <f>'[3]M.C UNPIV'!I235</f>
        <v>0</v>
      </c>
      <c r="I234" s="7">
        <f>'[3]M.C UNPIV'!J235</f>
        <v>0</v>
      </c>
      <c r="J234" s="7">
        <f>'[3]M.C UNPIV'!K235</f>
        <v>0</v>
      </c>
      <c r="K234" s="7">
        <f>'[3]M.C UNPIV'!L235</f>
        <v>0</v>
      </c>
      <c r="L234" s="7">
        <f>'[3]M.C UNPIV'!M235</f>
        <v>0</v>
      </c>
      <c r="M234" s="6">
        <f>'[3]M.C UNPIV'!N235</f>
        <v>0</v>
      </c>
      <c r="N234" s="5">
        <f>'[3]M.C UNPIV'!O235</f>
        <v>0</v>
      </c>
      <c r="O234" s="5">
        <f>'[3]M.C UNPIV'!P235</f>
        <v>0</v>
      </c>
    </row>
    <row r="235" spans="1:15" x14ac:dyDescent="0.25">
      <c r="A235" s="4">
        <f>'[3]M.C UNPIV'!B236</f>
        <v>0</v>
      </c>
      <c r="B235" s="5">
        <f>'[3]M.C UNPIV'!C236</f>
        <v>0</v>
      </c>
      <c r="C235" s="5">
        <f>'[3]M.C UNPIV'!D236</f>
        <v>0</v>
      </c>
      <c r="D235" s="5">
        <f>'[3]M.C UNPIV'!E236</f>
        <v>0</v>
      </c>
      <c r="E235" s="5">
        <f>'[3]M.C UNPIV'!F236</f>
        <v>0</v>
      </c>
      <c r="F235" s="5">
        <f>'[3]M.C UNPIV'!G236</f>
        <v>0</v>
      </c>
      <c r="G235" s="6">
        <f>'[3]M.C UNPIV'!H236</f>
        <v>0</v>
      </c>
      <c r="H235" s="5">
        <f>'[3]M.C UNPIV'!I236</f>
        <v>0</v>
      </c>
      <c r="I235" s="7">
        <f>'[3]M.C UNPIV'!J236</f>
        <v>0</v>
      </c>
      <c r="J235" s="7">
        <f>'[3]M.C UNPIV'!K236</f>
        <v>0</v>
      </c>
      <c r="K235" s="7">
        <f>'[3]M.C UNPIV'!L236</f>
        <v>0</v>
      </c>
      <c r="L235" s="7">
        <f>'[3]M.C UNPIV'!M236</f>
        <v>0</v>
      </c>
      <c r="M235" s="6">
        <f>'[3]M.C UNPIV'!N236</f>
        <v>0</v>
      </c>
      <c r="N235" s="5">
        <f>'[3]M.C UNPIV'!O236</f>
        <v>0</v>
      </c>
      <c r="O235" s="5">
        <f>'[3]M.C UNPIV'!P236</f>
        <v>0</v>
      </c>
    </row>
    <row r="236" spans="1:15" x14ac:dyDescent="0.25">
      <c r="A236" s="4">
        <f>'[3]M.C UNPIV'!B237</f>
        <v>0</v>
      </c>
      <c r="B236" s="5">
        <f>'[3]M.C UNPIV'!C237</f>
        <v>0</v>
      </c>
      <c r="C236" s="5">
        <f>'[3]M.C UNPIV'!D237</f>
        <v>0</v>
      </c>
      <c r="D236" s="5">
        <f>'[3]M.C UNPIV'!E237</f>
        <v>0</v>
      </c>
      <c r="E236" s="5">
        <f>'[3]M.C UNPIV'!F237</f>
        <v>0</v>
      </c>
      <c r="F236" s="5">
        <f>'[3]M.C UNPIV'!G237</f>
        <v>0</v>
      </c>
      <c r="G236" s="6">
        <f>'[3]M.C UNPIV'!H237</f>
        <v>0</v>
      </c>
      <c r="H236" s="5">
        <f>'[3]M.C UNPIV'!I237</f>
        <v>0</v>
      </c>
      <c r="I236" s="7">
        <f>'[3]M.C UNPIV'!J237</f>
        <v>0</v>
      </c>
      <c r="J236" s="7">
        <f>'[3]M.C UNPIV'!K237</f>
        <v>0</v>
      </c>
      <c r="K236" s="7">
        <f>'[3]M.C UNPIV'!L237</f>
        <v>0</v>
      </c>
      <c r="L236" s="7">
        <f>'[3]M.C UNPIV'!M237</f>
        <v>0</v>
      </c>
      <c r="M236" s="6">
        <f>'[3]M.C UNPIV'!N237</f>
        <v>0</v>
      </c>
      <c r="N236" s="5">
        <f>'[3]M.C UNPIV'!O237</f>
        <v>0</v>
      </c>
      <c r="O236" s="5">
        <f>'[3]M.C UNPIV'!P237</f>
        <v>0</v>
      </c>
    </row>
    <row r="237" spans="1:15" x14ac:dyDescent="0.25">
      <c r="A237" s="4">
        <f>'[3]M.C UNPIV'!B238</f>
        <v>0</v>
      </c>
      <c r="B237" s="5">
        <f>'[3]M.C UNPIV'!C238</f>
        <v>0</v>
      </c>
      <c r="C237" s="5">
        <f>'[3]M.C UNPIV'!D238</f>
        <v>0</v>
      </c>
      <c r="D237" s="5">
        <f>'[3]M.C UNPIV'!E238</f>
        <v>0</v>
      </c>
      <c r="E237" s="5">
        <f>'[3]M.C UNPIV'!F238</f>
        <v>0</v>
      </c>
      <c r="F237" s="5">
        <f>'[3]M.C UNPIV'!G238</f>
        <v>0</v>
      </c>
      <c r="G237" s="6">
        <f>'[3]M.C UNPIV'!H238</f>
        <v>0</v>
      </c>
      <c r="H237" s="5">
        <f>'[3]M.C UNPIV'!I238</f>
        <v>0</v>
      </c>
      <c r="I237" s="7">
        <f>'[3]M.C UNPIV'!J238</f>
        <v>0</v>
      </c>
      <c r="J237" s="7">
        <f>'[3]M.C UNPIV'!K238</f>
        <v>0</v>
      </c>
      <c r="K237" s="7">
        <f>'[3]M.C UNPIV'!L238</f>
        <v>0</v>
      </c>
      <c r="L237" s="7">
        <f>'[3]M.C UNPIV'!M238</f>
        <v>0</v>
      </c>
      <c r="M237" s="6">
        <f>'[3]M.C UNPIV'!N238</f>
        <v>0</v>
      </c>
      <c r="N237" s="5">
        <f>'[3]M.C UNPIV'!O238</f>
        <v>0</v>
      </c>
      <c r="O237" s="5">
        <f>'[3]M.C UNPIV'!P238</f>
        <v>0</v>
      </c>
    </row>
    <row r="238" spans="1:15" x14ac:dyDescent="0.25">
      <c r="A238" s="4">
        <f>'[3]M.C UNPIV'!B239</f>
        <v>0</v>
      </c>
      <c r="B238" s="5">
        <f>'[3]M.C UNPIV'!C239</f>
        <v>0</v>
      </c>
      <c r="C238" s="5">
        <f>'[3]M.C UNPIV'!D239</f>
        <v>0</v>
      </c>
      <c r="D238" s="5">
        <f>'[3]M.C UNPIV'!E239</f>
        <v>0</v>
      </c>
      <c r="E238" s="5">
        <f>'[3]M.C UNPIV'!F239</f>
        <v>0</v>
      </c>
      <c r="F238" s="5">
        <f>'[3]M.C UNPIV'!G239</f>
        <v>0</v>
      </c>
      <c r="G238" s="6">
        <f>'[3]M.C UNPIV'!H239</f>
        <v>0</v>
      </c>
      <c r="H238" s="5">
        <f>'[3]M.C UNPIV'!I239</f>
        <v>0</v>
      </c>
      <c r="I238" s="7">
        <f>'[3]M.C UNPIV'!J239</f>
        <v>0</v>
      </c>
      <c r="J238" s="7">
        <f>'[3]M.C UNPIV'!K239</f>
        <v>0</v>
      </c>
      <c r="K238" s="7">
        <f>'[3]M.C UNPIV'!L239</f>
        <v>0</v>
      </c>
      <c r="L238" s="7">
        <f>'[3]M.C UNPIV'!M239</f>
        <v>0</v>
      </c>
      <c r="M238" s="6">
        <f>'[3]M.C UNPIV'!N239</f>
        <v>0</v>
      </c>
      <c r="N238" s="5">
        <f>'[3]M.C UNPIV'!O239</f>
        <v>0</v>
      </c>
      <c r="O238" s="5">
        <f>'[3]M.C UNPIV'!P239</f>
        <v>0</v>
      </c>
    </row>
    <row r="239" spans="1:15" x14ac:dyDescent="0.25">
      <c r="A239" s="4">
        <f>'[3]M.C UNPIV'!B240</f>
        <v>0</v>
      </c>
      <c r="B239" s="5">
        <f>'[3]M.C UNPIV'!C240</f>
        <v>0</v>
      </c>
      <c r="C239" s="5">
        <f>'[3]M.C UNPIV'!D240</f>
        <v>0</v>
      </c>
      <c r="D239" s="5">
        <f>'[3]M.C UNPIV'!E240</f>
        <v>0</v>
      </c>
      <c r="E239" s="5">
        <f>'[3]M.C UNPIV'!F240</f>
        <v>0</v>
      </c>
      <c r="F239" s="5">
        <f>'[3]M.C UNPIV'!G240</f>
        <v>0</v>
      </c>
      <c r="G239" s="6">
        <f>'[3]M.C UNPIV'!H240</f>
        <v>0</v>
      </c>
      <c r="H239" s="5">
        <f>'[3]M.C UNPIV'!I240</f>
        <v>0</v>
      </c>
      <c r="I239" s="7">
        <f>'[3]M.C UNPIV'!J240</f>
        <v>0</v>
      </c>
      <c r="J239" s="7">
        <f>'[3]M.C UNPIV'!K240</f>
        <v>0</v>
      </c>
      <c r="K239" s="7">
        <f>'[3]M.C UNPIV'!L240</f>
        <v>0</v>
      </c>
      <c r="L239" s="7">
        <f>'[3]M.C UNPIV'!M240</f>
        <v>0</v>
      </c>
      <c r="M239" s="6">
        <f>'[3]M.C UNPIV'!N240</f>
        <v>0</v>
      </c>
      <c r="N239" s="5">
        <f>'[3]M.C UNPIV'!O240</f>
        <v>0</v>
      </c>
      <c r="O239" s="5">
        <f>'[3]M.C UNPIV'!P240</f>
        <v>0</v>
      </c>
    </row>
    <row r="240" spans="1:15" x14ac:dyDescent="0.25">
      <c r="A240" s="4">
        <f>'[3]M.C UNPIV'!B241</f>
        <v>0</v>
      </c>
      <c r="B240" s="5">
        <f>'[3]M.C UNPIV'!C241</f>
        <v>0</v>
      </c>
      <c r="C240" s="5">
        <f>'[3]M.C UNPIV'!D241</f>
        <v>0</v>
      </c>
      <c r="D240" s="5">
        <f>'[3]M.C UNPIV'!E241</f>
        <v>0</v>
      </c>
      <c r="E240" s="5">
        <f>'[3]M.C UNPIV'!F241</f>
        <v>0</v>
      </c>
      <c r="F240" s="5">
        <f>'[3]M.C UNPIV'!G241</f>
        <v>0</v>
      </c>
      <c r="G240" s="6">
        <f>'[3]M.C UNPIV'!H241</f>
        <v>0</v>
      </c>
      <c r="H240" s="5">
        <f>'[3]M.C UNPIV'!I241</f>
        <v>0</v>
      </c>
      <c r="I240" s="7">
        <f>'[3]M.C UNPIV'!J241</f>
        <v>0</v>
      </c>
      <c r="J240" s="7">
        <f>'[3]M.C UNPIV'!K241</f>
        <v>0</v>
      </c>
      <c r="K240" s="7">
        <f>'[3]M.C UNPIV'!L241</f>
        <v>0</v>
      </c>
      <c r="L240" s="7">
        <f>'[3]M.C UNPIV'!M241</f>
        <v>0</v>
      </c>
      <c r="M240" s="6">
        <f>'[3]M.C UNPIV'!N241</f>
        <v>0</v>
      </c>
      <c r="N240" s="5">
        <f>'[3]M.C UNPIV'!O241</f>
        <v>0</v>
      </c>
      <c r="O240" s="5">
        <f>'[3]M.C UNPIV'!P241</f>
        <v>0</v>
      </c>
    </row>
    <row r="241" spans="1:15" x14ac:dyDescent="0.25">
      <c r="A241" s="4">
        <f>'[3]M.C UNPIV'!B242</f>
        <v>0</v>
      </c>
      <c r="B241" s="5">
        <f>'[3]M.C UNPIV'!C242</f>
        <v>0</v>
      </c>
      <c r="C241" s="5">
        <f>'[3]M.C UNPIV'!D242</f>
        <v>0</v>
      </c>
      <c r="D241" s="5">
        <f>'[3]M.C UNPIV'!E242</f>
        <v>0</v>
      </c>
      <c r="E241" s="5">
        <f>'[3]M.C UNPIV'!F242</f>
        <v>0</v>
      </c>
      <c r="F241" s="5">
        <f>'[3]M.C UNPIV'!G242</f>
        <v>0</v>
      </c>
      <c r="G241" s="6">
        <f>'[3]M.C UNPIV'!H242</f>
        <v>0</v>
      </c>
      <c r="H241" s="5">
        <f>'[3]M.C UNPIV'!I242</f>
        <v>0</v>
      </c>
      <c r="I241" s="7">
        <f>'[3]M.C UNPIV'!J242</f>
        <v>0</v>
      </c>
      <c r="J241" s="7">
        <f>'[3]M.C UNPIV'!K242</f>
        <v>0</v>
      </c>
      <c r="K241" s="7">
        <f>'[3]M.C UNPIV'!L242</f>
        <v>0</v>
      </c>
      <c r="L241" s="7">
        <f>'[3]M.C UNPIV'!M242</f>
        <v>0</v>
      </c>
      <c r="M241" s="6">
        <f>'[3]M.C UNPIV'!N242</f>
        <v>0</v>
      </c>
      <c r="N241" s="5">
        <f>'[3]M.C UNPIV'!O242</f>
        <v>0</v>
      </c>
      <c r="O241" s="5">
        <f>'[3]M.C UNPIV'!P242</f>
        <v>0</v>
      </c>
    </row>
    <row r="242" spans="1:15" x14ac:dyDescent="0.25">
      <c r="A242" s="4">
        <f>'[3]M.C UNPIV'!B243</f>
        <v>0</v>
      </c>
      <c r="B242" s="5">
        <f>'[3]M.C UNPIV'!C243</f>
        <v>0</v>
      </c>
      <c r="C242" s="5">
        <f>'[3]M.C UNPIV'!D243</f>
        <v>0</v>
      </c>
      <c r="D242" s="5">
        <f>'[3]M.C UNPIV'!E243</f>
        <v>0</v>
      </c>
      <c r="E242" s="5">
        <f>'[3]M.C UNPIV'!F243</f>
        <v>0</v>
      </c>
      <c r="F242" s="5">
        <f>'[3]M.C UNPIV'!G243</f>
        <v>0</v>
      </c>
      <c r="G242" s="6">
        <f>'[3]M.C UNPIV'!H243</f>
        <v>0</v>
      </c>
      <c r="H242" s="5">
        <f>'[3]M.C UNPIV'!I243</f>
        <v>0</v>
      </c>
      <c r="I242" s="7">
        <f>'[3]M.C UNPIV'!J243</f>
        <v>0</v>
      </c>
      <c r="J242" s="7">
        <f>'[3]M.C UNPIV'!K243</f>
        <v>0</v>
      </c>
      <c r="K242" s="7">
        <f>'[3]M.C UNPIV'!L243</f>
        <v>0</v>
      </c>
      <c r="L242" s="7">
        <f>'[3]M.C UNPIV'!M243</f>
        <v>0</v>
      </c>
      <c r="M242" s="6">
        <f>'[3]M.C UNPIV'!N243</f>
        <v>0</v>
      </c>
      <c r="N242" s="5">
        <f>'[3]M.C UNPIV'!O243</f>
        <v>0</v>
      </c>
      <c r="O242" s="5">
        <f>'[3]M.C UNPIV'!P243</f>
        <v>0</v>
      </c>
    </row>
    <row r="243" spans="1:15" x14ac:dyDescent="0.25">
      <c r="A243" s="4">
        <f>'[3]M.C UNPIV'!B244</f>
        <v>0</v>
      </c>
      <c r="B243" s="5">
        <f>'[3]M.C UNPIV'!C244</f>
        <v>0</v>
      </c>
      <c r="C243" s="5">
        <f>'[3]M.C UNPIV'!D244</f>
        <v>0</v>
      </c>
      <c r="D243" s="5">
        <f>'[3]M.C UNPIV'!E244</f>
        <v>0</v>
      </c>
      <c r="E243" s="5">
        <f>'[3]M.C UNPIV'!F244</f>
        <v>0</v>
      </c>
      <c r="F243" s="5">
        <f>'[3]M.C UNPIV'!G244</f>
        <v>0</v>
      </c>
      <c r="G243" s="6">
        <f>'[3]M.C UNPIV'!H244</f>
        <v>0</v>
      </c>
      <c r="H243" s="5">
        <f>'[3]M.C UNPIV'!I244</f>
        <v>0</v>
      </c>
      <c r="I243" s="7">
        <f>'[3]M.C UNPIV'!J244</f>
        <v>0</v>
      </c>
      <c r="J243" s="7">
        <f>'[3]M.C UNPIV'!K244</f>
        <v>0</v>
      </c>
      <c r="K243" s="7">
        <f>'[3]M.C UNPIV'!L244</f>
        <v>0</v>
      </c>
      <c r="L243" s="7">
        <f>'[3]M.C UNPIV'!M244</f>
        <v>0</v>
      </c>
      <c r="M243" s="6">
        <f>'[3]M.C UNPIV'!N244</f>
        <v>0</v>
      </c>
      <c r="N243" s="5">
        <f>'[3]M.C UNPIV'!O244</f>
        <v>0</v>
      </c>
      <c r="O243" s="5">
        <f>'[3]M.C UNPIV'!P244</f>
        <v>0</v>
      </c>
    </row>
    <row r="244" spans="1:15" x14ac:dyDescent="0.25">
      <c r="A244" s="4">
        <f>'[3]M.C UNPIV'!B245</f>
        <v>0</v>
      </c>
      <c r="B244" s="5">
        <f>'[3]M.C UNPIV'!C245</f>
        <v>0</v>
      </c>
      <c r="C244" s="5">
        <f>'[3]M.C UNPIV'!D245</f>
        <v>0</v>
      </c>
      <c r="D244" s="5">
        <f>'[3]M.C UNPIV'!E245</f>
        <v>0</v>
      </c>
      <c r="E244" s="5">
        <f>'[3]M.C UNPIV'!F245</f>
        <v>0</v>
      </c>
      <c r="F244" s="5">
        <f>'[3]M.C UNPIV'!G245</f>
        <v>0</v>
      </c>
      <c r="G244" s="6">
        <f>'[3]M.C UNPIV'!H245</f>
        <v>0</v>
      </c>
      <c r="H244" s="5">
        <f>'[3]M.C UNPIV'!I245</f>
        <v>0</v>
      </c>
      <c r="I244" s="7">
        <f>'[3]M.C UNPIV'!J245</f>
        <v>0</v>
      </c>
      <c r="J244" s="7">
        <f>'[3]M.C UNPIV'!K245</f>
        <v>0</v>
      </c>
      <c r="K244" s="7">
        <f>'[3]M.C UNPIV'!L245</f>
        <v>0</v>
      </c>
      <c r="L244" s="7">
        <f>'[3]M.C UNPIV'!M245</f>
        <v>0</v>
      </c>
      <c r="M244" s="6">
        <f>'[3]M.C UNPIV'!N245</f>
        <v>0</v>
      </c>
      <c r="N244" s="5">
        <f>'[3]M.C UNPIV'!O245</f>
        <v>0</v>
      </c>
      <c r="O244" s="5">
        <f>'[3]M.C UNPIV'!P245</f>
        <v>0</v>
      </c>
    </row>
    <row r="245" spans="1:15" x14ac:dyDescent="0.25">
      <c r="A245" s="4">
        <f>'[3]M.C UNPIV'!B246</f>
        <v>0</v>
      </c>
      <c r="B245" s="5">
        <f>'[3]M.C UNPIV'!C246</f>
        <v>0</v>
      </c>
      <c r="C245" s="5">
        <f>'[3]M.C UNPIV'!D246</f>
        <v>0</v>
      </c>
      <c r="D245" s="5">
        <f>'[3]M.C UNPIV'!E246</f>
        <v>0</v>
      </c>
      <c r="E245" s="5">
        <f>'[3]M.C UNPIV'!F246</f>
        <v>0</v>
      </c>
      <c r="F245" s="5">
        <f>'[3]M.C UNPIV'!G246</f>
        <v>0</v>
      </c>
      <c r="G245" s="6">
        <f>'[3]M.C UNPIV'!H246</f>
        <v>0</v>
      </c>
      <c r="H245" s="5">
        <f>'[3]M.C UNPIV'!I246</f>
        <v>0</v>
      </c>
      <c r="I245" s="7">
        <f>'[3]M.C UNPIV'!J246</f>
        <v>0</v>
      </c>
      <c r="J245" s="7">
        <f>'[3]M.C UNPIV'!K246</f>
        <v>0</v>
      </c>
      <c r="K245" s="7">
        <f>'[3]M.C UNPIV'!L246</f>
        <v>0</v>
      </c>
      <c r="L245" s="7">
        <f>'[3]M.C UNPIV'!M246</f>
        <v>0</v>
      </c>
      <c r="M245" s="6">
        <f>'[3]M.C UNPIV'!N246</f>
        <v>0</v>
      </c>
      <c r="N245" s="5">
        <f>'[3]M.C UNPIV'!O246</f>
        <v>0</v>
      </c>
      <c r="O245" s="5">
        <f>'[3]M.C UNPIV'!P246</f>
        <v>0</v>
      </c>
    </row>
    <row r="246" spans="1:15" x14ac:dyDescent="0.25">
      <c r="A246" s="4">
        <f>'[3]M.C UNPIV'!B247</f>
        <v>0</v>
      </c>
      <c r="B246" s="5">
        <f>'[3]M.C UNPIV'!C247</f>
        <v>0</v>
      </c>
      <c r="C246" s="5">
        <f>'[3]M.C UNPIV'!D247</f>
        <v>0</v>
      </c>
      <c r="D246" s="5">
        <f>'[3]M.C UNPIV'!E247</f>
        <v>0</v>
      </c>
      <c r="E246" s="5">
        <f>'[3]M.C UNPIV'!F247</f>
        <v>0</v>
      </c>
      <c r="F246" s="5">
        <f>'[3]M.C UNPIV'!G247</f>
        <v>0</v>
      </c>
      <c r="G246" s="6">
        <f>'[3]M.C UNPIV'!H247</f>
        <v>0</v>
      </c>
      <c r="H246" s="5">
        <f>'[3]M.C UNPIV'!I247</f>
        <v>0</v>
      </c>
      <c r="I246" s="7">
        <f>'[3]M.C UNPIV'!J247</f>
        <v>0</v>
      </c>
      <c r="J246" s="7">
        <f>'[3]M.C UNPIV'!K247</f>
        <v>0</v>
      </c>
      <c r="K246" s="7">
        <f>'[3]M.C UNPIV'!L247</f>
        <v>0</v>
      </c>
      <c r="L246" s="7">
        <f>'[3]M.C UNPIV'!M247</f>
        <v>0</v>
      </c>
      <c r="M246" s="6">
        <f>'[3]M.C UNPIV'!N247</f>
        <v>0</v>
      </c>
      <c r="N246" s="5">
        <f>'[3]M.C UNPIV'!O247</f>
        <v>0</v>
      </c>
      <c r="O246" s="5">
        <f>'[3]M.C UNPIV'!P247</f>
        <v>0</v>
      </c>
    </row>
    <row r="247" spans="1:15" x14ac:dyDescent="0.25">
      <c r="A247" s="4">
        <f>'[3]M.C UNPIV'!B248</f>
        <v>0</v>
      </c>
      <c r="B247" s="5">
        <f>'[3]M.C UNPIV'!C248</f>
        <v>0</v>
      </c>
      <c r="C247" s="5">
        <f>'[3]M.C UNPIV'!D248</f>
        <v>0</v>
      </c>
      <c r="D247" s="5">
        <f>'[3]M.C UNPIV'!E248</f>
        <v>0</v>
      </c>
      <c r="E247" s="5">
        <f>'[3]M.C UNPIV'!F248</f>
        <v>0</v>
      </c>
      <c r="F247" s="5">
        <f>'[3]M.C UNPIV'!G248</f>
        <v>0</v>
      </c>
      <c r="G247" s="6">
        <f>'[3]M.C UNPIV'!H248</f>
        <v>0</v>
      </c>
      <c r="H247" s="5">
        <f>'[3]M.C UNPIV'!I248</f>
        <v>0</v>
      </c>
      <c r="I247" s="7">
        <f>'[3]M.C UNPIV'!J248</f>
        <v>0</v>
      </c>
      <c r="J247" s="7">
        <f>'[3]M.C UNPIV'!K248</f>
        <v>0</v>
      </c>
      <c r="K247" s="7">
        <f>'[3]M.C UNPIV'!L248</f>
        <v>0</v>
      </c>
      <c r="L247" s="7">
        <f>'[3]M.C UNPIV'!M248</f>
        <v>0</v>
      </c>
      <c r="M247" s="6">
        <f>'[3]M.C UNPIV'!N248</f>
        <v>0</v>
      </c>
      <c r="N247" s="5">
        <f>'[3]M.C UNPIV'!O248</f>
        <v>0</v>
      </c>
      <c r="O247" s="5">
        <f>'[3]M.C UNPIV'!P248</f>
        <v>0</v>
      </c>
    </row>
    <row r="248" spans="1:15" x14ac:dyDescent="0.25">
      <c r="A248" s="4">
        <f>'[3]M.C UNPIV'!B249</f>
        <v>0</v>
      </c>
      <c r="B248" s="5">
        <f>'[3]M.C UNPIV'!C249</f>
        <v>0</v>
      </c>
      <c r="C248" s="5">
        <f>'[3]M.C UNPIV'!D249</f>
        <v>0</v>
      </c>
      <c r="D248" s="5">
        <f>'[3]M.C UNPIV'!E249</f>
        <v>0</v>
      </c>
      <c r="E248" s="5">
        <f>'[3]M.C UNPIV'!F249</f>
        <v>0</v>
      </c>
      <c r="F248" s="5">
        <f>'[3]M.C UNPIV'!G249</f>
        <v>0</v>
      </c>
      <c r="G248" s="6">
        <f>'[3]M.C UNPIV'!H249</f>
        <v>0</v>
      </c>
      <c r="H248" s="5">
        <f>'[3]M.C UNPIV'!I249</f>
        <v>0</v>
      </c>
      <c r="I248" s="7">
        <f>'[3]M.C UNPIV'!J249</f>
        <v>0</v>
      </c>
      <c r="J248" s="7">
        <f>'[3]M.C UNPIV'!K249</f>
        <v>0</v>
      </c>
      <c r="K248" s="7">
        <f>'[3]M.C UNPIV'!L249</f>
        <v>0</v>
      </c>
      <c r="L248" s="7">
        <f>'[3]M.C UNPIV'!M249</f>
        <v>0</v>
      </c>
      <c r="M248" s="6">
        <f>'[3]M.C UNPIV'!N249</f>
        <v>0</v>
      </c>
      <c r="N248" s="5">
        <f>'[3]M.C UNPIV'!O249</f>
        <v>0</v>
      </c>
      <c r="O248" s="5">
        <f>'[3]M.C UNPIV'!P249</f>
        <v>0</v>
      </c>
    </row>
    <row r="249" spans="1:15" x14ac:dyDescent="0.25">
      <c r="A249" s="4">
        <f>'[3]M.C UNPIV'!B250</f>
        <v>0</v>
      </c>
      <c r="B249" s="5">
        <f>'[3]M.C UNPIV'!C250</f>
        <v>0</v>
      </c>
      <c r="C249" s="5">
        <f>'[3]M.C UNPIV'!D250</f>
        <v>0</v>
      </c>
      <c r="D249" s="5">
        <f>'[3]M.C UNPIV'!E250</f>
        <v>0</v>
      </c>
      <c r="E249" s="5">
        <f>'[3]M.C UNPIV'!F250</f>
        <v>0</v>
      </c>
      <c r="F249" s="5">
        <f>'[3]M.C UNPIV'!G250</f>
        <v>0</v>
      </c>
      <c r="G249" s="6">
        <f>'[3]M.C UNPIV'!H250</f>
        <v>0</v>
      </c>
      <c r="H249" s="5">
        <f>'[3]M.C UNPIV'!I250</f>
        <v>0</v>
      </c>
      <c r="I249" s="7">
        <f>'[3]M.C UNPIV'!J250</f>
        <v>0</v>
      </c>
      <c r="J249" s="7">
        <f>'[3]M.C UNPIV'!K250</f>
        <v>0</v>
      </c>
      <c r="K249" s="7">
        <f>'[3]M.C UNPIV'!L250</f>
        <v>0</v>
      </c>
      <c r="L249" s="7">
        <f>'[3]M.C UNPIV'!M250</f>
        <v>0</v>
      </c>
      <c r="M249" s="6">
        <f>'[3]M.C UNPIV'!N250</f>
        <v>0</v>
      </c>
      <c r="N249" s="5">
        <f>'[3]M.C UNPIV'!O250</f>
        <v>0</v>
      </c>
      <c r="O249" s="5">
        <f>'[3]M.C UNPIV'!P250</f>
        <v>0</v>
      </c>
    </row>
    <row r="250" spans="1:15" x14ac:dyDescent="0.25">
      <c r="A250" s="4">
        <f>'[3]M.C UNPIV'!B251</f>
        <v>0</v>
      </c>
      <c r="B250" s="5">
        <f>'[3]M.C UNPIV'!C251</f>
        <v>0</v>
      </c>
      <c r="C250" s="5">
        <f>'[3]M.C UNPIV'!D251</f>
        <v>0</v>
      </c>
      <c r="D250" s="5">
        <f>'[3]M.C UNPIV'!E251</f>
        <v>0</v>
      </c>
      <c r="E250" s="5">
        <f>'[3]M.C UNPIV'!F251</f>
        <v>0</v>
      </c>
      <c r="F250" s="5">
        <f>'[3]M.C UNPIV'!G251</f>
        <v>0</v>
      </c>
      <c r="G250" s="6">
        <f>'[3]M.C UNPIV'!H251</f>
        <v>0</v>
      </c>
      <c r="H250" s="5">
        <f>'[3]M.C UNPIV'!I251</f>
        <v>0</v>
      </c>
      <c r="I250" s="7">
        <f>'[3]M.C UNPIV'!J251</f>
        <v>0</v>
      </c>
      <c r="J250" s="7">
        <f>'[3]M.C UNPIV'!K251</f>
        <v>0</v>
      </c>
      <c r="K250" s="7">
        <f>'[3]M.C UNPIV'!L251</f>
        <v>0</v>
      </c>
      <c r="L250" s="7">
        <f>'[3]M.C UNPIV'!M251</f>
        <v>0</v>
      </c>
      <c r="M250" s="6">
        <f>'[3]M.C UNPIV'!N251</f>
        <v>0</v>
      </c>
      <c r="N250" s="5">
        <f>'[3]M.C UNPIV'!O251</f>
        <v>0</v>
      </c>
      <c r="O250" s="5">
        <f>'[3]M.C UNPIV'!P251</f>
        <v>0</v>
      </c>
    </row>
    <row r="251" spans="1:15" x14ac:dyDescent="0.25">
      <c r="A251" s="4">
        <f>'[3]M.C UNPIV'!B252</f>
        <v>0</v>
      </c>
      <c r="B251" s="5">
        <f>'[3]M.C UNPIV'!C252</f>
        <v>0</v>
      </c>
      <c r="C251" s="5">
        <f>'[3]M.C UNPIV'!D252</f>
        <v>0</v>
      </c>
      <c r="D251" s="5">
        <f>'[3]M.C UNPIV'!E252</f>
        <v>0</v>
      </c>
      <c r="E251" s="5">
        <f>'[3]M.C UNPIV'!F252</f>
        <v>0</v>
      </c>
      <c r="F251" s="5">
        <f>'[3]M.C UNPIV'!G252</f>
        <v>0</v>
      </c>
      <c r="G251" s="6">
        <f>'[3]M.C UNPIV'!H252</f>
        <v>0</v>
      </c>
      <c r="H251" s="5">
        <f>'[3]M.C UNPIV'!I252</f>
        <v>0</v>
      </c>
      <c r="I251" s="7">
        <f>'[3]M.C UNPIV'!J252</f>
        <v>0</v>
      </c>
      <c r="J251" s="7">
        <f>'[3]M.C UNPIV'!K252</f>
        <v>0</v>
      </c>
      <c r="K251" s="7">
        <f>'[3]M.C UNPIV'!L252</f>
        <v>0</v>
      </c>
      <c r="L251" s="7">
        <f>'[3]M.C UNPIV'!M252</f>
        <v>0</v>
      </c>
      <c r="M251" s="6">
        <f>'[3]M.C UNPIV'!N252</f>
        <v>0</v>
      </c>
      <c r="N251" s="5">
        <f>'[3]M.C UNPIV'!O252</f>
        <v>0</v>
      </c>
      <c r="O251" s="5">
        <f>'[3]M.C UNPIV'!P252</f>
        <v>0</v>
      </c>
    </row>
    <row r="252" spans="1:15" x14ac:dyDescent="0.25">
      <c r="A252" s="4">
        <f>'[3]M.C UNPIV'!B253</f>
        <v>0</v>
      </c>
      <c r="B252" s="5">
        <f>'[3]M.C UNPIV'!C253</f>
        <v>0</v>
      </c>
      <c r="C252" s="5">
        <f>'[3]M.C UNPIV'!D253</f>
        <v>0</v>
      </c>
      <c r="D252" s="5">
        <f>'[3]M.C UNPIV'!E253</f>
        <v>0</v>
      </c>
      <c r="E252" s="5">
        <f>'[3]M.C UNPIV'!F253</f>
        <v>0</v>
      </c>
      <c r="F252" s="5">
        <f>'[3]M.C UNPIV'!G253</f>
        <v>0</v>
      </c>
      <c r="G252" s="6">
        <f>'[3]M.C UNPIV'!H253</f>
        <v>0</v>
      </c>
      <c r="H252" s="5">
        <f>'[3]M.C UNPIV'!I253</f>
        <v>0</v>
      </c>
      <c r="I252" s="7">
        <f>'[3]M.C UNPIV'!J253</f>
        <v>0</v>
      </c>
      <c r="J252" s="7">
        <f>'[3]M.C UNPIV'!K253</f>
        <v>0</v>
      </c>
      <c r="K252" s="7">
        <f>'[3]M.C UNPIV'!L253</f>
        <v>0</v>
      </c>
      <c r="L252" s="7">
        <f>'[3]M.C UNPIV'!M253</f>
        <v>0</v>
      </c>
      <c r="M252" s="6">
        <f>'[3]M.C UNPIV'!N253</f>
        <v>0</v>
      </c>
      <c r="N252" s="5">
        <f>'[3]M.C UNPIV'!O253</f>
        <v>0</v>
      </c>
      <c r="O252" s="5">
        <f>'[3]M.C UNPIV'!P253</f>
        <v>0</v>
      </c>
    </row>
    <row r="253" spans="1:15" x14ac:dyDescent="0.25">
      <c r="A253" s="4">
        <f>'[3]M.C UNPIV'!B254</f>
        <v>0</v>
      </c>
      <c r="B253" s="5">
        <f>'[3]M.C UNPIV'!C254</f>
        <v>0</v>
      </c>
      <c r="C253" s="5">
        <f>'[3]M.C UNPIV'!D254</f>
        <v>0</v>
      </c>
      <c r="D253" s="5">
        <f>'[3]M.C UNPIV'!E254</f>
        <v>0</v>
      </c>
      <c r="E253" s="5">
        <f>'[3]M.C UNPIV'!F254</f>
        <v>0</v>
      </c>
      <c r="F253" s="5">
        <f>'[3]M.C UNPIV'!G254</f>
        <v>0</v>
      </c>
      <c r="G253" s="6">
        <f>'[3]M.C UNPIV'!H254</f>
        <v>0</v>
      </c>
      <c r="H253" s="5">
        <f>'[3]M.C UNPIV'!I254</f>
        <v>0</v>
      </c>
      <c r="I253" s="7">
        <f>'[3]M.C UNPIV'!J254</f>
        <v>0</v>
      </c>
      <c r="J253" s="7">
        <f>'[3]M.C UNPIV'!K254</f>
        <v>0</v>
      </c>
      <c r="K253" s="7">
        <f>'[3]M.C UNPIV'!L254</f>
        <v>0</v>
      </c>
      <c r="L253" s="7">
        <f>'[3]M.C UNPIV'!M254</f>
        <v>0</v>
      </c>
      <c r="M253" s="6">
        <f>'[3]M.C UNPIV'!N254</f>
        <v>0</v>
      </c>
      <c r="N253" s="5">
        <f>'[3]M.C UNPIV'!O254</f>
        <v>0</v>
      </c>
      <c r="O253" s="5">
        <f>'[3]M.C UNPIV'!P254</f>
        <v>0</v>
      </c>
    </row>
    <row r="254" spans="1:15" x14ac:dyDescent="0.25">
      <c r="A254" s="4">
        <f>'[3]M.C UNPIV'!B255</f>
        <v>0</v>
      </c>
      <c r="B254" s="5">
        <f>'[3]M.C UNPIV'!C255</f>
        <v>0</v>
      </c>
      <c r="C254" s="5">
        <f>'[3]M.C UNPIV'!D255</f>
        <v>0</v>
      </c>
      <c r="D254" s="5">
        <f>'[3]M.C UNPIV'!E255</f>
        <v>0</v>
      </c>
      <c r="E254" s="5">
        <f>'[3]M.C UNPIV'!F255</f>
        <v>0</v>
      </c>
      <c r="F254" s="5">
        <f>'[3]M.C UNPIV'!G255</f>
        <v>0</v>
      </c>
      <c r="G254" s="6">
        <f>'[3]M.C UNPIV'!H255</f>
        <v>0</v>
      </c>
      <c r="H254" s="5">
        <f>'[3]M.C UNPIV'!I255</f>
        <v>0</v>
      </c>
      <c r="I254" s="7">
        <f>'[3]M.C UNPIV'!J255</f>
        <v>0</v>
      </c>
      <c r="J254" s="7">
        <f>'[3]M.C UNPIV'!K255</f>
        <v>0</v>
      </c>
      <c r="K254" s="7">
        <f>'[3]M.C UNPIV'!L255</f>
        <v>0</v>
      </c>
      <c r="L254" s="7">
        <f>'[3]M.C UNPIV'!M255</f>
        <v>0</v>
      </c>
      <c r="M254" s="6">
        <f>'[3]M.C UNPIV'!N255</f>
        <v>0</v>
      </c>
      <c r="N254" s="5">
        <f>'[3]M.C UNPIV'!O255</f>
        <v>0</v>
      </c>
      <c r="O254" s="5">
        <f>'[3]M.C UNPIV'!P255</f>
        <v>0</v>
      </c>
    </row>
    <row r="255" spans="1:15" x14ac:dyDescent="0.25">
      <c r="A255" s="4">
        <f>'[3]M.C UNPIV'!B256</f>
        <v>0</v>
      </c>
      <c r="B255" s="5">
        <f>'[3]M.C UNPIV'!C256</f>
        <v>0</v>
      </c>
      <c r="C255" s="5">
        <f>'[3]M.C UNPIV'!D256</f>
        <v>0</v>
      </c>
      <c r="D255" s="5">
        <f>'[3]M.C UNPIV'!E256</f>
        <v>0</v>
      </c>
      <c r="E255" s="5">
        <f>'[3]M.C UNPIV'!F256</f>
        <v>0</v>
      </c>
      <c r="F255" s="5">
        <f>'[3]M.C UNPIV'!G256</f>
        <v>0</v>
      </c>
      <c r="G255" s="6">
        <f>'[3]M.C UNPIV'!H256</f>
        <v>0</v>
      </c>
      <c r="H255" s="5">
        <f>'[3]M.C UNPIV'!I256</f>
        <v>0</v>
      </c>
      <c r="I255" s="7">
        <f>'[3]M.C UNPIV'!J256</f>
        <v>0</v>
      </c>
      <c r="J255" s="7">
        <f>'[3]M.C UNPIV'!K256</f>
        <v>0</v>
      </c>
      <c r="K255" s="7">
        <f>'[3]M.C UNPIV'!L256</f>
        <v>0</v>
      </c>
      <c r="L255" s="7">
        <f>'[3]M.C UNPIV'!M256</f>
        <v>0</v>
      </c>
      <c r="M255" s="6">
        <f>'[3]M.C UNPIV'!N256</f>
        <v>0</v>
      </c>
      <c r="N255" s="5">
        <f>'[3]M.C UNPIV'!O256</f>
        <v>0</v>
      </c>
      <c r="O255" s="5">
        <f>'[3]M.C UNPIV'!P256</f>
        <v>0</v>
      </c>
    </row>
    <row r="256" spans="1:15" x14ac:dyDescent="0.25">
      <c r="A256" s="4">
        <f>'[3]M.C UNPIV'!B257</f>
        <v>0</v>
      </c>
      <c r="B256" s="5">
        <f>'[3]M.C UNPIV'!C257</f>
        <v>0</v>
      </c>
      <c r="C256" s="5">
        <f>'[3]M.C UNPIV'!D257</f>
        <v>0</v>
      </c>
      <c r="D256" s="5">
        <f>'[3]M.C UNPIV'!E257</f>
        <v>0</v>
      </c>
      <c r="E256" s="5">
        <f>'[3]M.C UNPIV'!F257</f>
        <v>0</v>
      </c>
      <c r="F256" s="5">
        <f>'[3]M.C UNPIV'!G257</f>
        <v>0</v>
      </c>
      <c r="G256" s="6">
        <f>'[3]M.C UNPIV'!H257</f>
        <v>0</v>
      </c>
      <c r="H256" s="5">
        <f>'[3]M.C UNPIV'!I257</f>
        <v>0</v>
      </c>
      <c r="I256" s="7">
        <f>'[3]M.C UNPIV'!J257</f>
        <v>0</v>
      </c>
      <c r="J256" s="7">
        <f>'[3]M.C UNPIV'!K257</f>
        <v>0</v>
      </c>
      <c r="K256" s="7">
        <f>'[3]M.C UNPIV'!L257</f>
        <v>0</v>
      </c>
      <c r="L256" s="7">
        <f>'[3]M.C UNPIV'!M257</f>
        <v>0</v>
      </c>
      <c r="M256" s="6">
        <f>'[3]M.C UNPIV'!N257</f>
        <v>0</v>
      </c>
      <c r="N256" s="5">
        <f>'[3]M.C UNPIV'!O257</f>
        <v>0</v>
      </c>
      <c r="O256" s="5">
        <f>'[3]M.C UNPIV'!P257</f>
        <v>0</v>
      </c>
    </row>
    <row r="257" spans="1:15" x14ac:dyDescent="0.25">
      <c r="A257" s="4">
        <f>'[3]M.C UNPIV'!B258</f>
        <v>0</v>
      </c>
      <c r="B257" s="5">
        <f>'[3]M.C UNPIV'!C258</f>
        <v>0</v>
      </c>
      <c r="C257" s="5">
        <f>'[3]M.C UNPIV'!D258</f>
        <v>0</v>
      </c>
      <c r="D257" s="5">
        <f>'[3]M.C UNPIV'!E258</f>
        <v>0</v>
      </c>
      <c r="E257" s="5">
        <f>'[3]M.C UNPIV'!F258</f>
        <v>0</v>
      </c>
      <c r="F257" s="5">
        <f>'[3]M.C UNPIV'!G258</f>
        <v>0</v>
      </c>
      <c r="G257" s="6">
        <f>'[3]M.C UNPIV'!H258</f>
        <v>0</v>
      </c>
      <c r="H257" s="5">
        <f>'[3]M.C UNPIV'!I258</f>
        <v>0</v>
      </c>
      <c r="I257" s="7">
        <f>'[3]M.C UNPIV'!J258</f>
        <v>0</v>
      </c>
      <c r="J257" s="7">
        <f>'[3]M.C UNPIV'!K258</f>
        <v>0</v>
      </c>
      <c r="K257" s="7">
        <f>'[3]M.C UNPIV'!L258</f>
        <v>0</v>
      </c>
      <c r="L257" s="7">
        <f>'[3]M.C UNPIV'!M258</f>
        <v>0</v>
      </c>
      <c r="M257" s="6">
        <f>'[3]M.C UNPIV'!N258</f>
        <v>0</v>
      </c>
      <c r="N257" s="5">
        <f>'[3]M.C UNPIV'!O258</f>
        <v>0</v>
      </c>
      <c r="O257" s="5">
        <f>'[3]M.C UNPIV'!P258</f>
        <v>0</v>
      </c>
    </row>
    <row r="258" spans="1:15" x14ac:dyDescent="0.25">
      <c r="A258" s="4">
        <f>'[3]M.C UNPIV'!B259</f>
        <v>0</v>
      </c>
      <c r="B258" s="5">
        <f>'[3]M.C UNPIV'!C259</f>
        <v>0</v>
      </c>
      <c r="C258" s="5">
        <f>'[3]M.C UNPIV'!D259</f>
        <v>0</v>
      </c>
      <c r="D258" s="5">
        <f>'[3]M.C UNPIV'!E259</f>
        <v>0</v>
      </c>
      <c r="E258" s="5">
        <f>'[3]M.C UNPIV'!F259</f>
        <v>0</v>
      </c>
      <c r="F258" s="5">
        <f>'[3]M.C UNPIV'!G259</f>
        <v>0</v>
      </c>
      <c r="G258" s="6">
        <f>'[3]M.C UNPIV'!H259</f>
        <v>0</v>
      </c>
      <c r="H258" s="5">
        <f>'[3]M.C UNPIV'!I259</f>
        <v>0</v>
      </c>
      <c r="I258" s="7">
        <f>'[3]M.C UNPIV'!J259</f>
        <v>0</v>
      </c>
      <c r="J258" s="7">
        <f>'[3]M.C UNPIV'!K259</f>
        <v>0</v>
      </c>
      <c r="K258" s="7">
        <f>'[3]M.C UNPIV'!L259</f>
        <v>0</v>
      </c>
      <c r="L258" s="7">
        <f>'[3]M.C UNPIV'!M259</f>
        <v>0</v>
      </c>
      <c r="M258" s="6">
        <f>'[3]M.C UNPIV'!N259</f>
        <v>0</v>
      </c>
      <c r="N258" s="5">
        <f>'[3]M.C UNPIV'!O259</f>
        <v>0</v>
      </c>
      <c r="O258" s="5">
        <f>'[3]M.C UNPIV'!P259</f>
        <v>0</v>
      </c>
    </row>
    <row r="259" spans="1:15" x14ac:dyDescent="0.25">
      <c r="A259" s="4">
        <f>'[3]M.C UNPIV'!B260</f>
        <v>0</v>
      </c>
      <c r="B259" s="5">
        <f>'[3]M.C UNPIV'!C260</f>
        <v>0</v>
      </c>
      <c r="C259" s="5">
        <f>'[3]M.C UNPIV'!D260</f>
        <v>0</v>
      </c>
      <c r="D259" s="5">
        <f>'[3]M.C UNPIV'!E260</f>
        <v>0</v>
      </c>
      <c r="E259" s="5">
        <f>'[3]M.C UNPIV'!F260</f>
        <v>0</v>
      </c>
      <c r="F259" s="5">
        <f>'[3]M.C UNPIV'!G260</f>
        <v>0</v>
      </c>
      <c r="G259" s="6">
        <f>'[3]M.C UNPIV'!H260</f>
        <v>0</v>
      </c>
      <c r="H259" s="5">
        <f>'[3]M.C UNPIV'!I260</f>
        <v>0</v>
      </c>
      <c r="I259" s="7">
        <f>'[3]M.C UNPIV'!J260</f>
        <v>0</v>
      </c>
      <c r="J259" s="7">
        <f>'[3]M.C UNPIV'!K260</f>
        <v>0</v>
      </c>
      <c r="K259" s="7">
        <f>'[3]M.C UNPIV'!L260</f>
        <v>0</v>
      </c>
      <c r="L259" s="7">
        <f>'[3]M.C UNPIV'!M260</f>
        <v>0</v>
      </c>
      <c r="M259" s="6">
        <f>'[3]M.C UNPIV'!N260</f>
        <v>0</v>
      </c>
      <c r="N259" s="5">
        <f>'[3]M.C UNPIV'!O260</f>
        <v>0</v>
      </c>
      <c r="O259" s="5">
        <f>'[3]M.C UNPIV'!P260</f>
        <v>0</v>
      </c>
    </row>
    <row r="260" spans="1:15" x14ac:dyDescent="0.25">
      <c r="A260" s="4">
        <f>'[3]M.C UNPIV'!B261</f>
        <v>0</v>
      </c>
      <c r="B260" s="5">
        <f>'[3]M.C UNPIV'!C261</f>
        <v>0</v>
      </c>
      <c r="C260" s="5">
        <f>'[3]M.C UNPIV'!D261</f>
        <v>0</v>
      </c>
      <c r="D260" s="5">
        <f>'[3]M.C UNPIV'!E261</f>
        <v>0</v>
      </c>
      <c r="E260" s="5">
        <f>'[3]M.C UNPIV'!F261</f>
        <v>0</v>
      </c>
      <c r="F260" s="5">
        <f>'[3]M.C UNPIV'!G261</f>
        <v>0</v>
      </c>
      <c r="G260" s="6">
        <f>'[3]M.C UNPIV'!H261</f>
        <v>0</v>
      </c>
      <c r="H260" s="5">
        <f>'[3]M.C UNPIV'!I261</f>
        <v>0</v>
      </c>
      <c r="I260" s="7">
        <f>'[3]M.C UNPIV'!J261</f>
        <v>0</v>
      </c>
      <c r="J260" s="7">
        <f>'[3]M.C UNPIV'!K261</f>
        <v>0</v>
      </c>
      <c r="K260" s="7">
        <f>'[3]M.C UNPIV'!L261</f>
        <v>0</v>
      </c>
      <c r="L260" s="7">
        <f>'[3]M.C UNPIV'!M261</f>
        <v>0</v>
      </c>
      <c r="M260" s="6">
        <f>'[3]M.C UNPIV'!N261</f>
        <v>0</v>
      </c>
      <c r="N260" s="5">
        <f>'[3]M.C UNPIV'!O261</f>
        <v>0</v>
      </c>
      <c r="O260" s="5">
        <f>'[3]M.C UNPIV'!P261</f>
        <v>0</v>
      </c>
    </row>
    <row r="261" spans="1:15" x14ac:dyDescent="0.25">
      <c r="A261" s="4">
        <f>'[3]M.C UNPIV'!B262</f>
        <v>0</v>
      </c>
      <c r="B261" s="5">
        <f>'[3]M.C UNPIV'!C262</f>
        <v>0</v>
      </c>
      <c r="C261" s="5">
        <f>'[3]M.C UNPIV'!D262</f>
        <v>0</v>
      </c>
      <c r="D261" s="5">
        <f>'[3]M.C UNPIV'!E262</f>
        <v>0</v>
      </c>
      <c r="E261" s="5">
        <f>'[3]M.C UNPIV'!F262</f>
        <v>0</v>
      </c>
      <c r="F261" s="5">
        <f>'[3]M.C UNPIV'!G262</f>
        <v>0</v>
      </c>
      <c r="G261" s="6">
        <f>'[3]M.C UNPIV'!H262</f>
        <v>0</v>
      </c>
      <c r="H261" s="5">
        <f>'[3]M.C UNPIV'!I262</f>
        <v>0</v>
      </c>
      <c r="I261" s="7">
        <f>'[3]M.C UNPIV'!J262</f>
        <v>0</v>
      </c>
      <c r="J261" s="7">
        <f>'[3]M.C UNPIV'!K262</f>
        <v>0</v>
      </c>
      <c r="K261" s="7">
        <f>'[3]M.C UNPIV'!L262</f>
        <v>0</v>
      </c>
      <c r="L261" s="7">
        <f>'[3]M.C UNPIV'!M262</f>
        <v>0</v>
      </c>
      <c r="M261" s="6">
        <f>'[3]M.C UNPIV'!N262</f>
        <v>0</v>
      </c>
      <c r="N261" s="5">
        <f>'[3]M.C UNPIV'!O262</f>
        <v>0</v>
      </c>
      <c r="O261" s="5">
        <f>'[3]M.C UNPIV'!P262</f>
        <v>0</v>
      </c>
    </row>
    <row r="262" spans="1:15" x14ac:dyDescent="0.25">
      <c r="A262" s="4">
        <f>'[3]M.C UNPIV'!B263</f>
        <v>0</v>
      </c>
      <c r="B262" s="5">
        <f>'[3]M.C UNPIV'!C263</f>
        <v>0</v>
      </c>
      <c r="C262" s="5">
        <f>'[3]M.C UNPIV'!D263</f>
        <v>0</v>
      </c>
      <c r="D262" s="5">
        <f>'[3]M.C UNPIV'!E263</f>
        <v>0</v>
      </c>
      <c r="E262" s="5">
        <f>'[3]M.C UNPIV'!F263</f>
        <v>0</v>
      </c>
      <c r="F262" s="5">
        <f>'[3]M.C UNPIV'!G263</f>
        <v>0</v>
      </c>
      <c r="G262" s="6">
        <f>'[3]M.C UNPIV'!H263</f>
        <v>0</v>
      </c>
      <c r="H262" s="5">
        <f>'[3]M.C UNPIV'!I263</f>
        <v>0</v>
      </c>
      <c r="I262" s="7">
        <f>'[3]M.C UNPIV'!J263</f>
        <v>0</v>
      </c>
      <c r="J262" s="7">
        <f>'[3]M.C UNPIV'!K263</f>
        <v>0</v>
      </c>
      <c r="K262" s="7">
        <f>'[3]M.C UNPIV'!L263</f>
        <v>0</v>
      </c>
      <c r="L262" s="7">
        <f>'[3]M.C UNPIV'!M263</f>
        <v>0</v>
      </c>
      <c r="M262" s="6">
        <f>'[3]M.C UNPIV'!N263</f>
        <v>0</v>
      </c>
      <c r="N262" s="5">
        <f>'[3]M.C UNPIV'!O263</f>
        <v>0</v>
      </c>
      <c r="O262" s="5">
        <f>'[3]M.C UNPIV'!P263</f>
        <v>0</v>
      </c>
    </row>
    <row r="263" spans="1:15" x14ac:dyDescent="0.25">
      <c r="A263" s="4">
        <f>'[3]M.C UNPIV'!B264</f>
        <v>0</v>
      </c>
      <c r="B263" s="5">
        <f>'[3]M.C UNPIV'!C264</f>
        <v>0</v>
      </c>
      <c r="C263" s="5">
        <f>'[3]M.C UNPIV'!D264</f>
        <v>0</v>
      </c>
      <c r="D263" s="5">
        <f>'[3]M.C UNPIV'!E264</f>
        <v>0</v>
      </c>
      <c r="E263" s="5">
        <f>'[3]M.C UNPIV'!F264</f>
        <v>0</v>
      </c>
      <c r="F263" s="5">
        <f>'[3]M.C UNPIV'!G264</f>
        <v>0</v>
      </c>
      <c r="G263" s="6">
        <f>'[3]M.C UNPIV'!H264</f>
        <v>0</v>
      </c>
      <c r="H263" s="5">
        <f>'[3]M.C UNPIV'!I264</f>
        <v>0</v>
      </c>
      <c r="I263" s="7">
        <f>'[3]M.C UNPIV'!J264</f>
        <v>0</v>
      </c>
      <c r="J263" s="7">
        <f>'[3]M.C UNPIV'!K264</f>
        <v>0</v>
      </c>
      <c r="K263" s="7">
        <f>'[3]M.C UNPIV'!L264</f>
        <v>0</v>
      </c>
      <c r="L263" s="7">
        <f>'[3]M.C UNPIV'!M264</f>
        <v>0</v>
      </c>
      <c r="M263" s="6">
        <f>'[3]M.C UNPIV'!N264</f>
        <v>0</v>
      </c>
      <c r="N263" s="5">
        <f>'[3]M.C UNPIV'!O264</f>
        <v>0</v>
      </c>
      <c r="O263" s="5">
        <f>'[3]M.C UNPIV'!P264</f>
        <v>0</v>
      </c>
    </row>
    <row r="264" spans="1:15" x14ac:dyDescent="0.25">
      <c r="A264" s="4">
        <f>'[3]M.C UNPIV'!B265</f>
        <v>0</v>
      </c>
      <c r="B264" s="5">
        <f>'[3]M.C UNPIV'!C265</f>
        <v>0</v>
      </c>
      <c r="C264" s="5">
        <f>'[3]M.C UNPIV'!D265</f>
        <v>0</v>
      </c>
      <c r="D264" s="5">
        <f>'[3]M.C UNPIV'!E265</f>
        <v>0</v>
      </c>
      <c r="E264" s="5">
        <f>'[3]M.C UNPIV'!F265</f>
        <v>0</v>
      </c>
      <c r="F264" s="5">
        <f>'[3]M.C UNPIV'!G265</f>
        <v>0</v>
      </c>
      <c r="G264" s="6">
        <f>'[3]M.C UNPIV'!H265</f>
        <v>0</v>
      </c>
      <c r="H264" s="5">
        <f>'[3]M.C UNPIV'!I265</f>
        <v>0</v>
      </c>
      <c r="I264" s="7">
        <f>'[3]M.C UNPIV'!J265</f>
        <v>0</v>
      </c>
      <c r="J264" s="7">
        <f>'[3]M.C UNPIV'!K265</f>
        <v>0</v>
      </c>
      <c r="K264" s="7">
        <f>'[3]M.C UNPIV'!L265</f>
        <v>0</v>
      </c>
      <c r="L264" s="7">
        <f>'[3]M.C UNPIV'!M265</f>
        <v>0</v>
      </c>
      <c r="M264" s="6">
        <f>'[3]M.C UNPIV'!N265</f>
        <v>0</v>
      </c>
      <c r="N264" s="5">
        <f>'[3]M.C UNPIV'!O265</f>
        <v>0</v>
      </c>
      <c r="O264" s="5">
        <f>'[3]M.C UNPIV'!P265</f>
        <v>0</v>
      </c>
    </row>
    <row r="265" spans="1:15" x14ac:dyDescent="0.25">
      <c r="A265" s="4">
        <f>'[3]M.C UNPIV'!B266</f>
        <v>0</v>
      </c>
      <c r="B265" s="5">
        <f>'[3]M.C UNPIV'!C266</f>
        <v>0</v>
      </c>
      <c r="C265" s="5">
        <f>'[3]M.C UNPIV'!D266</f>
        <v>0</v>
      </c>
      <c r="D265" s="5">
        <f>'[3]M.C UNPIV'!E266</f>
        <v>0</v>
      </c>
      <c r="E265" s="5">
        <f>'[3]M.C UNPIV'!F266</f>
        <v>0</v>
      </c>
      <c r="F265" s="5">
        <f>'[3]M.C UNPIV'!G266</f>
        <v>0</v>
      </c>
      <c r="G265" s="6">
        <f>'[3]M.C UNPIV'!H266</f>
        <v>0</v>
      </c>
      <c r="H265" s="5">
        <f>'[3]M.C UNPIV'!I266</f>
        <v>0</v>
      </c>
      <c r="I265" s="7">
        <f>'[3]M.C UNPIV'!J266</f>
        <v>0</v>
      </c>
      <c r="J265" s="7">
        <f>'[3]M.C UNPIV'!K266</f>
        <v>0</v>
      </c>
      <c r="K265" s="7">
        <f>'[3]M.C UNPIV'!L266</f>
        <v>0</v>
      </c>
      <c r="L265" s="7">
        <f>'[3]M.C UNPIV'!M266</f>
        <v>0</v>
      </c>
      <c r="M265" s="6">
        <f>'[3]M.C UNPIV'!N266</f>
        <v>0</v>
      </c>
      <c r="N265" s="5">
        <f>'[3]M.C UNPIV'!O266</f>
        <v>0</v>
      </c>
      <c r="O265" s="5">
        <f>'[3]M.C UNPIV'!P266</f>
        <v>0</v>
      </c>
    </row>
    <row r="266" spans="1:15" x14ac:dyDescent="0.25">
      <c r="A266" s="4">
        <f>'[3]M.C UNPIV'!B267</f>
        <v>0</v>
      </c>
      <c r="B266" s="5">
        <f>'[3]M.C UNPIV'!C267</f>
        <v>0</v>
      </c>
      <c r="C266" s="5">
        <f>'[3]M.C UNPIV'!D267</f>
        <v>0</v>
      </c>
      <c r="D266" s="5">
        <f>'[3]M.C UNPIV'!E267</f>
        <v>0</v>
      </c>
      <c r="E266" s="5">
        <f>'[3]M.C UNPIV'!F267</f>
        <v>0</v>
      </c>
      <c r="F266" s="5">
        <f>'[3]M.C UNPIV'!G267</f>
        <v>0</v>
      </c>
      <c r="G266" s="6">
        <f>'[3]M.C UNPIV'!H267</f>
        <v>0</v>
      </c>
      <c r="H266" s="5">
        <f>'[3]M.C UNPIV'!I267</f>
        <v>0</v>
      </c>
      <c r="I266" s="7">
        <f>'[3]M.C UNPIV'!J267</f>
        <v>0</v>
      </c>
      <c r="J266" s="7">
        <f>'[3]M.C UNPIV'!K267</f>
        <v>0</v>
      </c>
      <c r="K266" s="7">
        <f>'[3]M.C UNPIV'!L267</f>
        <v>0</v>
      </c>
      <c r="L266" s="7">
        <f>'[3]M.C UNPIV'!M267</f>
        <v>0</v>
      </c>
      <c r="M266" s="6">
        <f>'[3]M.C UNPIV'!N267</f>
        <v>0</v>
      </c>
      <c r="N266" s="5">
        <f>'[3]M.C UNPIV'!O267</f>
        <v>0</v>
      </c>
      <c r="O266" s="5">
        <f>'[3]M.C UNPIV'!P267</f>
        <v>0</v>
      </c>
    </row>
    <row r="267" spans="1:15" x14ac:dyDescent="0.25">
      <c r="A267" s="4">
        <f>'[3]M.C UNPIV'!B268</f>
        <v>0</v>
      </c>
      <c r="B267" s="5">
        <f>'[3]M.C UNPIV'!C268</f>
        <v>0</v>
      </c>
      <c r="C267" s="5">
        <f>'[3]M.C UNPIV'!D268</f>
        <v>0</v>
      </c>
      <c r="D267" s="5">
        <f>'[3]M.C UNPIV'!E268</f>
        <v>0</v>
      </c>
      <c r="E267" s="5">
        <f>'[3]M.C UNPIV'!F268</f>
        <v>0</v>
      </c>
      <c r="F267" s="5">
        <f>'[3]M.C UNPIV'!G268</f>
        <v>0</v>
      </c>
      <c r="G267" s="6">
        <f>'[3]M.C UNPIV'!H268</f>
        <v>0</v>
      </c>
      <c r="H267" s="5">
        <f>'[3]M.C UNPIV'!I268</f>
        <v>0</v>
      </c>
      <c r="I267" s="7">
        <f>'[3]M.C UNPIV'!J268</f>
        <v>0</v>
      </c>
      <c r="J267" s="7">
        <f>'[3]M.C UNPIV'!K268</f>
        <v>0</v>
      </c>
      <c r="K267" s="7">
        <f>'[3]M.C UNPIV'!L268</f>
        <v>0</v>
      </c>
      <c r="L267" s="7">
        <f>'[3]M.C UNPIV'!M268</f>
        <v>0</v>
      </c>
      <c r="M267" s="6">
        <f>'[3]M.C UNPIV'!N268</f>
        <v>0</v>
      </c>
      <c r="N267" s="5">
        <f>'[3]M.C UNPIV'!O268</f>
        <v>0</v>
      </c>
      <c r="O267" s="5">
        <f>'[3]M.C UNPIV'!P268</f>
        <v>0</v>
      </c>
    </row>
    <row r="268" spans="1:15" x14ac:dyDescent="0.25">
      <c r="A268" s="4">
        <f>'[3]M.C UNPIV'!B269</f>
        <v>0</v>
      </c>
      <c r="B268" s="5">
        <f>'[3]M.C UNPIV'!C269</f>
        <v>0</v>
      </c>
      <c r="C268" s="5">
        <f>'[3]M.C UNPIV'!D269</f>
        <v>0</v>
      </c>
      <c r="D268" s="5">
        <f>'[3]M.C UNPIV'!E269</f>
        <v>0</v>
      </c>
      <c r="E268" s="5">
        <f>'[3]M.C UNPIV'!F269</f>
        <v>0</v>
      </c>
      <c r="F268" s="5">
        <f>'[3]M.C UNPIV'!G269</f>
        <v>0</v>
      </c>
      <c r="G268" s="6">
        <f>'[3]M.C UNPIV'!H269</f>
        <v>0</v>
      </c>
      <c r="H268" s="5">
        <f>'[3]M.C UNPIV'!I269</f>
        <v>0</v>
      </c>
      <c r="I268" s="7">
        <f>'[3]M.C UNPIV'!J269</f>
        <v>0</v>
      </c>
      <c r="J268" s="7">
        <f>'[3]M.C UNPIV'!K269</f>
        <v>0</v>
      </c>
      <c r="K268" s="7">
        <f>'[3]M.C UNPIV'!L269</f>
        <v>0</v>
      </c>
      <c r="L268" s="7">
        <f>'[3]M.C UNPIV'!M269</f>
        <v>0</v>
      </c>
      <c r="M268" s="6">
        <f>'[3]M.C UNPIV'!N269</f>
        <v>0</v>
      </c>
      <c r="N268" s="5">
        <f>'[3]M.C UNPIV'!O269</f>
        <v>0</v>
      </c>
      <c r="O268" s="5">
        <f>'[3]M.C UNPIV'!P269</f>
        <v>0</v>
      </c>
    </row>
    <row r="269" spans="1:15" x14ac:dyDescent="0.25">
      <c r="A269" s="4">
        <f>'[3]M.C UNPIV'!B270</f>
        <v>0</v>
      </c>
      <c r="B269" s="5">
        <f>'[3]M.C UNPIV'!C270</f>
        <v>0</v>
      </c>
      <c r="C269" s="5">
        <f>'[3]M.C UNPIV'!D270</f>
        <v>0</v>
      </c>
      <c r="D269" s="5">
        <f>'[3]M.C UNPIV'!E270</f>
        <v>0</v>
      </c>
      <c r="E269" s="5">
        <f>'[3]M.C UNPIV'!F270</f>
        <v>0</v>
      </c>
      <c r="F269" s="5">
        <f>'[3]M.C UNPIV'!G270</f>
        <v>0</v>
      </c>
      <c r="G269" s="6">
        <f>'[3]M.C UNPIV'!H270</f>
        <v>0</v>
      </c>
      <c r="H269" s="5">
        <f>'[3]M.C UNPIV'!I270</f>
        <v>0</v>
      </c>
      <c r="I269" s="7">
        <f>'[3]M.C UNPIV'!J270</f>
        <v>0</v>
      </c>
      <c r="J269" s="7">
        <f>'[3]M.C UNPIV'!K270</f>
        <v>0</v>
      </c>
      <c r="K269" s="7">
        <f>'[3]M.C UNPIV'!L270</f>
        <v>0</v>
      </c>
      <c r="L269" s="7">
        <f>'[3]M.C UNPIV'!M270</f>
        <v>0</v>
      </c>
      <c r="M269" s="6">
        <f>'[3]M.C UNPIV'!N270</f>
        <v>0</v>
      </c>
      <c r="N269" s="5">
        <f>'[3]M.C UNPIV'!O270</f>
        <v>0</v>
      </c>
      <c r="O269" s="5">
        <f>'[3]M.C UNPIV'!P270</f>
        <v>0</v>
      </c>
    </row>
    <row r="270" spans="1:15" x14ac:dyDescent="0.25">
      <c r="A270" s="4">
        <f>'[3]M.C UNPIV'!B271</f>
        <v>0</v>
      </c>
      <c r="B270" s="5">
        <f>'[3]M.C UNPIV'!C271</f>
        <v>0</v>
      </c>
      <c r="C270" s="5">
        <f>'[3]M.C UNPIV'!D271</f>
        <v>0</v>
      </c>
      <c r="D270" s="5">
        <f>'[3]M.C UNPIV'!E271</f>
        <v>0</v>
      </c>
      <c r="E270" s="5">
        <f>'[3]M.C UNPIV'!F271</f>
        <v>0</v>
      </c>
      <c r="F270" s="5">
        <f>'[3]M.C UNPIV'!G271</f>
        <v>0</v>
      </c>
      <c r="G270" s="6">
        <f>'[3]M.C UNPIV'!H271</f>
        <v>0</v>
      </c>
      <c r="H270" s="5">
        <f>'[3]M.C UNPIV'!I271</f>
        <v>0</v>
      </c>
      <c r="I270" s="7">
        <f>'[3]M.C UNPIV'!J271</f>
        <v>0</v>
      </c>
      <c r="J270" s="7">
        <f>'[3]M.C UNPIV'!K271</f>
        <v>0</v>
      </c>
      <c r="K270" s="7">
        <f>'[3]M.C UNPIV'!L271</f>
        <v>0</v>
      </c>
      <c r="L270" s="7">
        <f>'[3]M.C UNPIV'!M271</f>
        <v>0</v>
      </c>
      <c r="M270" s="6">
        <f>'[3]M.C UNPIV'!N271</f>
        <v>0</v>
      </c>
      <c r="N270" s="5">
        <f>'[3]M.C UNPIV'!O271</f>
        <v>0</v>
      </c>
      <c r="O270" s="5">
        <f>'[3]M.C UNPIV'!P271</f>
        <v>0</v>
      </c>
    </row>
    <row r="271" spans="1:15" x14ac:dyDescent="0.25">
      <c r="A271" s="4">
        <f>'[3]M.C UNPIV'!B272</f>
        <v>0</v>
      </c>
      <c r="B271" s="5">
        <f>'[3]M.C UNPIV'!C272</f>
        <v>0</v>
      </c>
      <c r="C271" s="5">
        <f>'[3]M.C UNPIV'!D272</f>
        <v>0</v>
      </c>
      <c r="D271" s="5">
        <f>'[3]M.C UNPIV'!E272</f>
        <v>0</v>
      </c>
      <c r="E271" s="5">
        <f>'[3]M.C UNPIV'!F272</f>
        <v>0</v>
      </c>
      <c r="F271" s="5">
        <f>'[3]M.C UNPIV'!G272</f>
        <v>0</v>
      </c>
      <c r="G271" s="6">
        <f>'[3]M.C UNPIV'!H272</f>
        <v>0</v>
      </c>
      <c r="H271" s="5">
        <f>'[3]M.C UNPIV'!I272</f>
        <v>0</v>
      </c>
      <c r="I271" s="7">
        <f>'[3]M.C UNPIV'!J272</f>
        <v>0</v>
      </c>
      <c r="J271" s="7">
        <f>'[3]M.C UNPIV'!K272</f>
        <v>0</v>
      </c>
      <c r="K271" s="7">
        <f>'[3]M.C UNPIV'!L272</f>
        <v>0</v>
      </c>
      <c r="L271" s="7">
        <f>'[3]M.C UNPIV'!M272</f>
        <v>0</v>
      </c>
      <c r="M271" s="6">
        <f>'[3]M.C UNPIV'!N272</f>
        <v>0</v>
      </c>
      <c r="N271" s="5">
        <f>'[3]M.C UNPIV'!O272</f>
        <v>0</v>
      </c>
      <c r="O271" s="5">
        <f>'[3]M.C UNPIV'!P272</f>
        <v>0</v>
      </c>
    </row>
    <row r="272" spans="1:15" x14ac:dyDescent="0.25">
      <c r="A272" s="4">
        <f>'[3]M.C UNPIV'!B273</f>
        <v>0</v>
      </c>
      <c r="B272" s="5">
        <f>'[3]M.C UNPIV'!C273</f>
        <v>0</v>
      </c>
      <c r="C272" s="5">
        <f>'[3]M.C UNPIV'!D273</f>
        <v>0</v>
      </c>
      <c r="D272" s="5">
        <f>'[3]M.C UNPIV'!E273</f>
        <v>0</v>
      </c>
      <c r="E272" s="5">
        <f>'[3]M.C UNPIV'!F273</f>
        <v>0</v>
      </c>
      <c r="F272" s="5">
        <f>'[3]M.C UNPIV'!G273</f>
        <v>0</v>
      </c>
      <c r="G272" s="6">
        <f>'[3]M.C UNPIV'!H273</f>
        <v>0</v>
      </c>
      <c r="H272" s="5">
        <f>'[3]M.C UNPIV'!I273</f>
        <v>0</v>
      </c>
      <c r="I272" s="7">
        <f>'[3]M.C UNPIV'!J273</f>
        <v>0</v>
      </c>
      <c r="J272" s="7">
        <f>'[3]M.C UNPIV'!K273</f>
        <v>0</v>
      </c>
      <c r="K272" s="7">
        <f>'[3]M.C UNPIV'!L273</f>
        <v>0</v>
      </c>
      <c r="L272" s="7">
        <f>'[3]M.C UNPIV'!M273</f>
        <v>0</v>
      </c>
      <c r="M272" s="6">
        <f>'[3]M.C UNPIV'!N273</f>
        <v>0</v>
      </c>
      <c r="N272" s="5">
        <f>'[3]M.C UNPIV'!O273</f>
        <v>0</v>
      </c>
      <c r="O272" s="5">
        <f>'[3]M.C UNPIV'!P273</f>
        <v>0</v>
      </c>
    </row>
    <row r="273" spans="1:15" x14ac:dyDescent="0.25">
      <c r="A273" s="4">
        <f>'[3]M.C UNPIV'!B274</f>
        <v>0</v>
      </c>
      <c r="B273" s="5">
        <f>'[3]M.C UNPIV'!C274</f>
        <v>0</v>
      </c>
      <c r="C273" s="5">
        <f>'[3]M.C UNPIV'!D274</f>
        <v>0</v>
      </c>
      <c r="D273" s="5">
        <f>'[3]M.C UNPIV'!E274</f>
        <v>0</v>
      </c>
      <c r="E273" s="5">
        <f>'[3]M.C UNPIV'!F274</f>
        <v>0</v>
      </c>
      <c r="F273" s="5">
        <f>'[3]M.C UNPIV'!G274</f>
        <v>0</v>
      </c>
      <c r="G273" s="6">
        <f>'[3]M.C UNPIV'!H274</f>
        <v>0</v>
      </c>
      <c r="H273" s="5">
        <f>'[3]M.C UNPIV'!I274</f>
        <v>0</v>
      </c>
      <c r="I273" s="7">
        <f>'[3]M.C UNPIV'!J274</f>
        <v>0</v>
      </c>
      <c r="J273" s="7">
        <f>'[3]M.C UNPIV'!K274</f>
        <v>0</v>
      </c>
      <c r="K273" s="7">
        <f>'[3]M.C UNPIV'!L274</f>
        <v>0</v>
      </c>
      <c r="L273" s="7">
        <f>'[3]M.C UNPIV'!M274</f>
        <v>0</v>
      </c>
      <c r="M273" s="6">
        <f>'[3]M.C UNPIV'!N274</f>
        <v>0</v>
      </c>
      <c r="N273" s="5">
        <f>'[3]M.C UNPIV'!O274</f>
        <v>0</v>
      </c>
      <c r="O273" s="5">
        <f>'[3]M.C UNPIV'!P274</f>
        <v>0</v>
      </c>
    </row>
    <row r="274" spans="1:15" x14ac:dyDescent="0.25">
      <c r="A274" s="4">
        <f>'[3]M.C UNPIV'!B275</f>
        <v>0</v>
      </c>
      <c r="B274" s="5">
        <f>'[3]M.C UNPIV'!C275</f>
        <v>0</v>
      </c>
      <c r="C274" s="5">
        <f>'[3]M.C UNPIV'!D275</f>
        <v>0</v>
      </c>
      <c r="D274" s="5">
        <f>'[3]M.C UNPIV'!E275</f>
        <v>0</v>
      </c>
      <c r="E274" s="5">
        <f>'[3]M.C UNPIV'!F275</f>
        <v>0</v>
      </c>
      <c r="F274" s="5">
        <f>'[3]M.C UNPIV'!G275</f>
        <v>0</v>
      </c>
      <c r="G274" s="6">
        <f>'[3]M.C UNPIV'!H275</f>
        <v>0</v>
      </c>
      <c r="H274" s="5">
        <f>'[3]M.C UNPIV'!I275</f>
        <v>0</v>
      </c>
      <c r="I274" s="7">
        <f>'[3]M.C UNPIV'!J275</f>
        <v>0</v>
      </c>
      <c r="J274" s="7">
        <f>'[3]M.C UNPIV'!K275</f>
        <v>0</v>
      </c>
      <c r="K274" s="7">
        <f>'[3]M.C UNPIV'!L275</f>
        <v>0</v>
      </c>
      <c r="L274" s="7">
        <f>'[3]M.C UNPIV'!M275</f>
        <v>0</v>
      </c>
      <c r="M274" s="6">
        <f>'[3]M.C UNPIV'!N275</f>
        <v>0</v>
      </c>
      <c r="N274" s="5">
        <f>'[3]M.C UNPIV'!O275</f>
        <v>0</v>
      </c>
      <c r="O274" s="5">
        <f>'[3]M.C UNPIV'!P275</f>
        <v>0</v>
      </c>
    </row>
    <row r="275" spans="1:15" x14ac:dyDescent="0.25">
      <c r="A275" s="4">
        <f>'[3]M.C UNPIV'!B276</f>
        <v>0</v>
      </c>
      <c r="B275" s="5">
        <f>'[3]M.C UNPIV'!C276</f>
        <v>0</v>
      </c>
      <c r="C275" s="5">
        <f>'[3]M.C UNPIV'!D276</f>
        <v>0</v>
      </c>
      <c r="D275" s="5">
        <f>'[3]M.C UNPIV'!E276</f>
        <v>0</v>
      </c>
      <c r="E275" s="5">
        <f>'[3]M.C UNPIV'!F276</f>
        <v>0</v>
      </c>
      <c r="F275" s="5">
        <f>'[3]M.C UNPIV'!G276</f>
        <v>0</v>
      </c>
      <c r="G275" s="6">
        <f>'[3]M.C UNPIV'!H276</f>
        <v>0</v>
      </c>
      <c r="H275" s="5">
        <f>'[3]M.C UNPIV'!I276</f>
        <v>0</v>
      </c>
      <c r="I275" s="7">
        <f>'[3]M.C UNPIV'!J276</f>
        <v>0</v>
      </c>
      <c r="J275" s="7">
        <f>'[3]M.C UNPIV'!K276</f>
        <v>0</v>
      </c>
      <c r="K275" s="7">
        <f>'[3]M.C UNPIV'!L276</f>
        <v>0</v>
      </c>
      <c r="L275" s="7">
        <f>'[3]M.C UNPIV'!M276</f>
        <v>0</v>
      </c>
      <c r="M275" s="6">
        <f>'[3]M.C UNPIV'!N276</f>
        <v>0</v>
      </c>
      <c r="N275" s="5">
        <f>'[3]M.C UNPIV'!O276</f>
        <v>0</v>
      </c>
      <c r="O275" s="5">
        <f>'[3]M.C UNPIV'!P276</f>
        <v>0</v>
      </c>
    </row>
    <row r="276" spans="1:15" x14ac:dyDescent="0.25">
      <c r="A276" s="4">
        <f>'[3]M.C UNPIV'!B277</f>
        <v>0</v>
      </c>
      <c r="B276" s="5">
        <f>'[3]M.C UNPIV'!C277</f>
        <v>0</v>
      </c>
      <c r="C276" s="5">
        <f>'[3]M.C UNPIV'!D277</f>
        <v>0</v>
      </c>
      <c r="D276" s="5">
        <f>'[3]M.C UNPIV'!E277</f>
        <v>0</v>
      </c>
      <c r="E276" s="5">
        <f>'[3]M.C UNPIV'!F277</f>
        <v>0</v>
      </c>
      <c r="F276" s="5">
        <f>'[3]M.C UNPIV'!G277</f>
        <v>0</v>
      </c>
      <c r="G276" s="6">
        <f>'[3]M.C UNPIV'!H277</f>
        <v>0</v>
      </c>
      <c r="H276" s="5">
        <f>'[3]M.C UNPIV'!I277</f>
        <v>0</v>
      </c>
      <c r="I276" s="7">
        <f>'[3]M.C UNPIV'!J277</f>
        <v>0</v>
      </c>
      <c r="J276" s="7">
        <f>'[3]M.C UNPIV'!K277</f>
        <v>0</v>
      </c>
      <c r="K276" s="7">
        <f>'[3]M.C UNPIV'!L277</f>
        <v>0</v>
      </c>
      <c r="L276" s="7">
        <f>'[3]M.C UNPIV'!M277</f>
        <v>0</v>
      </c>
      <c r="M276" s="6">
        <f>'[3]M.C UNPIV'!N277</f>
        <v>0</v>
      </c>
      <c r="N276" s="5">
        <f>'[3]M.C UNPIV'!O277</f>
        <v>0</v>
      </c>
      <c r="O276" s="5">
        <f>'[3]M.C UNPIV'!P277</f>
        <v>0</v>
      </c>
    </row>
    <row r="277" spans="1:15" x14ac:dyDescent="0.25">
      <c r="A277" s="4">
        <f>'[3]M.C UNPIV'!B278</f>
        <v>0</v>
      </c>
      <c r="B277" s="5">
        <f>'[3]M.C UNPIV'!C278</f>
        <v>0</v>
      </c>
      <c r="C277" s="5">
        <f>'[3]M.C UNPIV'!D278</f>
        <v>0</v>
      </c>
      <c r="D277" s="5">
        <f>'[3]M.C UNPIV'!E278</f>
        <v>0</v>
      </c>
      <c r="E277" s="5">
        <f>'[3]M.C UNPIV'!F278</f>
        <v>0</v>
      </c>
      <c r="F277" s="5">
        <f>'[3]M.C UNPIV'!G278</f>
        <v>0</v>
      </c>
      <c r="G277" s="6">
        <f>'[3]M.C UNPIV'!H278</f>
        <v>0</v>
      </c>
      <c r="H277" s="5">
        <f>'[3]M.C UNPIV'!I278</f>
        <v>0</v>
      </c>
      <c r="I277" s="7">
        <f>'[3]M.C UNPIV'!J278</f>
        <v>0</v>
      </c>
      <c r="J277" s="7">
        <f>'[3]M.C UNPIV'!K278</f>
        <v>0</v>
      </c>
      <c r="K277" s="7">
        <f>'[3]M.C UNPIV'!L278</f>
        <v>0</v>
      </c>
      <c r="L277" s="7">
        <f>'[3]M.C UNPIV'!M278</f>
        <v>0</v>
      </c>
      <c r="M277" s="6">
        <f>'[3]M.C UNPIV'!N278</f>
        <v>0</v>
      </c>
      <c r="N277" s="5">
        <f>'[3]M.C UNPIV'!O278</f>
        <v>0</v>
      </c>
      <c r="O277" s="5">
        <f>'[3]M.C UNPIV'!P278</f>
        <v>0</v>
      </c>
    </row>
    <row r="278" spans="1:15" x14ac:dyDescent="0.25">
      <c r="A278" s="4">
        <f>'[3]M.C UNPIV'!B279</f>
        <v>0</v>
      </c>
      <c r="B278" s="5">
        <f>'[3]M.C UNPIV'!C279</f>
        <v>0</v>
      </c>
      <c r="C278" s="5">
        <f>'[3]M.C UNPIV'!D279</f>
        <v>0</v>
      </c>
      <c r="D278" s="5">
        <f>'[3]M.C UNPIV'!E279</f>
        <v>0</v>
      </c>
      <c r="E278" s="5">
        <f>'[3]M.C UNPIV'!F279</f>
        <v>0</v>
      </c>
      <c r="F278" s="5">
        <f>'[3]M.C UNPIV'!G279</f>
        <v>0</v>
      </c>
      <c r="G278" s="6">
        <f>'[3]M.C UNPIV'!H279</f>
        <v>0</v>
      </c>
      <c r="H278" s="5">
        <f>'[3]M.C UNPIV'!I279</f>
        <v>0</v>
      </c>
      <c r="I278" s="7">
        <f>'[3]M.C UNPIV'!J279</f>
        <v>0</v>
      </c>
      <c r="J278" s="7">
        <f>'[3]M.C UNPIV'!K279</f>
        <v>0</v>
      </c>
      <c r="K278" s="7">
        <f>'[3]M.C UNPIV'!L279</f>
        <v>0</v>
      </c>
      <c r="L278" s="7">
        <f>'[3]M.C UNPIV'!M279</f>
        <v>0</v>
      </c>
      <c r="M278" s="6">
        <f>'[3]M.C UNPIV'!N279</f>
        <v>0</v>
      </c>
      <c r="N278" s="5">
        <f>'[3]M.C UNPIV'!O279</f>
        <v>0</v>
      </c>
      <c r="O278" s="5">
        <f>'[3]M.C UNPIV'!P279</f>
        <v>0</v>
      </c>
    </row>
    <row r="279" spans="1:15" x14ac:dyDescent="0.25">
      <c r="A279" s="4">
        <f>'[3]M.C UNPIV'!B280</f>
        <v>0</v>
      </c>
      <c r="B279" s="5">
        <f>'[3]M.C UNPIV'!C280</f>
        <v>0</v>
      </c>
      <c r="C279" s="5">
        <f>'[3]M.C UNPIV'!D280</f>
        <v>0</v>
      </c>
      <c r="D279" s="5">
        <f>'[3]M.C UNPIV'!E280</f>
        <v>0</v>
      </c>
      <c r="E279" s="5">
        <f>'[3]M.C UNPIV'!F280</f>
        <v>0</v>
      </c>
      <c r="F279" s="5">
        <f>'[3]M.C UNPIV'!G280</f>
        <v>0</v>
      </c>
      <c r="G279" s="6">
        <f>'[3]M.C UNPIV'!H280</f>
        <v>0</v>
      </c>
      <c r="H279" s="5">
        <f>'[3]M.C UNPIV'!I280</f>
        <v>0</v>
      </c>
      <c r="I279" s="7">
        <f>'[3]M.C UNPIV'!J280</f>
        <v>0</v>
      </c>
      <c r="J279" s="7">
        <f>'[3]M.C UNPIV'!K280</f>
        <v>0</v>
      </c>
      <c r="K279" s="7">
        <f>'[3]M.C UNPIV'!L280</f>
        <v>0</v>
      </c>
      <c r="L279" s="7">
        <f>'[3]M.C UNPIV'!M280</f>
        <v>0</v>
      </c>
      <c r="M279" s="6">
        <f>'[3]M.C UNPIV'!N280</f>
        <v>0</v>
      </c>
      <c r="N279" s="5">
        <f>'[3]M.C UNPIV'!O280</f>
        <v>0</v>
      </c>
      <c r="O279" s="5">
        <f>'[3]M.C UNPIV'!P280</f>
        <v>0</v>
      </c>
    </row>
    <row r="280" spans="1:15" x14ac:dyDescent="0.25">
      <c r="A280" s="4">
        <f>'[3]M.C UNPIV'!B281</f>
        <v>0</v>
      </c>
      <c r="B280" s="5">
        <f>'[3]M.C UNPIV'!C281</f>
        <v>0</v>
      </c>
      <c r="C280" s="5">
        <f>'[3]M.C UNPIV'!D281</f>
        <v>0</v>
      </c>
      <c r="D280" s="5">
        <f>'[3]M.C UNPIV'!E281</f>
        <v>0</v>
      </c>
      <c r="E280" s="5">
        <f>'[3]M.C UNPIV'!F281</f>
        <v>0</v>
      </c>
      <c r="F280" s="5">
        <f>'[3]M.C UNPIV'!G281</f>
        <v>0</v>
      </c>
      <c r="G280" s="6">
        <f>'[3]M.C UNPIV'!H281</f>
        <v>0</v>
      </c>
      <c r="H280" s="5">
        <f>'[3]M.C UNPIV'!I281</f>
        <v>0</v>
      </c>
      <c r="I280" s="7">
        <f>'[3]M.C UNPIV'!J281</f>
        <v>0</v>
      </c>
      <c r="J280" s="7">
        <f>'[3]M.C UNPIV'!K281</f>
        <v>0</v>
      </c>
      <c r="K280" s="7">
        <f>'[3]M.C UNPIV'!L281</f>
        <v>0</v>
      </c>
      <c r="L280" s="7">
        <f>'[3]M.C UNPIV'!M281</f>
        <v>0</v>
      </c>
      <c r="M280" s="6">
        <f>'[3]M.C UNPIV'!N281</f>
        <v>0</v>
      </c>
      <c r="N280" s="5">
        <f>'[3]M.C UNPIV'!O281</f>
        <v>0</v>
      </c>
      <c r="O280" s="5">
        <f>'[3]M.C UNPIV'!P281</f>
        <v>0</v>
      </c>
    </row>
    <row r="281" spans="1:15" x14ac:dyDescent="0.25">
      <c r="A281" s="4">
        <f>'[3]M.C UNPIV'!B282</f>
        <v>0</v>
      </c>
      <c r="B281" s="5">
        <f>'[3]M.C UNPIV'!C282</f>
        <v>0</v>
      </c>
      <c r="C281" s="5">
        <f>'[3]M.C UNPIV'!D282</f>
        <v>0</v>
      </c>
      <c r="D281" s="5">
        <f>'[3]M.C UNPIV'!E282</f>
        <v>0</v>
      </c>
      <c r="E281" s="5">
        <f>'[3]M.C UNPIV'!F282</f>
        <v>0</v>
      </c>
      <c r="F281" s="5">
        <f>'[3]M.C UNPIV'!G282</f>
        <v>0</v>
      </c>
      <c r="G281" s="6">
        <f>'[3]M.C UNPIV'!H282</f>
        <v>0</v>
      </c>
      <c r="H281" s="5">
        <f>'[3]M.C UNPIV'!I282</f>
        <v>0</v>
      </c>
      <c r="I281" s="7">
        <f>'[3]M.C UNPIV'!J282</f>
        <v>0</v>
      </c>
      <c r="J281" s="7">
        <f>'[3]M.C UNPIV'!K282</f>
        <v>0</v>
      </c>
      <c r="K281" s="7">
        <f>'[3]M.C UNPIV'!L282</f>
        <v>0</v>
      </c>
      <c r="L281" s="7">
        <f>'[3]M.C UNPIV'!M282</f>
        <v>0</v>
      </c>
      <c r="M281" s="6">
        <f>'[3]M.C UNPIV'!N282</f>
        <v>0</v>
      </c>
      <c r="N281" s="5">
        <f>'[3]M.C UNPIV'!O282</f>
        <v>0</v>
      </c>
      <c r="O281" s="5">
        <f>'[3]M.C UNPIV'!P282</f>
        <v>0</v>
      </c>
    </row>
    <row r="282" spans="1:15" x14ac:dyDescent="0.25">
      <c r="A282" s="4">
        <f>'[3]M.C UNPIV'!B283</f>
        <v>0</v>
      </c>
      <c r="B282" s="5">
        <f>'[3]M.C UNPIV'!C283</f>
        <v>0</v>
      </c>
      <c r="C282" s="5">
        <f>'[3]M.C UNPIV'!D283</f>
        <v>0</v>
      </c>
      <c r="D282" s="5">
        <f>'[3]M.C UNPIV'!E283</f>
        <v>0</v>
      </c>
      <c r="E282" s="5">
        <f>'[3]M.C UNPIV'!F283</f>
        <v>0</v>
      </c>
      <c r="F282" s="5">
        <f>'[3]M.C UNPIV'!G283</f>
        <v>0</v>
      </c>
      <c r="G282" s="6">
        <f>'[3]M.C UNPIV'!H283</f>
        <v>0</v>
      </c>
      <c r="H282" s="5">
        <f>'[3]M.C UNPIV'!I283</f>
        <v>0</v>
      </c>
      <c r="I282" s="7">
        <f>'[3]M.C UNPIV'!J283</f>
        <v>0</v>
      </c>
      <c r="J282" s="7">
        <f>'[3]M.C UNPIV'!K283</f>
        <v>0</v>
      </c>
      <c r="K282" s="7">
        <f>'[3]M.C UNPIV'!L283</f>
        <v>0</v>
      </c>
      <c r="L282" s="7">
        <f>'[3]M.C UNPIV'!M283</f>
        <v>0</v>
      </c>
      <c r="M282" s="6">
        <f>'[3]M.C UNPIV'!N283</f>
        <v>0</v>
      </c>
      <c r="N282" s="5">
        <f>'[3]M.C UNPIV'!O283</f>
        <v>0</v>
      </c>
      <c r="O282" s="5">
        <f>'[3]M.C UNPIV'!P283</f>
        <v>0</v>
      </c>
    </row>
    <row r="283" spans="1:15" x14ac:dyDescent="0.25">
      <c r="A283" s="4">
        <f>'[3]M.C UNPIV'!B284</f>
        <v>0</v>
      </c>
      <c r="B283" s="5">
        <f>'[3]M.C UNPIV'!C284</f>
        <v>0</v>
      </c>
      <c r="C283" s="5">
        <f>'[3]M.C UNPIV'!D284</f>
        <v>0</v>
      </c>
      <c r="D283" s="5">
        <f>'[3]M.C UNPIV'!E284</f>
        <v>0</v>
      </c>
      <c r="E283" s="5">
        <f>'[3]M.C UNPIV'!F284</f>
        <v>0</v>
      </c>
      <c r="F283" s="5">
        <f>'[3]M.C UNPIV'!G284</f>
        <v>0</v>
      </c>
      <c r="G283" s="6">
        <f>'[3]M.C UNPIV'!H284</f>
        <v>0</v>
      </c>
      <c r="H283" s="5">
        <f>'[3]M.C UNPIV'!I284</f>
        <v>0</v>
      </c>
      <c r="I283" s="7">
        <f>'[3]M.C UNPIV'!J284</f>
        <v>0</v>
      </c>
      <c r="J283" s="7">
        <f>'[3]M.C UNPIV'!K284</f>
        <v>0</v>
      </c>
      <c r="K283" s="7">
        <f>'[3]M.C UNPIV'!L284</f>
        <v>0</v>
      </c>
      <c r="L283" s="7">
        <f>'[3]M.C UNPIV'!M284</f>
        <v>0</v>
      </c>
      <c r="M283" s="6">
        <f>'[3]M.C UNPIV'!N284</f>
        <v>0</v>
      </c>
      <c r="N283" s="5">
        <f>'[3]M.C UNPIV'!O284</f>
        <v>0</v>
      </c>
      <c r="O283" s="5">
        <f>'[3]M.C UNPIV'!P284</f>
        <v>0</v>
      </c>
    </row>
    <row r="284" spans="1:15" x14ac:dyDescent="0.25">
      <c r="A284" s="4">
        <f>'[3]M.C UNPIV'!B285</f>
        <v>0</v>
      </c>
      <c r="B284" s="5">
        <f>'[3]M.C UNPIV'!C285</f>
        <v>0</v>
      </c>
      <c r="C284" s="5">
        <f>'[3]M.C UNPIV'!D285</f>
        <v>0</v>
      </c>
      <c r="D284" s="5">
        <f>'[3]M.C UNPIV'!E285</f>
        <v>0</v>
      </c>
      <c r="E284" s="5">
        <f>'[3]M.C UNPIV'!F285</f>
        <v>0</v>
      </c>
      <c r="F284" s="5">
        <f>'[3]M.C UNPIV'!G285</f>
        <v>0</v>
      </c>
      <c r="G284" s="6">
        <f>'[3]M.C UNPIV'!H285</f>
        <v>0</v>
      </c>
      <c r="H284" s="5">
        <f>'[3]M.C UNPIV'!I285</f>
        <v>0</v>
      </c>
      <c r="I284" s="7">
        <f>'[3]M.C UNPIV'!J285</f>
        <v>0</v>
      </c>
      <c r="J284" s="7">
        <f>'[3]M.C UNPIV'!K285</f>
        <v>0</v>
      </c>
      <c r="K284" s="7">
        <f>'[3]M.C UNPIV'!L285</f>
        <v>0</v>
      </c>
      <c r="L284" s="7">
        <f>'[3]M.C UNPIV'!M285</f>
        <v>0</v>
      </c>
      <c r="M284" s="6">
        <f>'[3]M.C UNPIV'!N285</f>
        <v>0</v>
      </c>
      <c r="N284" s="5">
        <f>'[3]M.C UNPIV'!O285</f>
        <v>0</v>
      </c>
      <c r="O284" s="5">
        <f>'[3]M.C UNPIV'!P285</f>
        <v>0</v>
      </c>
    </row>
    <row r="285" spans="1:15" x14ac:dyDescent="0.25">
      <c r="A285" s="4">
        <f>'[3]M.C UNPIV'!B286</f>
        <v>0</v>
      </c>
      <c r="B285" s="5">
        <f>'[3]M.C UNPIV'!C286</f>
        <v>0</v>
      </c>
      <c r="C285" s="5">
        <f>'[3]M.C UNPIV'!D286</f>
        <v>0</v>
      </c>
      <c r="D285" s="5">
        <f>'[3]M.C UNPIV'!E286</f>
        <v>0</v>
      </c>
      <c r="E285" s="5">
        <f>'[3]M.C UNPIV'!F286</f>
        <v>0</v>
      </c>
      <c r="F285" s="5">
        <f>'[3]M.C UNPIV'!G286</f>
        <v>0</v>
      </c>
      <c r="G285" s="6">
        <f>'[3]M.C UNPIV'!H286</f>
        <v>0</v>
      </c>
      <c r="H285" s="5">
        <f>'[3]M.C UNPIV'!I286</f>
        <v>0</v>
      </c>
      <c r="I285" s="7">
        <f>'[3]M.C UNPIV'!J286</f>
        <v>0</v>
      </c>
      <c r="J285" s="7">
        <f>'[3]M.C UNPIV'!K286</f>
        <v>0</v>
      </c>
      <c r="K285" s="7">
        <f>'[3]M.C UNPIV'!L286</f>
        <v>0</v>
      </c>
      <c r="L285" s="7">
        <f>'[3]M.C UNPIV'!M286</f>
        <v>0</v>
      </c>
      <c r="M285" s="6">
        <f>'[3]M.C UNPIV'!N286</f>
        <v>0</v>
      </c>
      <c r="N285" s="5">
        <f>'[3]M.C UNPIV'!O286</f>
        <v>0</v>
      </c>
      <c r="O285" s="5">
        <f>'[3]M.C UNPIV'!P286</f>
        <v>0</v>
      </c>
    </row>
    <row r="286" spans="1:15" x14ac:dyDescent="0.25">
      <c r="A286" s="4">
        <f>'[3]M.C UNPIV'!B287</f>
        <v>0</v>
      </c>
      <c r="B286" s="5">
        <f>'[3]M.C UNPIV'!C287</f>
        <v>0</v>
      </c>
      <c r="C286" s="5">
        <f>'[3]M.C UNPIV'!D287</f>
        <v>0</v>
      </c>
      <c r="D286" s="5">
        <f>'[3]M.C UNPIV'!E287</f>
        <v>0</v>
      </c>
      <c r="E286" s="5">
        <f>'[3]M.C UNPIV'!F287</f>
        <v>0</v>
      </c>
      <c r="F286" s="5">
        <f>'[3]M.C UNPIV'!G287</f>
        <v>0</v>
      </c>
      <c r="G286" s="6">
        <f>'[3]M.C UNPIV'!H287</f>
        <v>0</v>
      </c>
      <c r="H286" s="5">
        <f>'[3]M.C UNPIV'!I287</f>
        <v>0</v>
      </c>
      <c r="I286" s="7">
        <f>'[3]M.C UNPIV'!J287</f>
        <v>0</v>
      </c>
      <c r="J286" s="7">
        <f>'[3]M.C UNPIV'!K287</f>
        <v>0</v>
      </c>
      <c r="K286" s="7">
        <f>'[3]M.C UNPIV'!L287</f>
        <v>0</v>
      </c>
      <c r="L286" s="7">
        <f>'[3]M.C UNPIV'!M287</f>
        <v>0</v>
      </c>
      <c r="M286" s="6">
        <f>'[3]M.C UNPIV'!N287</f>
        <v>0</v>
      </c>
      <c r="N286" s="5">
        <f>'[3]M.C UNPIV'!O287</f>
        <v>0</v>
      </c>
      <c r="O286" s="5">
        <f>'[3]M.C UNPIV'!P287</f>
        <v>0</v>
      </c>
    </row>
    <row r="287" spans="1:15" x14ac:dyDescent="0.25">
      <c r="A287" s="4">
        <f>'[3]M.C UNPIV'!B288</f>
        <v>0</v>
      </c>
      <c r="B287" s="5">
        <f>'[3]M.C UNPIV'!C288</f>
        <v>0</v>
      </c>
      <c r="C287" s="5">
        <f>'[3]M.C UNPIV'!D288</f>
        <v>0</v>
      </c>
      <c r="D287" s="5">
        <f>'[3]M.C UNPIV'!E288</f>
        <v>0</v>
      </c>
      <c r="E287" s="5">
        <f>'[3]M.C UNPIV'!F288</f>
        <v>0</v>
      </c>
      <c r="F287" s="5">
        <f>'[3]M.C UNPIV'!G288</f>
        <v>0</v>
      </c>
      <c r="G287" s="6">
        <f>'[3]M.C UNPIV'!H288</f>
        <v>0</v>
      </c>
      <c r="H287" s="5">
        <f>'[3]M.C UNPIV'!I288</f>
        <v>0</v>
      </c>
      <c r="I287" s="7">
        <f>'[3]M.C UNPIV'!J288</f>
        <v>0</v>
      </c>
      <c r="J287" s="7">
        <f>'[3]M.C UNPIV'!K288</f>
        <v>0</v>
      </c>
      <c r="K287" s="7">
        <f>'[3]M.C UNPIV'!L288</f>
        <v>0</v>
      </c>
      <c r="L287" s="7">
        <f>'[3]M.C UNPIV'!M288</f>
        <v>0</v>
      </c>
      <c r="M287" s="6">
        <f>'[3]M.C UNPIV'!N288</f>
        <v>0</v>
      </c>
      <c r="N287" s="5">
        <f>'[3]M.C UNPIV'!O288</f>
        <v>0</v>
      </c>
      <c r="O287" s="5">
        <f>'[3]M.C UNPIV'!P288</f>
        <v>0</v>
      </c>
    </row>
    <row r="288" spans="1:15" x14ac:dyDescent="0.25">
      <c r="A288" s="4">
        <f>'[3]M.C UNPIV'!B289</f>
        <v>0</v>
      </c>
      <c r="B288" s="5">
        <f>'[3]M.C UNPIV'!C289</f>
        <v>0</v>
      </c>
      <c r="C288" s="5">
        <f>'[3]M.C UNPIV'!D289</f>
        <v>0</v>
      </c>
      <c r="D288" s="5">
        <f>'[3]M.C UNPIV'!E289</f>
        <v>0</v>
      </c>
      <c r="E288" s="5">
        <f>'[3]M.C UNPIV'!F289</f>
        <v>0</v>
      </c>
      <c r="F288" s="5">
        <f>'[3]M.C UNPIV'!G289</f>
        <v>0</v>
      </c>
      <c r="G288" s="6">
        <f>'[3]M.C UNPIV'!H289</f>
        <v>0</v>
      </c>
      <c r="H288" s="5">
        <f>'[3]M.C UNPIV'!I289</f>
        <v>0</v>
      </c>
      <c r="I288" s="7">
        <f>'[3]M.C UNPIV'!J289</f>
        <v>0</v>
      </c>
      <c r="J288" s="7">
        <f>'[3]M.C UNPIV'!K289</f>
        <v>0</v>
      </c>
      <c r="K288" s="7">
        <f>'[3]M.C UNPIV'!L289</f>
        <v>0</v>
      </c>
      <c r="L288" s="7">
        <f>'[3]M.C UNPIV'!M289</f>
        <v>0</v>
      </c>
      <c r="M288" s="6">
        <f>'[3]M.C UNPIV'!N289</f>
        <v>0</v>
      </c>
      <c r="N288" s="5">
        <f>'[3]M.C UNPIV'!O289</f>
        <v>0</v>
      </c>
      <c r="O288" s="5">
        <f>'[3]M.C UNPIV'!P289</f>
        <v>0</v>
      </c>
    </row>
    <row r="289" spans="1:15" x14ac:dyDescent="0.25">
      <c r="A289" s="4">
        <f>'[3]M.C UNPIV'!B290</f>
        <v>0</v>
      </c>
      <c r="B289" s="5">
        <f>'[3]M.C UNPIV'!C290</f>
        <v>0</v>
      </c>
      <c r="C289" s="5">
        <f>'[3]M.C UNPIV'!D290</f>
        <v>0</v>
      </c>
      <c r="D289" s="5">
        <f>'[3]M.C UNPIV'!E290</f>
        <v>0</v>
      </c>
      <c r="E289" s="5">
        <f>'[3]M.C UNPIV'!F290</f>
        <v>0</v>
      </c>
      <c r="F289" s="5">
        <f>'[3]M.C UNPIV'!G290</f>
        <v>0</v>
      </c>
      <c r="G289" s="6">
        <f>'[3]M.C UNPIV'!H290</f>
        <v>0</v>
      </c>
      <c r="H289" s="5">
        <f>'[3]M.C UNPIV'!I290</f>
        <v>0</v>
      </c>
      <c r="I289" s="7">
        <f>'[3]M.C UNPIV'!J290</f>
        <v>0</v>
      </c>
      <c r="J289" s="7">
        <f>'[3]M.C UNPIV'!K290</f>
        <v>0</v>
      </c>
      <c r="K289" s="7">
        <f>'[3]M.C UNPIV'!L290</f>
        <v>0</v>
      </c>
      <c r="L289" s="7">
        <f>'[3]M.C UNPIV'!M290</f>
        <v>0</v>
      </c>
      <c r="M289" s="6">
        <f>'[3]M.C UNPIV'!N290</f>
        <v>0</v>
      </c>
      <c r="N289" s="5">
        <f>'[3]M.C UNPIV'!O290</f>
        <v>0</v>
      </c>
      <c r="O289" s="5">
        <f>'[3]M.C UNPIV'!P290</f>
        <v>0</v>
      </c>
    </row>
    <row r="290" spans="1:15" x14ac:dyDescent="0.25">
      <c r="A290" s="4">
        <f>'[3]M.C UNPIV'!B291</f>
        <v>0</v>
      </c>
      <c r="B290" s="5">
        <f>'[3]M.C UNPIV'!C291</f>
        <v>0</v>
      </c>
      <c r="C290" s="5">
        <f>'[3]M.C UNPIV'!D291</f>
        <v>0</v>
      </c>
      <c r="D290" s="5">
        <f>'[3]M.C UNPIV'!E291</f>
        <v>0</v>
      </c>
      <c r="E290" s="5">
        <f>'[3]M.C UNPIV'!F291</f>
        <v>0</v>
      </c>
      <c r="F290" s="5">
        <f>'[3]M.C UNPIV'!G291</f>
        <v>0</v>
      </c>
      <c r="G290" s="6">
        <f>'[3]M.C UNPIV'!H291</f>
        <v>0</v>
      </c>
      <c r="H290" s="5">
        <f>'[3]M.C UNPIV'!I291</f>
        <v>0</v>
      </c>
      <c r="I290" s="7">
        <f>'[3]M.C UNPIV'!J291</f>
        <v>0</v>
      </c>
      <c r="J290" s="7">
        <f>'[3]M.C UNPIV'!K291</f>
        <v>0</v>
      </c>
      <c r="K290" s="7">
        <f>'[3]M.C UNPIV'!L291</f>
        <v>0</v>
      </c>
      <c r="L290" s="7">
        <f>'[3]M.C UNPIV'!M291</f>
        <v>0</v>
      </c>
      <c r="M290" s="6">
        <f>'[3]M.C UNPIV'!N291</f>
        <v>0</v>
      </c>
      <c r="N290" s="5">
        <f>'[3]M.C UNPIV'!O291</f>
        <v>0</v>
      </c>
      <c r="O290" s="5">
        <f>'[3]M.C UNPIV'!P291</f>
        <v>0</v>
      </c>
    </row>
    <row r="291" spans="1:15" x14ac:dyDescent="0.25">
      <c r="A291" s="4">
        <f>'[3]M.C UNPIV'!B292</f>
        <v>0</v>
      </c>
      <c r="B291" s="5">
        <f>'[3]M.C UNPIV'!C292</f>
        <v>0</v>
      </c>
      <c r="C291" s="5">
        <f>'[3]M.C UNPIV'!D292</f>
        <v>0</v>
      </c>
      <c r="D291" s="5">
        <f>'[3]M.C UNPIV'!E292</f>
        <v>0</v>
      </c>
      <c r="E291" s="5">
        <f>'[3]M.C UNPIV'!F292</f>
        <v>0</v>
      </c>
      <c r="F291" s="5">
        <f>'[3]M.C UNPIV'!G292</f>
        <v>0</v>
      </c>
      <c r="G291" s="6">
        <f>'[3]M.C UNPIV'!H292</f>
        <v>0</v>
      </c>
      <c r="H291" s="5">
        <f>'[3]M.C UNPIV'!I292</f>
        <v>0</v>
      </c>
      <c r="I291" s="7">
        <f>'[3]M.C UNPIV'!J292</f>
        <v>0</v>
      </c>
      <c r="J291" s="7">
        <f>'[3]M.C UNPIV'!K292</f>
        <v>0</v>
      </c>
      <c r="K291" s="7">
        <f>'[3]M.C UNPIV'!L292</f>
        <v>0</v>
      </c>
      <c r="L291" s="7">
        <f>'[3]M.C UNPIV'!M292</f>
        <v>0</v>
      </c>
      <c r="M291" s="6">
        <f>'[3]M.C UNPIV'!N292</f>
        <v>0</v>
      </c>
      <c r="N291" s="5">
        <f>'[3]M.C UNPIV'!O292</f>
        <v>0</v>
      </c>
      <c r="O291" s="5">
        <f>'[3]M.C UNPIV'!P292</f>
        <v>0</v>
      </c>
    </row>
    <row r="292" spans="1:15" x14ac:dyDescent="0.25">
      <c r="A292" s="4">
        <f>'[3]M.C UNPIV'!B293</f>
        <v>0</v>
      </c>
      <c r="B292" s="5">
        <f>'[3]M.C UNPIV'!C293</f>
        <v>0</v>
      </c>
      <c r="C292" s="5">
        <f>'[3]M.C UNPIV'!D293</f>
        <v>0</v>
      </c>
      <c r="D292" s="5">
        <f>'[3]M.C UNPIV'!E293</f>
        <v>0</v>
      </c>
      <c r="E292" s="5">
        <f>'[3]M.C UNPIV'!F293</f>
        <v>0</v>
      </c>
      <c r="F292" s="5">
        <f>'[3]M.C UNPIV'!G293</f>
        <v>0</v>
      </c>
      <c r="G292" s="6">
        <f>'[3]M.C UNPIV'!H293</f>
        <v>0</v>
      </c>
      <c r="H292" s="5">
        <f>'[3]M.C UNPIV'!I293</f>
        <v>0</v>
      </c>
      <c r="I292" s="7">
        <f>'[3]M.C UNPIV'!J293</f>
        <v>0</v>
      </c>
      <c r="J292" s="7">
        <f>'[3]M.C UNPIV'!K293</f>
        <v>0</v>
      </c>
      <c r="K292" s="7">
        <f>'[3]M.C UNPIV'!L293</f>
        <v>0</v>
      </c>
      <c r="L292" s="7">
        <f>'[3]M.C UNPIV'!M293</f>
        <v>0</v>
      </c>
      <c r="M292" s="6">
        <f>'[3]M.C UNPIV'!N293</f>
        <v>0</v>
      </c>
      <c r="N292" s="5">
        <f>'[3]M.C UNPIV'!O293</f>
        <v>0</v>
      </c>
      <c r="O292" s="5">
        <f>'[3]M.C UNPIV'!P293</f>
        <v>0</v>
      </c>
    </row>
    <row r="293" spans="1:15" x14ac:dyDescent="0.25">
      <c r="A293" s="4">
        <f>'[3]M.C UNPIV'!B294</f>
        <v>0</v>
      </c>
      <c r="B293" s="5">
        <f>'[3]M.C UNPIV'!C294</f>
        <v>0</v>
      </c>
      <c r="C293" s="5">
        <f>'[3]M.C UNPIV'!D294</f>
        <v>0</v>
      </c>
      <c r="D293" s="5">
        <f>'[3]M.C UNPIV'!E294</f>
        <v>0</v>
      </c>
      <c r="E293" s="5">
        <f>'[3]M.C UNPIV'!F294</f>
        <v>0</v>
      </c>
      <c r="F293" s="5">
        <f>'[3]M.C UNPIV'!G294</f>
        <v>0</v>
      </c>
      <c r="G293" s="6">
        <f>'[3]M.C UNPIV'!H294</f>
        <v>0</v>
      </c>
      <c r="H293" s="5">
        <f>'[3]M.C UNPIV'!I294</f>
        <v>0</v>
      </c>
      <c r="I293" s="7">
        <f>'[3]M.C UNPIV'!J294</f>
        <v>0</v>
      </c>
      <c r="J293" s="7">
        <f>'[3]M.C UNPIV'!K294</f>
        <v>0</v>
      </c>
      <c r="K293" s="7">
        <f>'[3]M.C UNPIV'!L294</f>
        <v>0</v>
      </c>
      <c r="L293" s="7">
        <f>'[3]M.C UNPIV'!M294</f>
        <v>0</v>
      </c>
      <c r="M293" s="6">
        <f>'[3]M.C UNPIV'!N294</f>
        <v>0</v>
      </c>
      <c r="N293" s="5">
        <f>'[3]M.C UNPIV'!O294</f>
        <v>0</v>
      </c>
      <c r="O293" s="5">
        <f>'[3]M.C UNPIV'!P294</f>
        <v>0</v>
      </c>
    </row>
    <row r="294" spans="1:15" x14ac:dyDescent="0.25">
      <c r="A294" s="4">
        <f>'[3]M.C UNPIV'!B295</f>
        <v>0</v>
      </c>
      <c r="B294" s="5">
        <f>'[3]M.C UNPIV'!C295</f>
        <v>0</v>
      </c>
      <c r="C294" s="5">
        <f>'[3]M.C UNPIV'!D295</f>
        <v>0</v>
      </c>
      <c r="D294" s="5">
        <f>'[3]M.C UNPIV'!E295</f>
        <v>0</v>
      </c>
      <c r="E294" s="5">
        <f>'[3]M.C UNPIV'!F295</f>
        <v>0</v>
      </c>
      <c r="F294" s="5">
        <f>'[3]M.C UNPIV'!G295</f>
        <v>0</v>
      </c>
      <c r="G294" s="6">
        <f>'[3]M.C UNPIV'!H295</f>
        <v>0</v>
      </c>
      <c r="H294" s="5">
        <f>'[3]M.C UNPIV'!I295</f>
        <v>0</v>
      </c>
      <c r="I294" s="7">
        <f>'[3]M.C UNPIV'!J295</f>
        <v>0</v>
      </c>
      <c r="J294" s="7">
        <f>'[3]M.C UNPIV'!K295</f>
        <v>0</v>
      </c>
      <c r="K294" s="7">
        <f>'[3]M.C UNPIV'!L295</f>
        <v>0</v>
      </c>
      <c r="L294" s="7">
        <f>'[3]M.C UNPIV'!M295</f>
        <v>0</v>
      </c>
      <c r="M294" s="6">
        <f>'[3]M.C UNPIV'!N295</f>
        <v>0</v>
      </c>
      <c r="N294" s="5">
        <f>'[3]M.C UNPIV'!O295</f>
        <v>0</v>
      </c>
      <c r="O294" s="5">
        <f>'[3]M.C UNPIV'!P295</f>
        <v>0</v>
      </c>
    </row>
    <row r="295" spans="1:15" x14ac:dyDescent="0.25">
      <c r="A295" s="4">
        <f>'[3]M.C UNPIV'!B296</f>
        <v>0</v>
      </c>
      <c r="B295" s="5">
        <f>'[3]M.C UNPIV'!C296</f>
        <v>0</v>
      </c>
      <c r="C295" s="5">
        <f>'[3]M.C UNPIV'!D296</f>
        <v>0</v>
      </c>
      <c r="D295" s="5">
        <f>'[3]M.C UNPIV'!E296</f>
        <v>0</v>
      </c>
      <c r="E295" s="5">
        <f>'[3]M.C UNPIV'!F296</f>
        <v>0</v>
      </c>
      <c r="F295" s="5">
        <f>'[3]M.C UNPIV'!G296</f>
        <v>0</v>
      </c>
      <c r="G295" s="6">
        <f>'[3]M.C UNPIV'!H296</f>
        <v>0</v>
      </c>
      <c r="H295" s="5">
        <f>'[3]M.C UNPIV'!I296</f>
        <v>0</v>
      </c>
      <c r="I295" s="7">
        <f>'[3]M.C UNPIV'!J296</f>
        <v>0</v>
      </c>
      <c r="J295" s="7">
        <f>'[3]M.C UNPIV'!K296</f>
        <v>0</v>
      </c>
      <c r="K295" s="7">
        <f>'[3]M.C UNPIV'!L296</f>
        <v>0</v>
      </c>
      <c r="L295" s="7">
        <f>'[3]M.C UNPIV'!M296</f>
        <v>0</v>
      </c>
      <c r="M295" s="6">
        <f>'[3]M.C UNPIV'!N296</f>
        <v>0</v>
      </c>
      <c r="N295" s="5">
        <f>'[3]M.C UNPIV'!O296</f>
        <v>0</v>
      </c>
      <c r="O295" s="5">
        <f>'[3]M.C UNPIV'!P296</f>
        <v>0</v>
      </c>
    </row>
    <row r="296" spans="1:15" x14ac:dyDescent="0.25">
      <c r="A296" s="4">
        <f>'[3]M.C UNPIV'!B297</f>
        <v>0</v>
      </c>
      <c r="B296" s="5">
        <f>'[3]M.C UNPIV'!C297</f>
        <v>0</v>
      </c>
      <c r="C296" s="5">
        <f>'[3]M.C UNPIV'!D297</f>
        <v>0</v>
      </c>
      <c r="D296" s="5">
        <f>'[3]M.C UNPIV'!E297</f>
        <v>0</v>
      </c>
      <c r="E296" s="5">
        <f>'[3]M.C UNPIV'!F297</f>
        <v>0</v>
      </c>
      <c r="F296" s="5">
        <f>'[3]M.C UNPIV'!G297</f>
        <v>0</v>
      </c>
      <c r="G296" s="6">
        <f>'[3]M.C UNPIV'!H297</f>
        <v>0</v>
      </c>
      <c r="H296" s="5">
        <f>'[3]M.C UNPIV'!I297</f>
        <v>0</v>
      </c>
      <c r="I296" s="7">
        <f>'[3]M.C UNPIV'!J297</f>
        <v>0</v>
      </c>
      <c r="J296" s="7">
        <f>'[3]M.C UNPIV'!K297</f>
        <v>0</v>
      </c>
      <c r="K296" s="7">
        <f>'[3]M.C UNPIV'!L297</f>
        <v>0</v>
      </c>
      <c r="L296" s="7">
        <f>'[3]M.C UNPIV'!M297</f>
        <v>0</v>
      </c>
      <c r="M296" s="6">
        <f>'[3]M.C UNPIV'!N297</f>
        <v>0</v>
      </c>
      <c r="N296" s="5">
        <f>'[3]M.C UNPIV'!O297</f>
        <v>0</v>
      </c>
      <c r="O296" s="5">
        <f>'[3]M.C UNPIV'!P297</f>
        <v>0</v>
      </c>
    </row>
    <row r="297" spans="1:15" x14ac:dyDescent="0.25">
      <c r="A297" s="4">
        <f>'[3]M.C UNPIV'!B298</f>
        <v>0</v>
      </c>
      <c r="B297" s="5">
        <f>'[3]M.C UNPIV'!C298</f>
        <v>0</v>
      </c>
      <c r="C297" s="5">
        <f>'[3]M.C UNPIV'!D298</f>
        <v>0</v>
      </c>
      <c r="D297" s="5">
        <f>'[3]M.C UNPIV'!E298</f>
        <v>0</v>
      </c>
      <c r="E297" s="5">
        <f>'[3]M.C UNPIV'!F298</f>
        <v>0</v>
      </c>
      <c r="F297" s="5">
        <f>'[3]M.C UNPIV'!G298</f>
        <v>0</v>
      </c>
      <c r="G297" s="6">
        <f>'[3]M.C UNPIV'!H298</f>
        <v>0</v>
      </c>
      <c r="H297" s="5">
        <f>'[3]M.C UNPIV'!I298</f>
        <v>0</v>
      </c>
      <c r="I297" s="7">
        <f>'[3]M.C UNPIV'!J298</f>
        <v>0</v>
      </c>
      <c r="J297" s="7">
        <f>'[3]M.C UNPIV'!K298</f>
        <v>0</v>
      </c>
      <c r="K297" s="7">
        <f>'[3]M.C UNPIV'!L298</f>
        <v>0</v>
      </c>
      <c r="L297" s="7">
        <f>'[3]M.C UNPIV'!M298</f>
        <v>0</v>
      </c>
      <c r="M297" s="6">
        <f>'[3]M.C UNPIV'!N298</f>
        <v>0</v>
      </c>
      <c r="N297" s="5">
        <f>'[3]M.C UNPIV'!O298</f>
        <v>0</v>
      </c>
      <c r="O297" s="5">
        <f>'[3]M.C UNPIV'!P298</f>
        <v>0</v>
      </c>
    </row>
    <row r="298" spans="1:15" x14ac:dyDescent="0.25">
      <c r="A298" s="4">
        <f>'[3]M.C UNPIV'!B299</f>
        <v>0</v>
      </c>
      <c r="B298" s="5">
        <f>'[3]M.C UNPIV'!C299</f>
        <v>0</v>
      </c>
      <c r="C298" s="5">
        <f>'[3]M.C UNPIV'!D299</f>
        <v>0</v>
      </c>
      <c r="D298" s="5">
        <f>'[3]M.C UNPIV'!E299</f>
        <v>0</v>
      </c>
      <c r="E298" s="5">
        <f>'[3]M.C UNPIV'!F299</f>
        <v>0</v>
      </c>
      <c r="F298" s="5">
        <f>'[3]M.C UNPIV'!G299</f>
        <v>0</v>
      </c>
      <c r="G298" s="6">
        <f>'[3]M.C UNPIV'!H299</f>
        <v>0</v>
      </c>
      <c r="H298" s="5">
        <f>'[3]M.C UNPIV'!I299</f>
        <v>0</v>
      </c>
      <c r="I298" s="7">
        <f>'[3]M.C UNPIV'!J299</f>
        <v>0</v>
      </c>
      <c r="J298" s="7">
        <f>'[3]M.C UNPIV'!K299</f>
        <v>0</v>
      </c>
      <c r="K298" s="7">
        <f>'[3]M.C UNPIV'!L299</f>
        <v>0</v>
      </c>
      <c r="L298" s="7">
        <f>'[3]M.C UNPIV'!M299</f>
        <v>0</v>
      </c>
      <c r="M298" s="6">
        <f>'[3]M.C UNPIV'!N299</f>
        <v>0</v>
      </c>
      <c r="N298" s="5">
        <f>'[3]M.C UNPIV'!O299</f>
        <v>0</v>
      </c>
      <c r="O298" s="5">
        <f>'[3]M.C UNPIV'!P299</f>
        <v>0</v>
      </c>
    </row>
    <row r="299" spans="1:15" x14ac:dyDescent="0.25">
      <c r="A299" s="4">
        <f>'[3]M.C UNPIV'!B300</f>
        <v>0</v>
      </c>
      <c r="B299" s="5">
        <f>'[3]M.C UNPIV'!C300</f>
        <v>0</v>
      </c>
      <c r="C299" s="5">
        <f>'[3]M.C UNPIV'!D300</f>
        <v>0</v>
      </c>
      <c r="D299" s="5">
        <f>'[3]M.C UNPIV'!E300</f>
        <v>0</v>
      </c>
      <c r="E299" s="5">
        <f>'[3]M.C UNPIV'!F300</f>
        <v>0</v>
      </c>
      <c r="F299" s="5">
        <f>'[3]M.C UNPIV'!G300</f>
        <v>0</v>
      </c>
      <c r="G299" s="6">
        <f>'[3]M.C UNPIV'!H300</f>
        <v>0</v>
      </c>
      <c r="H299" s="5">
        <f>'[3]M.C UNPIV'!I300</f>
        <v>0</v>
      </c>
      <c r="I299" s="7">
        <f>'[3]M.C UNPIV'!J300</f>
        <v>0</v>
      </c>
      <c r="J299" s="7">
        <f>'[3]M.C UNPIV'!K300</f>
        <v>0</v>
      </c>
      <c r="K299" s="7">
        <f>'[3]M.C UNPIV'!L300</f>
        <v>0</v>
      </c>
      <c r="L299" s="7">
        <f>'[3]M.C UNPIV'!M300</f>
        <v>0</v>
      </c>
      <c r="M299" s="6">
        <f>'[3]M.C UNPIV'!N300</f>
        <v>0</v>
      </c>
      <c r="N299" s="5">
        <f>'[3]M.C UNPIV'!O300</f>
        <v>0</v>
      </c>
      <c r="O299" s="5">
        <f>'[3]M.C UNPIV'!P300</f>
        <v>0</v>
      </c>
    </row>
    <row r="300" spans="1:15" x14ac:dyDescent="0.25">
      <c r="A300" s="4">
        <f>'[3]M.C UNPIV'!B301</f>
        <v>0</v>
      </c>
      <c r="B300" s="5">
        <f>'[3]M.C UNPIV'!C301</f>
        <v>0</v>
      </c>
      <c r="C300" s="5">
        <f>'[3]M.C UNPIV'!D301</f>
        <v>0</v>
      </c>
      <c r="D300" s="5">
        <f>'[3]M.C UNPIV'!E301</f>
        <v>0</v>
      </c>
      <c r="E300" s="5">
        <f>'[3]M.C UNPIV'!F301</f>
        <v>0</v>
      </c>
      <c r="F300" s="5">
        <f>'[3]M.C UNPIV'!G301</f>
        <v>0</v>
      </c>
      <c r="G300" s="6">
        <f>'[3]M.C UNPIV'!H301</f>
        <v>0</v>
      </c>
      <c r="H300" s="5">
        <f>'[3]M.C UNPIV'!I301</f>
        <v>0</v>
      </c>
      <c r="I300" s="7">
        <f>'[3]M.C UNPIV'!J301</f>
        <v>0</v>
      </c>
      <c r="J300" s="7">
        <f>'[3]M.C UNPIV'!K301</f>
        <v>0</v>
      </c>
      <c r="K300" s="7">
        <f>'[3]M.C UNPIV'!L301</f>
        <v>0</v>
      </c>
      <c r="L300" s="7">
        <f>'[3]M.C UNPIV'!M301</f>
        <v>0</v>
      </c>
      <c r="M300" s="6">
        <f>'[3]M.C UNPIV'!N301</f>
        <v>0</v>
      </c>
      <c r="N300" s="5">
        <f>'[3]M.C UNPIV'!O301</f>
        <v>0</v>
      </c>
      <c r="O300" s="5">
        <f>'[3]M.C UNPIV'!P301</f>
        <v>0</v>
      </c>
    </row>
    <row r="301" spans="1:15" x14ac:dyDescent="0.25">
      <c r="A301" s="4">
        <f>'[3]M.C UNPIV'!B302</f>
        <v>0</v>
      </c>
      <c r="B301" s="5">
        <f>'[3]M.C UNPIV'!C302</f>
        <v>0</v>
      </c>
      <c r="C301" s="5">
        <f>'[3]M.C UNPIV'!D302</f>
        <v>0</v>
      </c>
      <c r="D301" s="5">
        <f>'[3]M.C UNPIV'!E302</f>
        <v>0</v>
      </c>
      <c r="E301" s="5">
        <f>'[3]M.C UNPIV'!F302</f>
        <v>0</v>
      </c>
      <c r="F301" s="5">
        <f>'[3]M.C UNPIV'!G302</f>
        <v>0</v>
      </c>
      <c r="G301" s="6">
        <f>'[3]M.C UNPIV'!H302</f>
        <v>0</v>
      </c>
      <c r="H301" s="5">
        <f>'[3]M.C UNPIV'!I302</f>
        <v>0</v>
      </c>
      <c r="I301" s="7">
        <f>'[3]M.C UNPIV'!J302</f>
        <v>0</v>
      </c>
      <c r="J301" s="7">
        <f>'[3]M.C UNPIV'!K302</f>
        <v>0</v>
      </c>
      <c r="K301" s="7">
        <f>'[3]M.C UNPIV'!L302</f>
        <v>0</v>
      </c>
      <c r="L301" s="7">
        <f>'[3]M.C UNPIV'!M302</f>
        <v>0</v>
      </c>
      <c r="M301" s="6">
        <f>'[3]M.C UNPIV'!N302</f>
        <v>0</v>
      </c>
      <c r="N301" s="5">
        <f>'[3]M.C UNPIV'!O302</f>
        <v>0</v>
      </c>
      <c r="O301" s="5">
        <f>'[3]M.C UNPIV'!P302</f>
        <v>0</v>
      </c>
    </row>
    <row r="302" spans="1:15" x14ac:dyDescent="0.25">
      <c r="A302" s="4">
        <f>'[3]M.C UNPIV'!B303</f>
        <v>0</v>
      </c>
      <c r="B302" s="5">
        <f>'[3]M.C UNPIV'!C303</f>
        <v>0</v>
      </c>
      <c r="C302" s="5">
        <f>'[3]M.C UNPIV'!D303</f>
        <v>0</v>
      </c>
      <c r="D302" s="5">
        <f>'[3]M.C UNPIV'!E303</f>
        <v>0</v>
      </c>
      <c r="E302" s="5">
        <f>'[3]M.C UNPIV'!F303</f>
        <v>0</v>
      </c>
      <c r="F302" s="5">
        <f>'[3]M.C UNPIV'!G303</f>
        <v>0</v>
      </c>
      <c r="G302" s="6">
        <f>'[3]M.C UNPIV'!H303</f>
        <v>0</v>
      </c>
      <c r="H302" s="5">
        <f>'[3]M.C UNPIV'!I303</f>
        <v>0</v>
      </c>
      <c r="I302" s="7">
        <f>'[3]M.C UNPIV'!J303</f>
        <v>0</v>
      </c>
      <c r="J302" s="7">
        <f>'[3]M.C UNPIV'!K303</f>
        <v>0</v>
      </c>
      <c r="K302" s="7">
        <f>'[3]M.C UNPIV'!L303</f>
        <v>0</v>
      </c>
      <c r="L302" s="7">
        <f>'[3]M.C UNPIV'!M303</f>
        <v>0</v>
      </c>
      <c r="M302" s="6">
        <f>'[3]M.C UNPIV'!N303</f>
        <v>0</v>
      </c>
      <c r="N302" s="5">
        <f>'[3]M.C UNPIV'!O303</f>
        <v>0</v>
      </c>
      <c r="O302" s="5">
        <f>'[3]M.C UNPIV'!P303</f>
        <v>0</v>
      </c>
    </row>
    <row r="303" spans="1:15" x14ac:dyDescent="0.25">
      <c r="A303" s="4">
        <f>'[3]M.C UNPIV'!B304</f>
        <v>0</v>
      </c>
      <c r="B303" s="5">
        <f>'[3]M.C UNPIV'!C304</f>
        <v>0</v>
      </c>
      <c r="C303" s="5">
        <f>'[3]M.C UNPIV'!D304</f>
        <v>0</v>
      </c>
      <c r="D303" s="5">
        <f>'[3]M.C UNPIV'!E304</f>
        <v>0</v>
      </c>
      <c r="E303" s="5">
        <f>'[3]M.C UNPIV'!F304</f>
        <v>0</v>
      </c>
      <c r="F303" s="5">
        <f>'[3]M.C UNPIV'!G304</f>
        <v>0</v>
      </c>
      <c r="G303" s="6">
        <f>'[3]M.C UNPIV'!H304</f>
        <v>0</v>
      </c>
      <c r="H303" s="5">
        <f>'[3]M.C UNPIV'!I304</f>
        <v>0</v>
      </c>
      <c r="I303" s="7">
        <f>'[3]M.C UNPIV'!J304</f>
        <v>0</v>
      </c>
      <c r="J303" s="7">
        <f>'[3]M.C UNPIV'!K304</f>
        <v>0</v>
      </c>
      <c r="K303" s="7">
        <f>'[3]M.C UNPIV'!L304</f>
        <v>0</v>
      </c>
      <c r="L303" s="7">
        <f>'[3]M.C UNPIV'!M304</f>
        <v>0</v>
      </c>
      <c r="M303" s="6">
        <f>'[3]M.C UNPIV'!N304</f>
        <v>0</v>
      </c>
      <c r="N303" s="5">
        <f>'[3]M.C UNPIV'!O304</f>
        <v>0</v>
      </c>
      <c r="O303" s="5">
        <f>'[3]M.C UNPIV'!P304</f>
        <v>0</v>
      </c>
    </row>
    <row r="304" spans="1:15" x14ac:dyDescent="0.25">
      <c r="A304" s="4">
        <f>'[3]M.C UNPIV'!B305</f>
        <v>0</v>
      </c>
      <c r="B304" s="5">
        <f>'[3]M.C UNPIV'!C305</f>
        <v>0</v>
      </c>
      <c r="C304" s="5">
        <f>'[3]M.C UNPIV'!D305</f>
        <v>0</v>
      </c>
      <c r="D304" s="5">
        <f>'[3]M.C UNPIV'!E305</f>
        <v>0</v>
      </c>
      <c r="E304" s="5">
        <f>'[3]M.C UNPIV'!F305</f>
        <v>0</v>
      </c>
      <c r="F304" s="5">
        <f>'[3]M.C UNPIV'!G305</f>
        <v>0</v>
      </c>
      <c r="G304" s="6">
        <f>'[3]M.C UNPIV'!H305</f>
        <v>0</v>
      </c>
      <c r="H304" s="5">
        <f>'[3]M.C UNPIV'!I305</f>
        <v>0</v>
      </c>
      <c r="I304" s="7">
        <f>'[3]M.C UNPIV'!J305</f>
        <v>0</v>
      </c>
      <c r="J304" s="7">
        <f>'[3]M.C UNPIV'!K305</f>
        <v>0</v>
      </c>
      <c r="K304" s="7">
        <f>'[3]M.C UNPIV'!L305</f>
        <v>0</v>
      </c>
      <c r="L304" s="7">
        <f>'[3]M.C UNPIV'!M305</f>
        <v>0</v>
      </c>
      <c r="M304" s="6">
        <f>'[3]M.C UNPIV'!N305</f>
        <v>0</v>
      </c>
      <c r="N304" s="5">
        <f>'[3]M.C UNPIV'!O305</f>
        <v>0</v>
      </c>
      <c r="O304" s="5">
        <f>'[3]M.C UNPIV'!P305</f>
        <v>0</v>
      </c>
    </row>
    <row r="305" spans="1:15" x14ac:dyDescent="0.25">
      <c r="A305" s="4">
        <f>'[3]M.C UNPIV'!B306</f>
        <v>0</v>
      </c>
      <c r="B305" s="5">
        <f>'[3]M.C UNPIV'!C306</f>
        <v>0</v>
      </c>
      <c r="C305" s="5">
        <f>'[3]M.C UNPIV'!D306</f>
        <v>0</v>
      </c>
      <c r="D305" s="5">
        <f>'[3]M.C UNPIV'!E306</f>
        <v>0</v>
      </c>
      <c r="E305" s="5">
        <f>'[3]M.C UNPIV'!F306</f>
        <v>0</v>
      </c>
      <c r="F305" s="5">
        <f>'[3]M.C UNPIV'!G306</f>
        <v>0</v>
      </c>
      <c r="G305" s="6">
        <f>'[3]M.C UNPIV'!H306</f>
        <v>0</v>
      </c>
      <c r="H305" s="5">
        <f>'[3]M.C UNPIV'!I306</f>
        <v>0</v>
      </c>
      <c r="I305" s="7">
        <f>'[3]M.C UNPIV'!J306</f>
        <v>0</v>
      </c>
      <c r="J305" s="7">
        <f>'[3]M.C UNPIV'!K306</f>
        <v>0</v>
      </c>
      <c r="K305" s="7">
        <f>'[3]M.C UNPIV'!L306</f>
        <v>0</v>
      </c>
      <c r="L305" s="7">
        <f>'[3]M.C UNPIV'!M306</f>
        <v>0</v>
      </c>
      <c r="M305" s="6">
        <f>'[3]M.C UNPIV'!N306</f>
        <v>0</v>
      </c>
      <c r="N305" s="5">
        <f>'[3]M.C UNPIV'!O306</f>
        <v>0</v>
      </c>
      <c r="O305" s="5">
        <f>'[3]M.C UNPIV'!P306</f>
        <v>0</v>
      </c>
    </row>
    <row r="306" spans="1:15" x14ac:dyDescent="0.25">
      <c r="A306" s="4">
        <f>'[3]M.C UNPIV'!B307</f>
        <v>0</v>
      </c>
      <c r="B306" s="5">
        <f>'[3]M.C UNPIV'!C307</f>
        <v>0</v>
      </c>
      <c r="C306" s="5">
        <f>'[3]M.C UNPIV'!D307</f>
        <v>0</v>
      </c>
      <c r="D306" s="5">
        <f>'[3]M.C UNPIV'!E307</f>
        <v>0</v>
      </c>
      <c r="E306" s="5">
        <f>'[3]M.C UNPIV'!F307</f>
        <v>0</v>
      </c>
      <c r="F306" s="5">
        <f>'[3]M.C UNPIV'!G307</f>
        <v>0</v>
      </c>
      <c r="G306" s="6">
        <f>'[3]M.C UNPIV'!H307</f>
        <v>0</v>
      </c>
      <c r="H306" s="5">
        <f>'[3]M.C UNPIV'!I307</f>
        <v>0</v>
      </c>
      <c r="I306" s="7">
        <f>'[3]M.C UNPIV'!J307</f>
        <v>0</v>
      </c>
      <c r="J306" s="7">
        <f>'[3]M.C UNPIV'!K307</f>
        <v>0</v>
      </c>
      <c r="K306" s="7">
        <f>'[3]M.C UNPIV'!L307</f>
        <v>0</v>
      </c>
      <c r="L306" s="7">
        <f>'[3]M.C UNPIV'!M307</f>
        <v>0</v>
      </c>
      <c r="M306" s="6">
        <f>'[3]M.C UNPIV'!N307</f>
        <v>0</v>
      </c>
      <c r="N306" s="5">
        <f>'[3]M.C UNPIV'!O307</f>
        <v>0</v>
      </c>
      <c r="O306" s="5">
        <f>'[3]M.C UNPIV'!P307</f>
        <v>0</v>
      </c>
    </row>
    <row r="307" spans="1:15" x14ac:dyDescent="0.25">
      <c r="A307" s="4">
        <f>'[3]M.C UNPIV'!B308</f>
        <v>0</v>
      </c>
      <c r="B307" s="5">
        <f>'[3]M.C UNPIV'!C308</f>
        <v>0</v>
      </c>
      <c r="C307" s="5">
        <f>'[3]M.C UNPIV'!D308</f>
        <v>0</v>
      </c>
      <c r="D307" s="5">
        <f>'[3]M.C UNPIV'!E308</f>
        <v>0</v>
      </c>
      <c r="E307" s="5">
        <f>'[3]M.C UNPIV'!F308</f>
        <v>0</v>
      </c>
      <c r="F307" s="5">
        <f>'[3]M.C UNPIV'!G308</f>
        <v>0</v>
      </c>
      <c r="G307" s="6">
        <f>'[3]M.C UNPIV'!H308</f>
        <v>0</v>
      </c>
      <c r="H307" s="5">
        <f>'[3]M.C UNPIV'!I308</f>
        <v>0</v>
      </c>
      <c r="I307" s="7">
        <f>'[3]M.C UNPIV'!J308</f>
        <v>0</v>
      </c>
      <c r="J307" s="7">
        <f>'[3]M.C UNPIV'!K308</f>
        <v>0</v>
      </c>
      <c r="K307" s="7">
        <f>'[3]M.C UNPIV'!L308</f>
        <v>0</v>
      </c>
      <c r="L307" s="7">
        <f>'[3]M.C UNPIV'!M308</f>
        <v>0</v>
      </c>
      <c r="M307" s="6">
        <f>'[3]M.C UNPIV'!N308</f>
        <v>0</v>
      </c>
      <c r="N307" s="5">
        <f>'[3]M.C UNPIV'!O308</f>
        <v>0</v>
      </c>
      <c r="O307" s="5">
        <f>'[3]M.C UNPIV'!P308</f>
        <v>0</v>
      </c>
    </row>
    <row r="308" spans="1:15" x14ac:dyDescent="0.25">
      <c r="A308" s="4">
        <f>'[3]M.C UNPIV'!B309</f>
        <v>0</v>
      </c>
      <c r="B308" s="5">
        <f>'[3]M.C UNPIV'!C309</f>
        <v>0</v>
      </c>
      <c r="C308" s="5">
        <f>'[3]M.C UNPIV'!D309</f>
        <v>0</v>
      </c>
      <c r="D308" s="5">
        <f>'[3]M.C UNPIV'!E309</f>
        <v>0</v>
      </c>
      <c r="E308" s="5">
        <f>'[3]M.C UNPIV'!F309</f>
        <v>0</v>
      </c>
      <c r="F308" s="5">
        <f>'[3]M.C UNPIV'!G309</f>
        <v>0</v>
      </c>
      <c r="G308" s="6">
        <f>'[3]M.C UNPIV'!H309</f>
        <v>0</v>
      </c>
      <c r="H308" s="5">
        <f>'[3]M.C UNPIV'!I309</f>
        <v>0</v>
      </c>
      <c r="I308" s="7">
        <f>'[3]M.C UNPIV'!J309</f>
        <v>0</v>
      </c>
      <c r="J308" s="7">
        <f>'[3]M.C UNPIV'!K309</f>
        <v>0</v>
      </c>
      <c r="K308" s="7">
        <f>'[3]M.C UNPIV'!L309</f>
        <v>0</v>
      </c>
      <c r="L308" s="7">
        <f>'[3]M.C UNPIV'!M309</f>
        <v>0</v>
      </c>
      <c r="M308" s="6">
        <f>'[3]M.C UNPIV'!N309</f>
        <v>0</v>
      </c>
      <c r="N308" s="5">
        <f>'[3]M.C UNPIV'!O309</f>
        <v>0</v>
      </c>
      <c r="O308" s="5">
        <f>'[3]M.C UNPIV'!P309</f>
        <v>0</v>
      </c>
    </row>
    <row r="309" spans="1:15" x14ac:dyDescent="0.25">
      <c r="A309" s="4">
        <f>'[3]M.C UNPIV'!B310</f>
        <v>0</v>
      </c>
      <c r="B309" s="5">
        <f>'[3]M.C UNPIV'!C310</f>
        <v>0</v>
      </c>
      <c r="C309" s="5">
        <f>'[3]M.C UNPIV'!D310</f>
        <v>0</v>
      </c>
      <c r="D309" s="5">
        <f>'[3]M.C UNPIV'!E310</f>
        <v>0</v>
      </c>
      <c r="E309" s="5">
        <f>'[3]M.C UNPIV'!F310</f>
        <v>0</v>
      </c>
      <c r="F309" s="5">
        <f>'[3]M.C UNPIV'!G310</f>
        <v>0</v>
      </c>
      <c r="G309" s="6">
        <f>'[3]M.C UNPIV'!H310</f>
        <v>0</v>
      </c>
      <c r="H309" s="5">
        <f>'[3]M.C UNPIV'!I310</f>
        <v>0</v>
      </c>
      <c r="I309" s="7">
        <f>'[3]M.C UNPIV'!J310</f>
        <v>0</v>
      </c>
      <c r="J309" s="7">
        <f>'[3]M.C UNPIV'!K310</f>
        <v>0</v>
      </c>
      <c r="K309" s="7">
        <f>'[3]M.C UNPIV'!L310</f>
        <v>0</v>
      </c>
      <c r="L309" s="7">
        <f>'[3]M.C UNPIV'!M310</f>
        <v>0</v>
      </c>
      <c r="M309" s="6">
        <f>'[3]M.C UNPIV'!N310</f>
        <v>0</v>
      </c>
      <c r="N309" s="5">
        <f>'[3]M.C UNPIV'!O310</f>
        <v>0</v>
      </c>
      <c r="O309" s="5">
        <f>'[3]M.C UNPIV'!P310</f>
        <v>0</v>
      </c>
    </row>
    <row r="310" spans="1:15" x14ac:dyDescent="0.25">
      <c r="A310" s="4">
        <f>'[3]M.C UNPIV'!B311</f>
        <v>0</v>
      </c>
      <c r="B310" s="5">
        <f>'[3]M.C UNPIV'!C311</f>
        <v>0</v>
      </c>
      <c r="C310" s="5">
        <f>'[3]M.C UNPIV'!D311</f>
        <v>0</v>
      </c>
      <c r="D310" s="5">
        <f>'[3]M.C UNPIV'!E311</f>
        <v>0</v>
      </c>
      <c r="E310" s="5">
        <f>'[3]M.C UNPIV'!F311</f>
        <v>0</v>
      </c>
      <c r="F310" s="5">
        <f>'[3]M.C UNPIV'!G311</f>
        <v>0</v>
      </c>
      <c r="G310" s="6">
        <f>'[3]M.C UNPIV'!H311</f>
        <v>0</v>
      </c>
      <c r="H310" s="5">
        <f>'[3]M.C UNPIV'!I311</f>
        <v>0</v>
      </c>
      <c r="I310" s="7">
        <f>'[3]M.C UNPIV'!J311</f>
        <v>0</v>
      </c>
      <c r="J310" s="7">
        <f>'[3]M.C UNPIV'!K311</f>
        <v>0</v>
      </c>
      <c r="K310" s="7">
        <f>'[3]M.C UNPIV'!L311</f>
        <v>0</v>
      </c>
      <c r="L310" s="7">
        <f>'[3]M.C UNPIV'!M311</f>
        <v>0</v>
      </c>
      <c r="M310" s="6">
        <f>'[3]M.C UNPIV'!N311</f>
        <v>0</v>
      </c>
      <c r="N310" s="5">
        <f>'[3]M.C UNPIV'!O311</f>
        <v>0</v>
      </c>
      <c r="O310" s="5">
        <f>'[3]M.C UNPIV'!P311</f>
        <v>0</v>
      </c>
    </row>
    <row r="311" spans="1:15" x14ac:dyDescent="0.25">
      <c r="A311" s="4">
        <f>'[3]M.C UNPIV'!B312</f>
        <v>0</v>
      </c>
      <c r="B311" s="5">
        <f>'[3]M.C UNPIV'!C312</f>
        <v>0</v>
      </c>
      <c r="C311" s="5">
        <f>'[3]M.C UNPIV'!D312</f>
        <v>0</v>
      </c>
      <c r="D311" s="5">
        <f>'[3]M.C UNPIV'!E312</f>
        <v>0</v>
      </c>
      <c r="E311" s="5">
        <f>'[3]M.C UNPIV'!F312</f>
        <v>0</v>
      </c>
      <c r="F311" s="5">
        <f>'[3]M.C UNPIV'!G312</f>
        <v>0</v>
      </c>
      <c r="G311" s="6">
        <f>'[3]M.C UNPIV'!H312</f>
        <v>0</v>
      </c>
      <c r="H311" s="5">
        <f>'[3]M.C UNPIV'!I312</f>
        <v>0</v>
      </c>
      <c r="I311" s="7">
        <f>'[3]M.C UNPIV'!J312</f>
        <v>0</v>
      </c>
      <c r="J311" s="7">
        <f>'[3]M.C UNPIV'!K312</f>
        <v>0</v>
      </c>
      <c r="K311" s="7">
        <f>'[3]M.C UNPIV'!L312</f>
        <v>0</v>
      </c>
      <c r="L311" s="7">
        <f>'[3]M.C UNPIV'!M312</f>
        <v>0</v>
      </c>
      <c r="M311" s="6">
        <f>'[3]M.C UNPIV'!N312</f>
        <v>0</v>
      </c>
      <c r="N311" s="5">
        <f>'[3]M.C UNPIV'!O312</f>
        <v>0</v>
      </c>
      <c r="O311" s="5">
        <f>'[3]M.C UNPIV'!P312</f>
        <v>0</v>
      </c>
    </row>
    <row r="312" spans="1:15" x14ac:dyDescent="0.25">
      <c r="A312" s="4">
        <f>'[3]M.C UNPIV'!B313</f>
        <v>0</v>
      </c>
      <c r="B312" s="5">
        <f>'[3]M.C UNPIV'!C313</f>
        <v>0</v>
      </c>
      <c r="C312" s="5">
        <f>'[3]M.C UNPIV'!D313</f>
        <v>0</v>
      </c>
      <c r="D312" s="5">
        <f>'[3]M.C UNPIV'!E313</f>
        <v>0</v>
      </c>
      <c r="E312" s="5">
        <f>'[3]M.C UNPIV'!F313</f>
        <v>0</v>
      </c>
      <c r="F312" s="5">
        <f>'[3]M.C UNPIV'!G313</f>
        <v>0</v>
      </c>
      <c r="G312" s="6">
        <f>'[3]M.C UNPIV'!H313</f>
        <v>0</v>
      </c>
      <c r="H312" s="5">
        <f>'[3]M.C UNPIV'!I313</f>
        <v>0</v>
      </c>
      <c r="I312" s="7">
        <f>'[3]M.C UNPIV'!J313</f>
        <v>0</v>
      </c>
      <c r="J312" s="7">
        <f>'[3]M.C UNPIV'!K313</f>
        <v>0</v>
      </c>
      <c r="K312" s="7">
        <f>'[3]M.C UNPIV'!L313</f>
        <v>0</v>
      </c>
      <c r="L312" s="7">
        <f>'[3]M.C UNPIV'!M313</f>
        <v>0</v>
      </c>
      <c r="M312" s="6">
        <f>'[3]M.C UNPIV'!N313</f>
        <v>0</v>
      </c>
      <c r="N312" s="5">
        <f>'[3]M.C UNPIV'!O313</f>
        <v>0</v>
      </c>
      <c r="O312" s="5">
        <f>'[3]M.C UNPIV'!P313</f>
        <v>0</v>
      </c>
    </row>
    <row r="313" spans="1:15" x14ac:dyDescent="0.25">
      <c r="A313" s="4">
        <f>'[3]M.C UNPIV'!B314</f>
        <v>0</v>
      </c>
      <c r="B313" s="5">
        <f>'[3]M.C UNPIV'!C314</f>
        <v>0</v>
      </c>
      <c r="C313" s="5">
        <f>'[3]M.C UNPIV'!D314</f>
        <v>0</v>
      </c>
      <c r="D313" s="5">
        <f>'[3]M.C UNPIV'!E314</f>
        <v>0</v>
      </c>
      <c r="E313" s="5">
        <f>'[3]M.C UNPIV'!F314</f>
        <v>0</v>
      </c>
      <c r="F313" s="5">
        <f>'[3]M.C UNPIV'!G314</f>
        <v>0</v>
      </c>
      <c r="G313" s="6">
        <f>'[3]M.C UNPIV'!H314</f>
        <v>0</v>
      </c>
      <c r="H313" s="5">
        <f>'[3]M.C UNPIV'!I314</f>
        <v>0</v>
      </c>
      <c r="I313" s="7">
        <f>'[3]M.C UNPIV'!J314</f>
        <v>0</v>
      </c>
      <c r="J313" s="7">
        <f>'[3]M.C UNPIV'!K314</f>
        <v>0</v>
      </c>
      <c r="K313" s="7">
        <f>'[3]M.C UNPIV'!L314</f>
        <v>0</v>
      </c>
      <c r="L313" s="7">
        <f>'[3]M.C UNPIV'!M314</f>
        <v>0</v>
      </c>
      <c r="M313" s="6">
        <f>'[3]M.C UNPIV'!N314</f>
        <v>0</v>
      </c>
      <c r="N313" s="5">
        <f>'[3]M.C UNPIV'!O314</f>
        <v>0</v>
      </c>
      <c r="O313" s="5">
        <f>'[3]M.C UNPIV'!P314</f>
        <v>0</v>
      </c>
    </row>
    <row r="314" spans="1:15" x14ac:dyDescent="0.25">
      <c r="A314" s="4">
        <f>'[3]M.C UNPIV'!B315</f>
        <v>0</v>
      </c>
      <c r="B314" s="5">
        <f>'[3]M.C UNPIV'!C315</f>
        <v>0</v>
      </c>
      <c r="C314" s="5">
        <f>'[3]M.C UNPIV'!D315</f>
        <v>0</v>
      </c>
      <c r="D314" s="5">
        <f>'[3]M.C UNPIV'!E315</f>
        <v>0</v>
      </c>
      <c r="E314" s="5">
        <f>'[3]M.C UNPIV'!F315</f>
        <v>0</v>
      </c>
      <c r="F314" s="5">
        <f>'[3]M.C UNPIV'!G315</f>
        <v>0</v>
      </c>
      <c r="G314" s="6">
        <f>'[3]M.C UNPIV'!H315</f>
        <v>0</v>
      </c>
      <c r="H314" s="5">
        <f>'[3]M.C UNPIV'!I315</f>
        <v>0</v>
      </c>
      <c r="I314" s="7">
        <f>'[3]M.C UNPIV'!J315</f>
        <v>0</v>
      </c>
      <c r="J314" s="7">
        <f>'[3]M.C UNPIV'!K315</f>
        <v>0</v>
      </c>
      <c r="K314" s="7">
        <f>'[3]M.C UNPIV'!L315</f>
        <v>0</v>
      </c>
      <c r="L314" s="7">
        <f>'[3]M.C UNPIV'!M315</f>
        <v>0</v>
      </c>
      <c r="M314" s="6">
        <f>'[3]M.C UNPIV'!N315</f>
        <v>0</v>
      </c>
      <c r="N314" s="5">
        <f>'[3]M.C UNPIV'!O315</f>
        <v>0</v>
      </c>
      <c r="O314" s="5">
        <f>'[3]M.C UNPIV'!P315</f>
        <v>0</v>
      </c>
    </row>
    <row r="315" spans="1:15" x14ac:dyDescent="0.25">
      <c r="A315" s="4">
        <f>'[3]M.C UNPIV'!B316</f>
        <v>0</v>
      </c>
      <c r="B315" s="5">
        <f>'[3]M.C UNPIV'!C316</f>
        <v>0</v>
      </c>
      <c r="C315" s="5">
        <f>'[3]M.C UNPIV'!D316</f>
        <v>0</v>
      </c>
      <c r="D315" s="5">
        <f>'[3]M.C UNPIV'!E316</f>
        <v>0</v>
      </c>
      <c r="E315" s="5">
        <f>'[3]M.C UNPIV'!F316</f>
        <v>0</v>
      </c>
      <c r="F315" s="5">
        <f>'[3]M.C UNPIV'!G316</f>
        <v>0</v>
      </c>
      <c r="G315" s="6">
        <f>'[3]M.C UNPIV'!H316</f>
        <v>0</v>
      </c>
      <c r="H315" s="5">
        <f>'[3]M.C UNPIV'!I316</f>
        <v>0</v>
      </c>
      <c r="I315" s="7">
        <f>'[3]M.C UNPIV'!J316</f>
        <v>0</v>
      </c>
      <c r="J315" s="7">
        <f>'[3]M.C UNPIV'!K316</f>
        <v>0</v>
      </c>
      <c r="K315" s="7">
        <f>'[3]M.C UNPIV'!L316</f>
        <v>0</v>
      </c>
      <c r="L315" s="7">
        <f>'[3]M.C UNPIV'!M316</f>
        <v>0</v>
      </c>
      <c r="M315" s="6">
        <f>'[3]M.C UNPIV'!N316</f>
        <v>0</v>
      </c>
      <c r="N315" s="5">
        <f>'[3]M.C UNPIV'!O316</f>
        <v>0</v>
      </c>
      <c r="O315" s="5">
        <f>'[3]M.C UNPIV'!P316</f>
        <v>0</v>
      </c>
    </row>
    <row r="316" spans="1:15" x14ac:dyDescent="0.25">
      <c r="A316" s="4">
        <f>'[3]M.C UNPIV'!B317</f>
        <v>0</v>
      </c>
      <c r="B316" s="5">
        <f>'[3]M.C UNPIV'!C317</f>
        <v>0</v>
      </c>
      <c r="C316" s="5">
        <f>'[3]M.C UNPIV'!D317</f>
        <v>0</v>
      </c>
      <c r="D316" s="5">
        <f>'[3]M.C UNPIV'!E317</f>
        <v>0</v>
      </c>
      <c r="E316" s="5">
        <f>'[3]M.C UNPIV'!F317</f>
        <v>0</v>
      </c>
      <c r="F316" s="5">
        <f>'[3]M.C UNPIV'!G317</f>
        <v>0</v>
      </c>
      <c r="G316" s="6">
        <f>'[3]M.C UNPIV'!H317</f>
        <v>0</v>
      </c>
      <c r="H316" s="5">
        <f>'[3]M.C UNPIV'!I317</f>
        <v>0</v>
      </c>
      <c r="I316" s="7">
        <f>'[3]M.C UNPIV'!J317</f>
        <v>0</v>
      </c>
      <c r="J316" s="7">
        <f>'[3]M.C UNPIV'!K317</f>
        <v>0</v>
      </c>
      <c r="K316" s="7">
        <f>'[3]M.C UNPIV'!L317</f>
        <v>0</v>
      </c>
      <c r="L316" s="7">
        <f>'[3]M.C UNPIV'!M317</f>
        <v>0</v>
      </c>
      <c r="M316" s="6">
        <f>'[3]M.C UNPIV'!N317</f>
        <v>0</v>
      </c>
      <c r="N316" s="5">
        <f>'[3]M.C UNPIV'!O317</f>
        <v>0</v>
      </c>
      <c r="O316" s="5">
        <f>'[3]M.C UNPIV'!P317</f>
        <v>0</v>
      </c>
    </row>
    <row r="317" spans="1:15" x14ac:dyDescent="0.25">
      <c r="A317" s="4">
        <f>'[3]M.C UNPIV'!B318</f>
        <v>0</v>
      </c>
      <c r="B317" s="5">
        <f>'[3]M.C UNPIV'!C318</f>
        <v>0</v>
      </c>
      <c r="C317" s="5">
        <f>'[3]M.C UNPIV'!D318</f>
        <v>0</v>
      </c>
      <c r="D317" s="5">
        <f>'[3]M.C UNPIV'!E318</f>
        <v>0</v>
      </c>
      <c r="E317" s="5">
        <f>'[3]M.C UNPIV'!F318</f>
        <v>0</v>
      </c>
      <c r="F317" s="5">
        <f>'[3]M.C UNPIV'!G318</f>
        <v>0</v>
      </c>
      <c r="G317" s="6">
        <f>'[3]M.C UNPIV'!H318</f>
        <v>0</v>
      </c>
      <c r="H317" s="5">
        <f>'[3]M.C UNPIV'!I318</f>
        <v>0</v>
      </c>
      <c r="I317" s="7">
        <f>'[3]M.C UNPIV'!J318</f>
        <v>0</v>
      </c>
      <c r="J317" s="7">
        <f>'[3]M.C UNPIV'!K318</f>
        <v>0</v>
      </c>
      <c r="K317" s="7">
        <f>'[3]M.C UNPIV'!L318</f>
        <v>0</v>
      </c>
      <c r="L317" s="7">
        <f>'[3]M.C UNPIV'!M318</f>
        <v>0</v>
      </c>
      <c r="M317" s="6">
        <f>'[3]M.C UNPIV'!N318</f>
        <v>0</v>
      </c>
      <c r="N317" s="5">
        <f>'[3]M.C UNPIV'!O318</f>
        <v>0</v>
      </c>
      <c r="O317" s="5">
        <f>'[3]M.C UNPIV'!P318</f>
        <v>0</v>
      </c>
    </row>
    <row r="318" spans="1:15" x14ac:dyDescent="0.25">
      <c r="A318" s="4">
        <f>'[3]M.C UNPIV'!B319</f>
        <v>0</v>
      </c>
      <c r="B318" s="5">
        <f>'[3]M.C UNPIV'!C319</f>
        <v>0</v>
      </c>
      <c r="C318" s="5">
        <f>'[3]M.C UNPIV'!D319</f>
        <v>0</v>
      </c>
      <c r="D318" s="5">
        <f>'[3]M.C UNPIV'!E319</f>
        <v>0</v>
      </c>
      <c r="E318" s="5">
        <f>'[3]M.C UNPIV'!F319</f>
        <v>0</v>
      </c>
      <c r="F318" s="5">
        <f>'[3]M.C UNPIV'!G319</f>
        <v>0</v>
      </c>
      <c r="G318" s="6">
        <f>'[3]M.C UNPIV'!H319</f>
        <v>0</v>
      </c>
      <c r="H318" s="5">
        <f>'[3]M.C UNPIV'!I319</f>
        <v>0</v>
      </c>
      <c r="I318" s="7">
        <f>'[3]M.C UNPIV'!J319</f>
        <v>0</v>
      </c>
      <c r="J318" s="7">
        <f>'[3]M.C UNPIV'!K319</f>
        <v>0</v>
      </c>
      <c r="K318" s="7">
        <f>'[3]M.C UNPIV'!L319</f>
        <v>0</v>
      </c>
      <c r="L318" s="7">
        <f>'[3]M.C UNPIV'!M319</f>
        <v>0</v>
      </c>
      <c r="M318" s="6">
        <f>'[3]M.C UNPIV'!N319</f>
        <v>0</v>
      </c>
      <c r="N318" s="5">
        <f>'[3]M.C UNPIV'!O319</f>
        <v>0</v>
      </c>
      <c r="O318" s="5">
        <f>'[3]M.C UNPIV'!P319</f>
        <v>0</v>
      </c>
    </row>
    <row r="319" spans="1:15" x14ac:dyDescent="0.25">
      <c r="A319" s="4">
        <f>'[3]M.C UNPIV'!B320</f>
        <v>0</v>
      </c>
      <c r="B319" s="5">
        <f>'[3]M.C UNPIV'!C320</f>
        <v>0</v>
      </c>
      <c r="C319" s="5">
        <f>'[3]M.C UNPIV'!D320</f>
        <v>0</v>
      </c>
      <c r="D319" s="5">
        <f>'[3]M.C UNPIV'!E320</f>
        <v>0</v>
      </c>
      <c r="E319" s="5">
        <f>'[3]M.C UNPIV'!F320</f>
        <v>0</v>
      </c>
      <c r="F319" s="5">
        <f>'[3]M.C UNPIV'!G320</f>
        <v>0</v>
      </c>
      <c r="G319" s="6">
        <f>'[3]M.C UNPIV'!H320</f>
        <v>0</v>
      </c>
      <c r="H319" s="5">
        <f>'[3]M.C UNPIV'!I320</f>
        <v>0</v>
      </c>
      <c r="I319" s="7">
        <f>'[3]M.C UNPIV'!J320</f>
        <v>0</v>
      </c>
      <c r="J319" s="7">
        <f>'[3]M.C UNPIV'!K320</f>
        <v>0</v>
      </c>
      <c r="K319" s="7">
        <f>'[3]M.C UNPIV'!L320</f>
        <v>0</v>
      </c>
      <c r="L319" s="7">
        <f>'[3]M.C UNPIV'!M320</f>
        <v>0</v>
      </c>
      <c r="M319" s="6">
        <f>'[3]M.C UNPIV'!N320</f>
        <v>0</v>
      </c>
      <c r="N319" s="5">
        <f>'[3]M.C UNPIV'!O320</f>
        <v>0</v>
      </c>
      <c r="O319" s="5">
        <f>'[3]M.C UNPIV'!P320</f>
        <v>0</v>
      </c>
    </row>
    <row r="320" spans="1:15" x14ac:dyDescent="0.25">
      <c r="A320" s="4">
        <f>'[3]M.C UNPIV'!B321</f>
        <v>0</v>
      </c>
      <c r="B320" s="5">
        <f>'[3]M.C UNPIV'!C321</f>
        <v>0</v>
      </c>
      <c r="C320" s="5">
        <f>'[3]M.C UNPIV'!D321</f>
        <v>0</v>
      </c>
      <c r="D320" s="5">
        <f>'[3]M.C UNPIV'!E321</f>
        <v>0</v>
      </c>
      <c r="E320" s="5">
        <f>'[3]M.C UNPIV'!F321</f>
        <v>0</v>
      </c>
      <c r="F320" s="5">
        <f>'[3]M.C UNPIV'!G321</f>
        <v>0</v>
      </c>
      <c r="G320" s="6">
        <f>'[3]M.C UNPIV'!H321</f>
        <v>0</v>
      </c>
      <c r="H320" s="5">
        <f>'[3]M.C UNPIV'!I321</f>
        <v>0</v>
      </c>
      <c r="I320" s="7">
        <f>'[3]M.C UNPIV'!J321</f>
        <v>0</v>
      </c>
      <c r="J320" s="7">
        <f>'[3]M.C UNPIV'!K321</f>
        <v>0</v>
      </c>
      <c r="K320" s="7">
        <f>'[3]M.C UNPIV'!L321</f>
        <v>0</v>
      </c>
      <c r="L320" s="7">
        <f>'[3]M.C UNPIV'!M321</f>
        <v>0</v>
      </c>
      <c r="M320" s="6">
        <f>'[3]M.C UNPIV'!N321</f>
        <v>0</v>
      </c>
      <c r="N320" s="5">
        <f>'[3]M.C UNPIV'!O321</f>
        <v>0</v>
      </c>
      <c r="O320" s="5">
        <f>'[3]M.C UNPIV'!P321</f>
        <v>0</v>
      </c>
    </row>
    <row r="321" spans="1:15" x14ac:dyDescent="0.25">
      <c r="A321" s="4">
        <f>'[3]M.C UNPIV'!B322</f>
        <v>0</v>
      </c>
      <c r="B321" s="5">
        <f>'[3]M.C UNPIV'!C322</f>
        <v>0</v>
      </c>
      <c r="C321" s="5">
        <f>'[3]M.C UNPIV'!D322</f>
        <v>0</v>
      </c>
      <c r="D321" s="5">
        <f>'[3]M.C UNPIV'!E322</f>
        <v>0</v>
      </c>
      <c r="E321" s="5">
        <f>'[3]M.C UNPIV'!F322</f>
        <v>0</v>
      </c>
      <c r="F321" s="5">
        <f>'[3]M.C UNPIV'!G322</f>
        <v>0</v>
      </c>
      <c r="G321" s="6">
        <f>'[3]M.C UNPIV'!H322</f>
        <v>0</v>
      </c>
      <c r="H321" s="5">
        <f>'[3]M.C UNPIV'!I322</f>
        <v>0</v>
      </c>
      <c r="I321" s="7">
        <f>'[3]M.C UNPIV'!J322</f>
        <v>0</v>
      </c>
      <c r="J321" s="7">
        <f>'[3]M.C UNPIV'!K322</f>
        <v>0</v>
      </c>
      <c r="K321" s="7">
        <f>'[3]M.C UNPIV'!L322</f>
        <v>0</v>
      </c>
      <c r="L321" s="7">
        <f>'[3]M.C UNPIV'!M322</f>
        <v>0</v>
      </c>
      <c r="M321" s="6">
        <f>'[3]M.C UNPIV'!N322</f>
        <v>0</v>
      </c>
      <c r="N321" s="5">
        <f>'[3]M.C UNPIV'!O322</f>
        <v>0</v>
      </c>
      <c r="O321" s="5">
        <f>'[3]M.C UNPIV'!P322</f>
        <v>0</v>
      </c>
    </row>
    <row r="322" spans="1:15" x14ac:dyDescent="0.25">
      <c r="A322" s="4">
        <f>'[3]M.C UNPIV'!B323</f>
        <v>0</v>
      </c>
      <c r="B322" s="5">
        <f>'[3]M.C UNPIV'!C323</f>
        <v>0</v>
      </c>
      <c r="C322" s="5">
        <f>'[3]M.C UNPIV'!D323</f>
        <v>0</v>
      </c>
      <c r="D322" s="5">
        <f>'[3]M.C UNPIV'!E323</f>
        <v>0</v>
      </c>
      <c r="E322" s="5">
        <f>'[3]M.C UNPIV'!F323</f>
        <v>0</v>
      </c>
      <c r="F322" s="5">
        <f>'[3]M.C UNPIV'!G323</f>
        <v>0</v>
      </c>
      <c r="G322" s="6">
        <f>'[3]M.C UNPIV'!H323</f>
        <v>0</v>
      </c>
      <c r="H322" s="5">
        <f>'[3]M.C UNPIV'!I323</f>
        <v>0</v>
      </c>
      <c r="I322" s="7">
        <f>'[3]M.C UNPIV'!J323</f>
        <v>0</v>
      </c>
      <c r="J322" s="7">
        <f>'[3]M.C UNPIV'!K323</f>
        <v>0</v>
      </c>
      <c r="K322" s="7">
        <f>'[3]M.C UNPIV'!L323</f>
        <v>0</v>
      </c>
      <c r="L322" s="7">
        <f>'[3]M.C UNPIV'!M323</f>
        <v>0</v>
      </c>
      <c r="M322" s="6">
        <f>'[3]M.C UNPIV'!N323</f>
        <v>0</v>
      </c>
      <c r="N322" s="5">
        <f>'[3]M.C UNPIV'!O323</f>
        <v>0</v>
      </c>
      <c r="O322" s="5">
        <f>'[3]M.C UNPIV'!P323</f>
        <v>0</v>
      </c>
    </row>
    <row r="323" spans="1:15" x14ac:dyDescent="0.25">
      <c r="A323" s="4">
        <f>'[3]M.C UNPIV'!B324</f>
        <v>0</v>
      </c>
      <c r="B323" s="5">
        <f>'[3]M.C UNPIV'!C324</f>
        <v>0</v>
      </c>
      <c r="C323" s="5">
        <f>'[3]M.C UNPIV'!D324</f>
        <v>0</v>
      </c>
      <c r="D323" s="5">
        <f>'[3]M.C UNPIV'!E324</f>
        <v>0</v>
      </c>
      <c r="E323" s="5">
        <f>'[3]M.C UNPIV'!F324</f>
        <v>0</v>
      </c>
      <c r="F323" s="5">
        <f>'[3]M.C UNPIV'!G324</f>
        <v>0</v>
      </c>
      <c r="G323" s="6">
        <f>'[3]M.C UNPIV'!H324</f>
        <v>0</v>
      </c>
      <c r="H323" s="5">
        <f>'[3]M.C UNPIV'!I324</f>
        <v>0</v>
      </c>
      <c r="I323" s="7">
        <f>'[3]M.C UNPIV'!J324</f>
        <v>0</v>
      </c>
      <c r="J323" s="7">
        <f>'[3]M.C UNPIV'!K324</f>
        <v>0</v>
      </c>
      <c r="K323" s="7">
        <f>'[3]M.C UNPIV'!L324</f>
        <v>0</v>
      </c>
      <c r="L323" s="7">
        <f>'[3]M.C UNPIV'!M324</f>
        <v>0</v>
      </c>
      <c r="M323" s="6">
        <f>'[3]M.C UNPIV'!N324</f>
        <v>0</v>
      </c>
      <c r="N323" s="5">
        <f>'[3]M.C UNPIV'!O324</f>
        <v>0</v>
      </c>
      <c r="O323" s="5">
        <f>'[3]M.C UNPIV'!P324</f>
        <v>0</v>
      </c>
    </row>
    <row r="324" spans="1:15" x14ac:dyDescent="0.25">
      <c r="A324" s="4">
        <f>'[3]M.C UNPIV'!B325</f>
        <v>0</v>
      </c>
      <c r="B324" s="5">
        <f>'[3]M.C UNPIV'!C325</f>
        <v>0</v>
      </c>
      <c r="C324" s="5">
        <f>'[3]M.C UNPIV'!D325</f>
        <v>0</v>
      </c>
      <c r="D324" s="5">
        <f>'[3]M.C UNPIV'!E325</f>
        <v>0</v>
      </c>
      <c r="E324" s="5">
        <f>'[3]M.C UNPIV'!F325</f>
        <v>0</v>
      </c>
      <c r="F324" s="5">
        <f>'[3]M.C UNPIV'!G325</f>
        <v>0</v>
      </c>
      <c r="G324" s="6">
        <f>'[3]M.C UNPIV'!H325</f>
        <v>0</v>
      </c>
      <c r="H324" s="5">
        <f>'[3]M.C UNPIV'!I325</f>
        <v>0</v>
      </c>
      <c r="I324" s="7">
        <f>'[3]M.C UNPIV'!J325</f>
        <v>0</v>
      </c>
      <c r="J324" s="7">
        <f>'[3]M.C UNPIV'!K325</f>
        <v>0</v>
      </c>
      <c r="K324" s="7">
        <f>'[3]M.C UNPIV'!L325</f>
        <v>0</v>
      </c>
      <c r="L324" s="7">
        <f>'[3]M.C UNPIV'!M325</f>
        <v>0</v>
      </c>
      <c r="M324" s="6">
        <f>'[3]M.C UNPIV'!N325</f>
        <v>0</v>
      </c>
      <c r="N324" s="5">
        <f>'[3]M.C UNPIV'!O325</f>
        <v>0</v>
      </c>
      <c r="O324" s="5">
        <f>'[3]M.C UNPIV'!P325</f>
        <v>0</v>
      </c>
    </row>
    <row r="325" spans="1:15" x14ac:dyDescent="0.25">
      <c r="A325" s="4">
        <f>'[3]M.C UNPIV'!B326</f>
        <v>0</v>
      </c>
      <c r="B325" s="5">
        <f>'[3]M.C UNPIV'!C326</f>
        <v>0</v>
      </c>
      <c r="C325" s="5">
        <f>'[3]M.C UNPIV'!D326</f>
        <v>0</v>
      </c>
      <c r="D325" s="5">
        <f>'[3]M.C UNPIV'!E326</f>
        <v>0</v>
      </c>
      <c r="E325" s="5">
        <f>'[3]M.C UNPIV'!F326</f>
        <v>0</v>
      </c>
      <c r="F325" s="5">
        <f>'[3]M.C UNPIV'!G326</f>
        <v>0</v>
      </c>
      <c r="G325" s="6">
        <f>'[3]M.C UNPIV'!H326</f>
        <v>0</v>
      </c>
      <c r="H325" s="5">
        <f>'[3]M.C UNPIV'!I326</f>
        <v>0</v>
      </c>
      <c r="I325" s="7">
        <f>'[3]M.C UNPIV'!J326</f>
        <v>0</v>
      </c>
      <c r="J325" s="7">
        <f>'[3]M.C UNPIV'!K326</f>
        <v>0</v>
      </c>
      <c r="K325" s="7">
        <f>'[3]M.C UNPIV'!L326</f>
        <v>0</v>
      </c>
      <c r="L325" s="7">
        <f>'[3]M.C UNPIV'!M326</f>
        <v>0</v>
      </c>
      <c r="M325" s="6">
        <f>'[3]M.C UNPIV'!N326</f>
        <v>0</v>
      </c>
      <c r="N325" s="5">
        <f>'[3]M.C UNPIV'!O326</f>
        <v>0</v>
      </c>
      <c r="O325" s="5">
        <f>'[3]M.C UNPIV'!P326</f>
        <v>0</v>
      </c>
    </row>
    <row r="326" spans="1:15" x14ac:dyDescent="0.25">
      <c r="A326" s="4">
        <f>'[3]M.C UNPIV'!B327</f>
        <v>0</v>
      </c>
      <c r="B326" s="5">
        <f>'[3]M.C UNPIV'!C327</f>
        <v>0</v>
      </c>
      <c r="C326" s="5">
        <f>'[3]M.C UNPIV'!D327</f>
        <v>0</v>
      </c>
      <c r="D326" s="5">
        <f>'[3]M.C UNPIV'!E327</f>
        <v>0</v>
      </c>
      <c r="E326" s="5">
        <f>'[3]M.C UNPIV'!F327</f>
        <v>0</v>
      </c>
      <c r="F326" s="5">
        <f>'[3]M.C UNPIV'!G327</f>
        <v>0</v>
      </c>
      <c r="G326" s="6">
        <f>'[3]M.C UNPIV'!H327</f>
        <v>0</v>
      </c>
      <c r="H326" s="5">
        <f>'[3]M.C UNPIV'!I327</f>
        <v>0</v>
      </c>
      <c r="I326" s="7">
        <f>'[3]M.C UNPIV'!J327</f>
        <v>0</v>
      </c>
      <c r="J326" s="7">
        <f>'[3]M.C UNPIV'!K327</f>
        <v>0</v>
      </c>
      <c r="K326" s="7">
        <f>'[3]M.C UNPIV'!L327</f>
        <v>0</v>
      </c>
      <c r="L326" s="7">
        <f>'[3]M.C UNPIV'!M327</f>
        <v>0</v>
      </c>
      <c r="M326" s="6">
        <f>'[3]M.C UNPIV'!N327</f>
        <v>0</v>
      </c>
      <c r="N326" s="5">
        <f>'[3]M.C UNPIV'!O327</f>
        <v>0</v>
      </c>
      <c r="O326" s="5">
        <f>'[3]M.C UNPIV'!P327</f>
        <v>0</v>
      </c>
    </row>
    <row r="327" spans="1:15" x14ac:dyDescent="0.25">
      <c r="A327" s="4">
        <f>'[3]M.C UNPIV'!B328</f>
        <v>0</v>
      </c>
      <c r="B327" s="5">
        <f>'[3]M.C UNPIV'!C328</f>
        <v>0</v>
      </c>
      <c r="C327" s="5">
        <f>'[3]M.C UNPIV'!D328</f>
        <v>0</v>
      </c>
      <c r="D327" s="5">
        <f>'[3]M.C UNPIV'!E328</f>
        <v>0</v>
      </c>
      <c r="E327" s="5">
        <f>'[3]M.C UNPIV'!F328</f>
        <v>0</v>
      </c>
      <c r="F327" s="5">
        <f>'[3]M.C UNPIV'!G328</f>
        <v>0</v>
      </c>
      <c r="G327" s="6">
        <f>'[3]M.C UNPIV'!H328</f>
        <v>0</v>
      </c>
      <c r="H327" s="5">
        <f>'[3]M.C UNPIV'!I328</f>
        <v>0</v>
      </c>
      <c r="I327" s="7">
        <f>'[3]M.C UNPIV'!J328</f>
        <v>0</v>
      </c>
      <c r="J327" s="7">
        <f>'[3]M.C UNPIV'!K328</f>
        <v>0</v>
      </c>
      <c r="K327" s="7">
        <f>'[3]M.C UNPIV'!L328</f>
        <v>0</v>
      </c>
      <c r="L327" s="7">
        <f>'[3]M.C UNPIV'!M328</f>
        <v>0</v>
      </c>
      <c r="M327" s="6">
        <f>'[3]M.C UNPIV'!N328</f>
        <v>0</v>
      </c>
      <c r="N327" s="5">
        <f>'[3]M.C UNPIV'!O328</f>
        <v>0</v>
      </c>
      <c r="O327" s="5">
        <f>'[3]M.C UNPIV'!P328</f>
        <v>0</v>
      </c>
    </row>
    <row r="328" spans="1:15" x14ac:dyDescent="0.25">
      <c r="A328" s="4">
        <f>'[3]M.C UNPIV'!B329</f>
        <v>0</v>
      </c>
      <c r="B328" s="5">
        <f>'[3]M.C UNPIV'!C329</f>
        <v>0</v>
      </c>
      <c r="C328" s="5">
        <f>'[3]M.C UNPIV'!D329</f>
        <v>0</v>
      </c>
      <c r="D328" s="5">
        <f>'[3]M.C UNPIV'!E329</f>
        <v>0</v>
      </c>
      <c r="E328" s="5">
        <f>'[3]M.C UNPIV'!F329</f>
        <v>0</v>
      </c>
      <c r="F328" s="5">
        <f>'[3]M.C UNPIV'!G329</f>
        <v>0</v>
      </c>
      <c r="G328" s="6">
        <f>'[3]M.C UNPIV'!H329</f>
        <v>0</v>
      </c>
      <c r="H328" s="5">
        <f>'[3]M.C UNPIV'!I329</f>
        <v>0</v>
      </c>
      <c r="I328" s="7">
        <f>'[3]M.C UNPIV'!J329</f>
        <v>0</v>
      </c>
      <c r="J328" s="7">
        <f>'[3]M.C UNPIV'!K329</f>
        <v>0</v>
      </c>
      <c r="K328" s="7">
        <f>'[3]M.C UNPIV'!L329</f>
        <v>0</v>
      </c>
      <c r="L328" s="7">
        <f>'[3]M.C UNPIV'!M329</f>
        <v>0</v>
      </c>
      <c r="M328" s="6">
        <f>'[3]M.C UNPIV'!N329</f>
        <v>0</v>
      </c>
      <c r="N328" s="5">
        <f>'[3]M.C UNPIV'!O329</f>
        <v>0</v>
      </c>
      <c r="O328" s="5">
        <f>'[3]M.C UNPIV'!P329</f>
        <v>0</v>
      </c>
    </row>
    <row r="329" spans="1:15" x14ac:dyDescent="0.25">
      <c r="A329" s="4">
        <f>'[3]M.C UNPIV'!B330</f>
        <v>0</v>
      </c>
      <c r="B329" s="5">
        <f>'[3]M.C UNPIV'!C330</f>
        <v>0</v>
      </c>
      <c r="C329" s="5">
        <f>'[3]M.C UNPIV'!D330</f>
        <v>0</v>
      </c>
      <c r="D329" s="5">
        <f>'[3]M.C UNPIV'!E330</f>
        <v>0</v>
      </c>
      <c r="E329" s="5">
        <f>'[3]M.C UNPIV'!F330</f>
        <v>0</v>
      </c>
      <c r="F329" s="5">
        <f>'[3]M.C UNPIV'!G330</f>
        <v>0</v>
      </c>
      <c r="G329" s="6">
        <f>'[3]M.C UNPIV'!H330</f>
        <v>0</v>
      </c>
      <c r="H329" s="5">
        <f>'[3]M.C UNPIV'!I330</f>
        <v>0</v>
      </c>
      <c r="I329" s="7">
        <f>'[3]M.C UNPIV'!J330</f>
        <v>0</v>
      </c>
      <c r="J329" s="7">
        <f>'[3]M.C UNPIV'!K330</f>
        <v>0</v>
      </c>
      <c r="K329" s="7">
        <f>'[3]M.C UNPIV'!L330</f>
        <v>0</v>
      </c>
      <c r="L329" s="7">
        <f>'[3]M.C UNPIV'!M330</f>
        <v>0</v>
      </c>
      <c r="M329" s="6">
        <f>'[3]M.C UNPIV'!N330</f>
        <v>0</v>
      </c>
      <c r="N329" s="5">
        <f>'[3]M.C UNPIV'!O330</f>
        <v>0</v>
      </c>
      <c r="O329" s="5">
        <f>'[3]M.C UNPIV'!P330</f>
        <v>0</v>
      </c>
    </row>
    <row r="330" spans="1:15" x14ac:dyDescent="0.25">
      <c r="A330" s="4">
        <f>'[3]M.C UNPIV'!B331</f>
        <v>0</v>
      </c>
      <c r="B330" s="5">
        <f>'[3]M.C UNPIV'!C331</f>
        <v>0</v>
      </c>
      <c r="C330" s="5">
        <f>'[3]M.C UNPIV'!D331</f>
        <v>0</v>
      </c>
      <c r="D330" s="5">
        <f>'[3]M.C UNPIV'!E331</f>
        <v>0</v>
      </c>
      <c r="E330" s="5">
        <f>'[3]M.C UNPIV'!F331</f>
        <v>0</v>
      </c>
      <c r="F330" s="5">
        <f>'[3]M.C UNPIV'!G331</f>
        <v>0</v>
      </c>
      <c r="G330" s="6">
        <f>'[3]M.C UNPIV'!H331</f>
        <v>0</v>
      </c>
      <c r="H330" s="5">
        <f>'[3]M.C UNPIV'!I331</f>
        <v>0</v>
      </c>
      <c r="I330" s="7">
        <f>'[3]M.C UNPIV'!J331</f>
        <v>0</v>
      </c>
      <c r="J330" s="7">
        <f>'[3]M.C UNPIV'!K331</f>
        <v>0</v>
      </c>
      <c r="K330" s="7">
        <f>'[3]M.C UNPIV'!L331</f>
        <v>0</v>
      </c>
      <c r="L330" s="7">
        <f>'[3]M.C UNPIV'!M331</f>
        <v>0</v>
      </c>
      <c r="M330" s="6">
        <f>'[3]M.C UNPIV'!N331</f>
        <v>0</v>
      </c>
      <c r="N330" s="5">
        <f>'[3]M.C UNPIV'!O331</f>
        <v>0</v>
      </c>
      <c r="O330" s="5">
        <f>'[3]M.C UNPIV'!P331</f>
        <v>0</v>
      </c>
    </row>
    <row r="331" spans="1:15" x14ac:dyDescent="0.25">
      <c r="A331" s="4">
        <f>'[3]M.C UNPIV'!B332</f>
        <v>0</v>
      </c>
      <c r="B331" s="5">
        <f>'[3]M.C UNPIV'!C332</f>
        <v>0</v>
      </c>
      <c r="C331" s="5">
        <f>'[3]M.C UNPIV'!D332</f>
        <v>0</v>
      </c>
      <c r="D331" s="5">
        <f>'[3]M.C UNPIV'!E332</f>
        <v>0</v>
      </c>
      <c r="E331" s="5">
        <f>'[3]M.C UNPIV'!F332</f>
        <v>0</v>
      </c>
      <c r="F331" s="5">
        <f>'[3]M.C UNPIV'!G332</f>
        <v>0</v>
      </c>
      <c r="G331" s="6">
        <f>'[3]M.C UNPIV'!H332</f>
        <v>0</v>
      </c>
      <c r="H331" s="5">
        <f>'[3]M.C UNPIV'!I332</f>
        <v>0</v>
      </c>
      <c r="I331" s="7">
        <f>'[3]M.C UNPIV'!J332</f>
        <v>0</v>
      </c>
      <c r="J331" s="7">
        <f>'[3]M.C UNPIV'!K332</f>
        <v>0</v>
      </c>
      <c r="K331" s="7">
        <f>'[3]M.C UNPIV'!L332</f>
        <v>0</v>
      </c>
      <c r="L331" s="7">
        <f>'[3]M.C UNPIV'!M332</f>
        <v>0</v>
      </c>
      <c r="M331" s="6">
        <f>'[3]M.C UNPIV'!N332</f>
        <v>0</v>
      </c>
      <c r="N331" s="5">
        <f>'[3]M.C UNPIV'!O332</f>
        <v>0</v>
      </c>
      <c r="O331" s="5">
        <f>'[3]M.C UNPIV'!P332</f>
        <v>0</v>
      </c>
    </row>
    <row r="332" spans="1:15" x14ac:dyDescent="0.25">
      <c r="A332" s="4">
        <f>'[3]M.C UNPIV'!B333</f>
        <v>0</v>
      </c>
      <c r="B332" s="5">
        <f>'[3]M.C UNPIV'!C333</f>
        <v>0</v>
      </c>
      <c r="C332" s="5">
        <f>'[3]M.C UNPIV'!D333</f>
        <v>0</v>
      </c>
      <c r="D332" s="5">
        <f>'[3]M.C UNPIV'!E333</f>
        <v>0</v>
      </c>
      <c r="E332" s="5">
        <f>'[3]M.C UNPIV'!F333</f>
        <v>0</v>
      </c>
      <c r="F332" s="5">
        <f>'[3]M.C UNPIV'!G333</f>
        <v>0</v>
      </c>
      <c r="G332" s="6">
        <f>'[3]M.C UNPIV'!H333</f>
        <v>0</v>
      </c>
      <c r="H332" s="5">
        <f>'[3]M.C UNPIV'!I333</f>
        <v>0</v>
      </c>
      <c r="I332" s="7">
        <f>'[3]M.C UNPIV'!J333</f>
        <v>0</v>
      </c>
      <c r="J332" s="7">
        <f>'[3]M.C UNPIV'!K333</f>
        <v>0</v>
      </c>
      <c r="K332" s="7">
        <f>'[3]M.C UNPIV'!L333</f>
        <v>0</v>
      </c>
      <c r="L332" s="7">
        <f>'[3]M.C UNPIV'!M333</f>
        <v>0</v>
      </c>
      <c r="M332" s="6">
        <f>'[3]M.C UNPIV'!N333</f>
        <v>0</v>
      </c>
      <c r="N332" s="5">
        <f>'[3]M.C UNPIV'!O333</f>
        <v>0</v>
      </c>
      <c r="O332" s="5">
        <f>'[3]M.C UNPIV'!P333</f>
        <v>0</v>
      </c>
    </row>
    <row r="333" spans="1:15" x14ac:dyDescent="0.25">
      <c r="A333" s="4">
        <f>'[3]M.C UNPIV'!B334</f>
        <v>0</v>
      </c>
      <c r="B333" s="5">
        <f>'[3]M.C UNPIV'!C334</f>
        <v>0</v>
      </c>
      <c r="C333" s="5">
        <f>'[3]M.C UNPIV'!D334</f>
        <v>0</v>
      </c>
      <c r="D333" s="5">
        <f>'[3]M.C UNPIV'!E334</f>
        <v>0</v>
      </c>
      <c r="E333" s="5">
        <f>'[3]M.C UNPIV'!F334</f>
        <v>0</v>
      </c>
      <c r="F333" s="5">
        <f>'[3]M.C UNPIV'!G334</f>
        <v>0</v>
      </c>
      <c r="G333" s="6">
        <f>'[3]M.C UNPIV'!H334</f>
        <v>0</v>
      </c>
      <c r="H333" s="5">
        <f>'[3]M.C UNPIV'!I334</f>
        <v>0</v>
      </c>
      <c r="I333" s="7">
        <f>'[3]M.C UNPIV'!J334</f>
        <v>0</v>
      </c>
      <c r="J333" s="7">
        <f>'[3]M.C UNPIV'!K334</f>
        <v>0</v>
      </c>
      <c r="K333" s="7">
        <f>'[3]M.C UNPIV'!L334</f>
        <v>0</v>
      </c>
      <c r="L333" s="7">
        <f>'[3]M.C UNPIV'!M334</f>
        <v>0</v>
      </c>
      <c r="M333" s="6">
        <f>'[3]M.C UNPIV'!N334</f>
        <v>0</v>
      </c>
      <c r="N333" s="5">
        <f>'[3]M.C UNPIV'!O334</f>
        <v>0</v>
      </c>
      <c r="O333" s="5">
        <f>'[3]M.C UNPIV'!P334</f>
        <v>0</v>
      </c>
    </row>
    <row r="334" spans="1:15" x14ac:dyDescent="0.25">
      <c r="A334" s="4">
        <f>'[3]M.C UNPIV'!B335</f>
        <v>0</v>
      </c>
      <c r="B334" s="5">
        <f>'[3]M.C UNPIV'!C335</f>
        <v>0</v>
      </c>
      <c r="C334" s="5">
        <f>'[3]M.C UNPIV'!D335</f>
        <v>0</v>
      </c>
      <c r="D334" s="5">
        <f>'[3]M.C UNPIV'!E335</f>
        <v>0</v>
      </c>
      <c r="E334" s="5">
        <f>'[3]M.C UNPIV'!F335</f>
        <v>0</v>
      </c>
      <c r="F334" s="5">
        <f>'[3]M.C UNPIV'!G335</f>
        <v>0</v>
      </c>
      <c r="G334" s="6">
        <f>'[3]M.C UNPIV'!H335</f>
        <v>0</v>
      </c>
      <c r="H334" s="5">
        <f>'[3]M.C UNPIV'!I335</f>
        <v>0</v>
      </c>
      <c r="I334" s="7">
        <f>'[3]M.C UNPIV'!J335</f>
        <v>0</v>
      </c>
      <c r="J334" s="7">
        <f>'[3]M.C UNPIV'!K335</f>
        <v>0</v>
      </c>
      <c r="K334" s="7">
        <f>'[3]M.C UNPIV'!L335</f>
        <v>0</v>
      </c>
      <c r="L334" s="7">
        <f>'[3]M.C UNPIV'!M335</f>
        <v>0</v>
      </c>
      <c r="M334" s="6">
        <f>'[3]M.C UNPIV'!N335</f>
        <v>0</v>
      </c>
      <c r="N334" s="5">
        <f>'[3]M.C UNPIV'!O335</f>
        <v>0</v>
      </c>
      <c r="O334" s="5">
        <f>'[3]M.C UNPIV'!P335</f>
        <v>0</v>
      </c>
    </row>
    <row r="335" spans="1:15" x14ac:dyDescent="0.25">
      <c r="A335" s="4">
        <f>'[3]M.C UNPIV'!B336</f>
        <v>0</v>
      </c>
      <c r="B335" s="5">
        <f>'[3]M.C UNPIV'!C336</f>
        <v>0</v>
      </c>
      <c r="C335" s="5">
        <f>'[3]M.C UNPIV'!D336</f>
        <v>0</v>
      </c>
      <c r="D335" s="5">
        <f>'[3]M.C UNPIV'!E336</f>
        <v>0</v>
      </c>
      <c r="E335" s="5">
        <f>'[3]M.C UNPIV'!F336</f>
        <v>0</v>
      </c>
      <c r="F335" s="5">
        <f>'[3]M.C UNPIV'!G336</f>
        <v>0</v>
      </c>
      <c r="G335" s="6">
        <f>'[3]M.C UNPIV'!H336</f>
        <v>0</v>
      </c>
      <c r="H335" s="5">
        <f>'[3]M.C UNPIV'!I336</f>
        <v>0</v>
      </c>
      <c r="I335" s="7">
        <f>'[3]M.C UNPIV'!J336</f>
        <v>0</v>
      </c>
      <c r="J335" s="7">
        <f>'[3]M.C UNPIV'!K336</f>
        <v>0</v>
      </c>
      <c r="K335" s="7">
        <f>'[3]M.C UNPIV'!L336</f>
        <v>0</v>
      </c>
      <c r="L335" s="7">
        <f>'[3]M.C UNPIV'!M336</f>
        <v>0</v>
      </c>
      <c r="M335" s="6">
        <f>'[3]M.C UNPIV'!N336</f>
        <v>0</v>
      </c>
      <c r="N335" s="5">
        <f>'[3]M.C UNPIV'!O336</f>
        <v>0</v>
      </c>
      <c r="O335" s="5">
        <f>'[3]M.C UNPIV'!P336</f>
        <v>0</v>
      </c>
    </row>
    <row r="336" spans="1:15" x14ac:dyDescent="0.25">
      <c r="A336" s="4">
        <f>'[3]M.C UNPIV'!B337</f>
        <v>0</v>
      </c>
      <c r="B336" s="5">
        <f>'[3]M.C UNPIV'!C337</f>
        <v>0</v>
      </c>
      <c r="C336" s="5">
        <f>'[3]M.C UNPIV'!D337</f>
        <v>0</v>
      </c>
      <c r="D336" s="5">
        <f>'[3]M.C UNPIV'!E337</f>
        <v>0</v>
      </c>
      <c r="E336" s="5">
        <f>'[3]M.C UNPIV'!F337</f>
        <v>0</v>
      </c>
      <c r="F336" s="5">
        <f>'[3]M.C UNPIV'!G337</f>
        <v>0</v>
      </c>
      <c r="G336" s="6">
        <f>'[3]M.C UNPIV'!H337</f>
        <v>0</v>
      </c>
      <c r="H336" s="5">
        <f>'[3]M.C UNPIV'!I337</f>
        <v>0</v>
      </c>
      <c r="I336" s="7">
        <f>'[3]M.C UNPIV'!J337</f>
        <v>0</v>
      </c>
      <c r="J336" s="7">
        <f>'[3]M.C UNPIV'!K337</f>
        <v>0</v>
      </c>
      <c r="K336" s="7">
        <f>'[3]M.C UNPIV'!L337</f>
        <v>0</v>
      </c>
      <c r="L336" s="7">
        <f>'[3]M.C UNPIV'!M337</f>
        <v>0</v>
      </c>
      <c r="M336" s="6">
        <f>'[3]M.C UNPIV'!N337</f>
        <v>0</v>
      </c>
      <c r="N336" s="5">
        <f>'[3]M.C UNPIV'!O337</f>
        <v>0</v>
      </c>
      <c r="O336" s="5">
        <f>'[3]M.C UNPIV'!P337</f>
        <v>0</v>
      </c>
    </row>
    <row r="337" spans="1:15" x14ac:dyDescent="0.25">
      <c r="A337" s="4">
        <f>'[3]M.C UNPIV'!B338</f>
        <v>0</v>
      </c>
      <c r="B337" s="5">
        <f>'[3]M.C UNPIV'!C338</f>
        <v>0</v>
      </c>
      <c r="C337" s="5">
        <f>'[3]M.C UNPIV'!D338</f>
        <v>0</v>
      </c>
      <c r="D337" s="5">
        <f>'[3]M.C UNPIV'!E338</f>
        <v>0</v>
      </c>
      <c r="E337" s="5">
        <f>'[3]M.C UNPIV'!F338</f>
        <v>0</v>
      </c>
      <c r="F337" s="5">
        <f>'[3]M.C UNPIV'!G338</f>
        <v>0</v>
      </c>
      <c r="G337" s="6">
        <f>'[3]M.C UNPIV'!H338</f>
        <v>0</v>
      </c>
      <c r="H337" s="5">
        <f>'[3]M.C UNPIV'!I338</f>
        <v>0</v>
      </c>
      <c r="I337" s="7">
        <f>'[3]M.C UNPIV'!J338</f>
        <v>0</v>
      </c>
      <c r="J337" s="7">
        <f>'[3]M.C UNPIV'!K338</f>
        <v>0</v>
      </c>
      <c r="K337" s="7">
        <f>'[3]M.C UNPIV'!L338</f>
        <v>0</v>
      </c>
      <c r="L337" s="7">
        <f>'[3]M.C UNPIV'!M338</f>
        <v>0</v>
      </c>
      <c r="M337" s="6">
        <f>'[3]M.C UNPIV'!N338</f>
        <v>0</v>
      </c>
      <c r="N337" s="5">
        <f>'[3]M.C UNPIV'!O338</f>
        <v>0</v>
      </c>
      <c r="O337" s="5">
        <f>'[3]M.C UNPIV'!P338</f>
        <v>0</v>
      </c>
    </row>
    <row r="338" spans="1:15" x14ac:dyDescent="0.25">
      <c r="A338" s="4">
        <f>'[3]M.C UNPIV'!B339</f>
        <v>0</v>
      </c>
      <c r="B338" s="5">
        <f>'[3]M.C UNPIV'!C339</f>
        <v>0</v>
      </c>
      <c r="C338" s="5">
        <f>'[3]M.C UNPIV'!D339</f>
        <v>0</v>
      </c>
      <c r="D338" s="5">
        <f>'[3]M.C UNPIV'!E339</f>
        <v>0</v>
      </c>
      <c r="E338" s="5">
        <f>'[3]M.C UNPIV'!F339</f>
        <v>0</v>
      </c>
      <c r="F338" s="5">
        <f>'[3]M.C UNPIV'!G339</f>
        <v>0</v>
      </c>
      <c r="G338" s="6">
        <f>'[3]M.C UNPIV'!H339</f>
        <v>0</v>
      </c>
      <c r="H338" s="5">
        <f>'[3]M.C UNPIV'!I339</f>
        <v>0</v>
      </c>
      <c r="I338" s="7">
        <f>'[3]M.C UNPIV'!J339</f>
        <v>0</v>
      </c>
      <c r="J338" s="7">
        <f>'[3]M.C UNPIV'!K339</f>
        <v>0</v>
      </c>
      <c r="K338" s="7">
        <f>'[3]M.C UNPIV'!L339</f>
        <v>0</v>
      </c>
      <c r="L338" s="7">
        <f>'[3]M.C UNPIV'!M339</f>
        <v>0</v>
      </c>
      <c r="M338" s="6">
        <f>'[3]M.C UNPIV'!N339</f>
        <v>0</v>
      </c>
      <c r="N338" s="5">
        <f>'[3]M.C UNPIV'!O339</f>
        <v>0</v>
      </c>
      <c r="O338" s="5">
        <f>'[3]M.C UNPIV'!P339</f>
        <v>0</v>
      </c>
    </row>
    <row r="339" spans="1:15" x14ac:dyDescent="0.25">
      <c r="A339" s="4">
        <f>'[3]M.C UNPIV'!B340</f>
        <v>0</v>
      </c>
      <c r="B339" s="5">
        <f>'[3]M.C UNPIV'!C340</f>
        <v>0</v>
      </c>
      <c r="C339" s="5">
        <f>'[3]M.C UNPIV'!D340</f>
        <v>0</v>
      </c>
      <c r="D339" s="5">
        <f>'[3]M.C UNPIV'!E340</f>
        <v>0</v>
      </c>
      <c r="E339" s="5">
        <f>'[3]M.C UNPIV'!F340</f>
        <v>0</v>
      </c>
      <c r="F339" s="5">
        <f>'[3]M.C UNPIV'!G340</f>
        <v>0</v>
      </c>
      <c r="G339" s="6">
        <f>'[3]M.C UNPIV'!H340</f>
        <v>0</v>
      </c>
      <c r="H339" s="5">
        <f>'[3]M.C UNPIV'!I340</f>
        <v>0</v>
      </c>
      <c r="I339" s="7">
        <f>'[3]M.C UNPIV'!J340</f>
        <v>0</v>
      </c>
      <c r="J339" s="7">
        <f>'[3]M.C UNPIV'!K340</f>
        <v>0</v>
      </c>
      <c r="K339" s="7">
        <f>'[3]M.C UNPIV'!L340</f>
        <v>0</v>
      </c>
      <c r="L339" s="7">
        <f>'[3]M.C UNPIV'!M340</f>
        <v>0</v>
      </c>
      <c r="M339" s="6">
        <f>'[3]M.C UNPIV'!N340</f>
        <v>0</v>
      </c>
      <c r="N339" s="5">
        <f>'[3]M.C UNPIV'!O340</f>
        <v>0</v>
      </c>
      <c r="O339" s="5">
        <f>'[3]M.C UNPIV'!P340</f>
        <v>0</v>
      </c>
    </row>
    <row r="340" spans="1:15" x14ac:dyDescent="0.25">
      <c r="A340" s="4">
        <f>'[3]M.C UNPIV'!B341</f>
        <v>0</v>
      </c>
      <c r="B340" s="5">
        <f>'[3]M.C UNPIV'!C341</f>
        <v>0</v>
      </c>
      <c r="C340" s="5">
        <f>'[3]M.C UNPIV'!D341</f>
        <v>0</v>
      </c>
      <c r="D340" s="5">
        <f>'[3]M.C UNPIV'!E341</f>
        <v>0</v>
      </c>
      <c r="E340" s="5">
        <f>'[3]M.C UNPIV'!F341</f>
        <v>0</v>
      </c>
      <c r="F340" s="5">
        <f>'[3]M.C UNPIV'!G341</f>
        <v>0</v>
      </c>
      <c r="G340" s="6">
        <f>'[3]M.C UNPIV'!H341</f>
        <v>0</v>
      </c>
      <c r="H340" s="5">
        <f>'[3]M.C UNPIV'!I341</f>
        <v>0</v>
      </c>
      <c r="I340" s="7">
        <f>'[3]M.C UNPIV'!J341</f>
        <v>0</v>
      </c>
      <c r="J340" s="7">
        <f>'[3]M.C UNPIV'!K341</f>
        <v>0</v>
      </c>
      <c r="K340" s="7">
        <f>'[3]M.C UNPIV'!L341</f>
        <v>0</v>
      </c>
      <c r="L340" s="7">
        <f>'[3]M.C UNPIV'!M341</f>
        <v>0</v>
      </c>
      <c r="M340" s="6">
        <f>'[3]M.C UNPIV'!N341</f>
        <v>0</v>
      </c>
      <c r="N340" s="5">
        <f>'[3]M.C UNPIV'!O341</f>
        <v>0</v>
      </c>
      <c r="O340" s="5">
        <f>'[3]M.C UNPIV'!P341</f>
        <v>0</v>
      </c>
    </row>
    <row r="341" spans="1:15" x14ac:dyDescent="0.25">
      <c r="A341" s="4">
        <f>'[3]M.C UNPIV'!B342</f>
        <v>0</v>
      </c>
      <c r="B341" s="5">
        <f>'[3]M.C UNPIV'!C342</f>
        <v>0</v>
      </c>
      <c r="C341" s="5">
        <f>'[3]M.C UNPIV'!D342</f>
        <v>0</v>
      </c>
      <c r="D341" s="5">
        <f>'[3]M.C UNPIV'!E342</f>
        <v>0</v>
      </c>
      <c r="E341" s="5">
        <f>'[3]M.C UNPIV'!F342</f>
        <v>0</v>
      </c>
      <c r="F341" s="5">
        <f>'[3]M.C UNPIV'!G342</f>
        <v>0</v>
      </c>
      <c r="G341" s="6">
        <f>'[3]M.C UNPIV'!H342</f>
        <v>0</v>
      </c>
      <c r="H341" s="5">
        <f>'[3]M.C UNPIV'!I342</f>
        <v>0</v>
      </c>
      <c r="I341" s="7">
        <f>'[3]M.C UNPIV'!J342</f>
        <v>0</v>
      </c>
      <c r="J341" s="7">
        <f>'[3]M.C UNPIV'!K342</f>
        <v>0</v>
      </c>
      <c r="K341" s="7">
        <f>'[3]M.C UNPIV'!L342</f>
        <v>0</v>
      </c>
      <c r="L341" s="7">
        <f>'[3]M.C UNPIV'!M342</f>
        <v>0</v>
      </c>
      <c r="M341" s="6">
        <f>'[3]M.C UNPIV'!N342</f>
        <v>0</v>
      </c>
      <c r="N341" s="5">
        <f>'[3]M.C UNPIV'!O342</f>
        <v>0</v>
      </c>
      <c r="O341" s="5">
        <f>'[3]M.C UNPIV'!P342</f>
        <v>0</v>
      </c>
    </row>
    <row r="342" spans="1:15" x14ac:dyDescent="0.25">
      <c r="A342" s="4">
        <f>'[3]M.C UNPIV'!B343</f>
        <v>0</v>
      </c>
      <c r="B342" s="5">
        <f>'[3]M.C UNPIV'!C343</f>
        <v>0</v>
      </c>
      <c r="C342" s="5">
        <f>'[3]M.C UNPIV'!D343</f>
        <v>0</v>
      </c>
      <c r="D342" s="5">
        <f>'[3]M.C UNPIV'!E343</f>
        <v>0</v>
      </c>
      <c r="E342" s="5">
        <f>'[3]M.C UNPIV'!F343</f>
        <v>0</v>
      </c>
      <c r="F342" s="5">
        <f>'[3]M.C UNPIV'!G343</f>
        <v>0</v>
      </c>
      <c r="G342" s="6">
        <f>'[3]M.C UNPIV'!H343</f>
        <v>0</v>
      </c>
      <c r="H342" s="5">
        <f>'[3]M.C UNPIV'!I343</f>
        <v>0</v>
      </c>
      <c r="I342" s="7">
        <f>'[3]M.C UNPIV'!J343</f>
        <v>0</v>
      </c>
      <c r="J342" s="7">
        <f>'[3]M.C UNPIV'!K343</f>
        <v>0</v>
      </c>
      <c r="K342" s="7">
        <f>'[3]M.C UNPIV'!L343</f>
        <v>0</v>
      </c>
      <c r="L342" s="7">
        <f>'[3]M.C UNPIV'!M343</f>
        <v>0</v>
      </c>
      <c r="M342" s="6">
        <f>'[3]M.C UNPIV'!N343</f>
        <v>0</v>
      </c>
      <c r="N342" s="5">
        <f>'[3]M.C UNPIV'!O343</f>
        <v>0</v>
      </c>
      <c r="O342" s="5">
        <f>'[3]M.C UNPIV'!P343</f>
        <v>0</v>
      </c>
    </row>
    <row r="343" spans="1:15" x14ac:dyDescent="0.25">
      <c r="A343" s="4">
        <f>'[3]M.C UNPIV'!B344</f>
        <v>0</v>
      </c>
      <c r="B343" s="5">
        <f>'[3]M.C UNPIV'!C344</f>
        <v>0</v>
      </c>
      <c r="C343" s="5">
        <f>'[3]M.C UNPIV'!D344</f>
        <v>0</v>
      </c>
      <c r="D343" s="5">
        <f>'[3]M.C UNPIV'!E344</f>
        <v>0</v>
      </c>
      <c r="E343" s="5">
        <f>'[3]M.C UNPIV'!F344</f>
        <v>0</v>
      </c>
      <c r="F343" s="5">
        <f>'[3]M.C UNPIV'!G344</f>
        <v>0</v>
      </c>
      <c r="G343" s="6">
        <f>'[3]M.C UNPIV'!H344</f>
        <v>0</v>
      </c>
      <c r="H343" s="5">
        <f>'[3]M.C UNPIV'!I344</f>
        <v>0</v>
      </c>
      <c r="I343" s="7">
        <f>'[3]M.C UNPIV'!J344</f>
        <v>0</v>
      </c>
      <c r="J343" s="7">
        <f>'[3]M.C UNPIV'!K344</f>
        <v>0</v>
      </c>
      <c r="K343" s="7">
        <f>'[3]M.C UNPIV'!L344</f>
        <v>0</v>
      </c>
      <c r="L343" s="7">
        <f>'[3]M.C UNPIV'!M344</f>
        <v>0</v>
      </c>
      <c r="M343" s="6">
        <f>'[3]M.C UNPIV'!N344</f>
        <v>0</v>
      </c>
      <c r="N343" s="5">
        <f>'[3]M.C UNPIV'!O344</f>
        <v>0</v>
      </c>
      <c r="O343" s="5">
        <f>'[3]M.C UNPIV'!P344</f>
        <v>0</v>
      </c>
    </row>
    <row r="344" spans="1:15" x14ac:dyDescent="0.25">
      <c r="A344" s="4">
        <f>'[3]M.C UNPIV'!B345</f>
        <v>0</v>
      </c>
      <c r="B344" s="5">
        <f>'[3]M.C UNPIV'!C345</f>
        <v>0</v>
      </c>
      <c r="C344" s="5">
        <f>'[3]M.C UNPIV'!D345</f>
        <v>0</v>
      </c>
      <c r="D344" s="5">
        <f>'[3]M.C UNPIV'!E345</f>
        <v>0</v>
      </c>
      <c r="E344" s="5">
        <f>'[3]M.C UNPIV'!F345</f>
        <v>0</v>
      </c>
      <c r="F344" s="5">
        <f>'[3]M.C UNPIV'!G345</f>
        <v>0</v>
      </c>
      <c r="G344" s="6">
        <f>'[3]M.C UNPIV'!H345</f>
        <v>0</v>
      </c>
      <c r="H344" s="5">
        <f>'[3]M.C UNPIV'!I345</f>
        <v>0</v>
      </c>
      <c r="I344" s="7">
        <f>'[3]M.C UNPIV'!J345</f>
        <v>0</v>
      </c>
      <c r="J344" s="7">
        <f>'[3]M.C UNPIV'!K345</f>
        <v>0</v>
      </c>
      <c r="K344" s="7">
        <f>'[3]M.C UNPIV'!L345</f>
        <v>0</v>
      </c>
      <c r="L344" s="7">
        <f>'[3]M.C UNPIV'!M345</f>
        <v>0</v>
      </c>
      <c r="M344" s="6">
        <f>'[3]M.C UNPIV'!N345</f>
        <v>0</v>
      </c>
      <c r="N344" s="5">
        <f>'[3]M.C UNPIV'!O345</f>
        <v>0</v>
      </c>
      <c r="O344" s="5">
        <f>'[3]M.C UNPIV'!P345</f>
        <v>0</v>
      </c>
    </row>
    <row r="345" spans="1:15" x14ac:dyDescent="0.25">
      <c r="A345" s="4">
        <f>'[3]M.C UNPIV'!B346</f>
        <v>0</v>
      </c>
      <c r="B345" s="5">
        <f>'[3]M.C UNPIV'!C346</f>
        <v>0</v>
      </c>
      <c r="C345" s="5">
        <f>'[3]M.C UNPIV'!D346</f>
        <v>0</v>
      </c>
      <c r="D345" s="5">
        <f>'[3]M.C UNPIV'!E346</f>
        <v>0</v>
      </c>
      <c r="E345" s="5">
        <f>'[3]M.C UNPIV'!F346</f>
        <v>0</v>
      </c>
      <c r="F345" s="5">
        <f>'[3]M.C UNPIV'!G346</f>
        <v>0</v>
      </c>
      <c r="G345" s="6">
        <f>'[3]M.C UNPIV'!H346</f>
        <v>0</v>
      </c>
      <c r="H345" s="5">
        <f>'[3]M.C UNPIV'!I346</f>
        <v>0</v>
      </c>
      <c r="I345" s="7">
        <f>'[3]M.C UNPIV'!J346</f>
        <v>0</v>
      </c>
      <c r="J345" s="7">
        <f>'[3]M.C UNPIV'!K346</f>
        <v>0</v>
      </c>
      <c r="K345" s="7">
        <f>'[3]M.C UNPIV'!L346</f>
        <v>0</v>
      </c>
      <c r="L345" s="7">
        <f>'[3]M.C UNPIV'!M346</f>
        <v>0</v>
      </c>
      <c r="M345" s="6">
        <f>'[3]M.C UNPIV'!N346</f>
        <v>0</v>
      </c>
      <c r="N345" s="5">
        <f>'[3]M.C UNPIV'!O346</f>
        <v>0</v>
      </c>
      <c r="O345" s="5">
        <f>'[3]M.C UNPIV'!P346</f>
        <v>0</v>
      </c>
    </row>
    <row r="346" spans="1:15" x14ac:dyDescent="0.25">
      <c r="A346" s="4">
        <f>'[3]M.C UNPIV'!B347</f>
        <v>0</v>
      </c>
      <c r="B346" s="5">
        <f>'[3]M.C UNPIV'!C347</f>
        <v>0</v>
      </c>
      <c r="C346" s="5">
        <f>'[3]M.C UNPIV'!D347</f>
        <v>0</v>
      </c>
      <c r="D346" s="5">
        <f>'[3]M.C UNPIV'!E347</f>
        <v>0</v>
      </c>
      <c r="E346" s="5">
        <f>'[3]M.C UNPIV'!F347</f>
        <v>0</v>
      </c>
      <c r="F346" s="5">
        <f>'[3]M.C UNPIV'!G347</f>
        <v>0</v>
      </c>
      <c r="G346" s="6">
        <f>'[3]M.C UNPIV'!H347</f>
        <v>0</v>
      </c>
      <c r="H346" s="5">
        <f>'[3]M.C UNPIV'!I347</f>
        <v>0</v>
      </c>
      <c r="I346" s="7">
        <f>'[3]M.C UNPIV'!J347</f>
        <v>0</v>
      </c>
      <c r="J346" s="7">
        <f>'[3]M.C UNPIV'!K347</f>
        <v>0</v>
      </c>
      <c r="K346" s="7">
        <f>'[3]M.C UNPIV'!L347</f>
        <v>0</v>
      </c>
      <c r="L346" s="7">
        <f>'[3]M.C UNPIV'!M347</f>
        <v>0</v>
      </c>
      <c r="M346" s="6">
        <f>'[3]M.C UNPIV'!N347</f>
        <v>0</v>
      </c>
      <c r="N346" s="5">
        <f>'[3]M.C UNPIV'!O347</f>
        <v>0</v>
      </c>
      <c r="O346" s="5">
        <f>'[3]M.C UNPIV'!P347</f>
        <v>0</v>
      </c>
    </row>
    <row r="347" spans="1:15" x14ac:dyDescent="0.25">
      <c r="A347" s="4">
        <f>'[3]M.C UNPIV'!B348</f>
        <v>0</v>
      </c>
      <c r="B347" s="5">
        <f>'[3]M.C UNPIV'!C348</f>
        <v>0</v>
      </c>
      <c r="C347" s="5">
        <f>'[3]M.C UNPIV'!D348</f>
        <v>0</v>
      </c>
      <c r="D347" s="5">
        <f>'[3]M.C UNPIV'!E348</f>
        <v>0</v>
      </c>
      <c r="E347" s="5">
        <f>'[3]M.C UNPIV'!F348</f>
        <v>0</v>
      </c>
      <c r="F347" s="5">
        <f>'[3]M.C UNPIV'!G348</f>
        <v>0</v>
      </c>
      <c r="G347" s="6">
        <f>'[3]M.C UNPIV'!H348</f>
        <v>0</v>
      </c>
      <c r="H347" s="5">
        <f>'[3]M.C UNPIV'!I348</f>
        <v>0</v>
      </c>
      <c r="I347" s="7">
        <f>'[3]M.C UNPIV'!J348</f>
        <v>0</v>
      </c>
      <c r="J347" s="7">
        <f>'[3]M.C UNPIV'!K348</f>
        <v>0</v>
      </c>
      <c r="K347" s="7">
        <f>'[3]M.C UNPIV'!L348</f>
        <v>0</v>
      </c>
      <c r="L347" s="7">
        <f>'[3]M.C UNPIV'!M348</f>
        <v>0</v>
      </c>
      <c r="M347" s="6">
        <f>'[3]M.C UNPIV'!N348</f>
        <v>0</v>
      </c>
      <c r="N347" s="5">
        <f>'[3]M.C UNPIV'!O348</f>
        <v>0</v>
      </c>
      <c r="O347" s="5">
        <f>'[3]M.C UNPIV'!P348</f>
        <v>0</v>
      </c>
    </row>
    <row r="348" spans="1:15" x14ac:dyDescent="0.25">
      <c r="A348" s="4">
        <f>'[3]M.C UNPIV'!B349</f>
        <v>0</v>
      </c>
      <c r="B348" s="5">
        <f>'[3]M.C UNPIV'!C349</f>
        <v>0</v>
      </c>
      <c r="C348" s="5">
        <f>'[3]M.C UNPIV'!D349</f>
        <v>0</v>
      </c>
      <c r="D348" s="5">
        <f>'[3]M.C UNPIV'!E349</f>
        <v>0</v>
      </c>
      <c r="E348" s="5">
        <f>'[3]M.C UNPIV'!F349</f>
        <v>0</v>
      </c>
      <c r="F348" s="5">
        <f>'[3]M.C UNPIV'!G349</f>
        <v>0</v>
      </c>
      <c r="G348" s="6">
        <f>'[3]M.C UNPIV'!H349</f>
        <v>0</v>
      </c>
      <c r="H348" s="5">
        <f>'[3]M.C UNPIV'!I349</f>
        <v>0</v>
      </c>
      <c r="I348" s="7">
        <f>'[3]M.C UNPIV'!J349</f>
        <v>0</v>
      </c>
      <c r="J348" s="7">
        <f>'[3]M.C UNPIV'!K349</f>
        <v>0</v>
      </c>
      <c r="K348" s="7">
        <f>'[3]M.C UNPIV'!L349</f>
        <v>0</v>
      </c>
      <c r="L348" s="7">
        <f>'[3]M.C UNPIV'!M349</f>
        <v>0</v>
      </c>
      <c r="M348" s="6">
        <f>'[3]M.C UNPIV'!N349</f>
        <v>0</v>
      </c>
      <c r="N348" s="5">
        <f>'[3]M.C UNPIV'!O349</f>
        <v>0</v>
      </c>
      <c r="O348" s="5">
        <f>'[3]M.C UNPIV'!P349</f>
        <v>0</v>
      </c>
    </row>
    <row r="349" spans="1:15" x14ac:dyDescent="0.25">
      <c r="A349" s="4">
        <f>'[3]M.C UNPIV'!B350</f>
        <v>0</v>
      </c>
      <c r="B349" s="5">
        <f>'[3]M.C UNPIV'!C350</f>
        <v>0</v>
      </c>
      <c r="C349" s="5">
        <f>'[3]M.C UNPIV'!D350</f>
        <v>0</v>
      </c>
      <c r="D349" s="5">
        <f>'[3]M.C UNPIV'!E350</f>
        <v>0</v>
      </c>
      <c r="E349" s="5">
        <f>'[3]M.C UNPIV'!F350</f>
        <v>0</v>
      </c>
      <c r="F349" s="5">
        <f>'[3]M.C UNPIV'!G350</f>
        <v>0</v>
      </c>
      <c r="G349" s="6">
        <f>'[3]M.C UNPIV'!H350</f>
        <v>0</v>
      </c>
      <c r="H349" s="5">
        <f>'[3]M.C UNPIV'!I350</f>
        <v>0</v>
      </c>
      <c r="I349" s="7">
        <f>'[3]M.C UNPIV'!J350</f>
        <v>0</v>
      </c>
      <c r="J349" s="7">
        <f>'[3]M.C UNPIV'!K350</f>
        <v>0</v>
      </c>
      <c r="K349" s="7">
        <f>'[3]M.C UNPIV'!L350</f>
        <v>0</v>
      </c>
      <c r="L349" s="7">
        <f>'[3]M.C UNPIV'!M350</f>
        <v>0</v>
      </c>
      <c r="M349" s="6">
        <f>'[3]M.C UNPIV'!N350</f>
        <v>0</v>
      </c>
      <c r="N349" s="5">
        <f>'[3]M.C UNPIV'!O350</f>
        <v>0</v>
      </c>
      <c r="O349" s="5">
        <f>'[3]M.C UNPIV'!P350</f>
        <v>0</v>
      </c>
    </row>
    <row r="350" spans="1:15" x14ac:dyDescent="0.25">
      <c r="A350" s="4">
        <f>'[3]M.C UNPIV'!B351</f>
        <v>0</v>
      </c>
      <c r="B350" s="5">
        <f>'[3]M.C UNPIV'!C351</f>
        <v>0</v>
      </c>
      <c r="C350" s="5">
        <f>'[3]M.C UNPIV'!D351</f>
        <v>0</v>
      </c>
      <c r="D350" s="5">
        <f>'[3]M.C UNPIV'!E351</f>
        <v>0</v>
      </c>
      <c r="E350" s="5">
        <f>'[3]M.C UNPIV'!F351</f>
        <v>0</v>
      </c>
      <c r="F350" s="5">
        <f>'[3]M.C UNPIV'!G351</f>
        <v>0</v>
      </c>
      <c r="G350" s="6">
        <f>'[3]M.C UNPIV'!H351</f>
        <v>0</v>
      </c>
      <c r="H350" s="5">
        <f>'[3]M.C UNPIV'!I351</f>
        <v>0</v>
      </c>
      <c r="I350" s="7">
        <f>'[3]M.C UNPIV'!J351</f>
        <v>0</v>
      </c>
      <c r="J350" s="7">
        <f>'[3]M.C UNPIV'!K351</f>
        <v>0</v>
      </c>
      <c r="K350" s="7">
        <f>'[3]M.C UNPIV'!L351</f>
        <v>0</v>
      </c>
      <c r="L350" s="7">
        <f>'[3]M.C UNPIV'!M351</f>
        <v>0</v>
      </c>
      <c r="M350" s="6">
        <f>'[3]M.C UNPIV'!N351</f>
        <v>0</v>
      </c>
      <c r="N350" s="5">
        <f>'[3]M.C UNPIV'!O351</f>
        <v>0</v>
      </c>
      <c r="O350" s="5">
        <f>'[3]M.C UNPIV'!P351</f>
        <v>0</v>
      </c>
    </row>
    <row r="351" spans="1:15" x14ac:dyDescent="0.25">
      <c r="A351" s="4">
        <f>'[3]M.C UNPIV'!B352</f>
        <v>0</v>
      </c>
      <c r="B351" s="5">
        <f>'[3]M.C UNPIV'!C352</f>
        <v>0</v>
      </c>
      <c r="C351" s="5">
        <f>'[3]M.C UNPIV'!D352</f>
        <v>0</v>
      </c>
      <c r="D351" s="5">
        <f>'[3]M.C UNPIV'!E352</f>
        <v>0</v>
      </c>
      <c r="E351" s="5">
        <f>'[3]M.C UNPIV'!F352</f>
        <v>0</v>
      </c>
      <c r="F351" s="5">
        <f>'[3]M.C UNPIV'!G352</f>
        <v>0</v>
      </c>
      <c r="G351" s="6">
        <f>'[3]M.C UNPIV'!H352</f>
        <v>0</v>
      </c>
      <c r="H351" s="5">
        <f>'[3]M.C UNPIV'!I352</f>
        <v>0</v>
      </c>
      <c r="I351" s="7">
        <f>'[3]M.C UNPIV'!J352</f>
        <v>0</v>
      </c>
      <c r="J351" s="7">
        <f>'[3]M.C UNPIV'!K352</f>
        <v>0</v>
      </c>
      <c r="K351" s="7">
        <f>'[3]M.C UNPIV'!L352</f>
        <v>0</v>
      </c>
      <c r="L351" s="7">
        <f>'[3]M.C UNPIV'!M352</f>
        <v>0</v>
      </c>
      <c r="M351" s="6">
        <f>'[3]M.C UNPIV'!N352</f>
        <v>0</v>
      </c>
      <c r="N351" s="5">
        <f>'[3]M.C UNPIV'!O352</f>
        <v>0</v>
      </c>
      <c r="O351" s="5">
        <f>'[3]M.C UNPIV'!P352</f>
        <v>0</v>
      </c>
    </row>
    <row r="352" spans="1:15" x14ac:dyDescent="0.25">
      <c r="A352" s="4">
        <f>'[3]M.C UNPIV'!B353</f>
        <v>0</v>
      </c>
      <c r="B352" s="5">
        <f>'[3]M.C UNPIV'!C353</f>
        <v>0</v>
      </c>
      <c r="C352" s="5">
        <f>'[3]M.C UNPIV'!D353</f>
        <v>0</v>
      </c>
      <c r="D352" s="5">
        <f>'[3]M.C UNPIV'!E353</f>
        <v>0</v>
      </c>
      <c r="E352" s="5">
        <f>'[3]M.C UNPIV'!F353</f>
        <v>0</v>
      </c>
      <c r="F352" s="5">
        <f>'[3]M.C UNPIV'!G353</f>
        <v>0</v>
      </c>
      <c r="G352" s="6">
        <f>'[3]M.C UNPIV'!H353</f>
        <v>0</v>
      </c>
      <c r="H352" s="5">
        <f>'[3]M.C UNPIV'!I353</f>
        <v>0</v>
      </c>
      <c r="I352" s="7">
        <f>'[3]M.C UNPIV'!J353</f>
        <v>0</v>
      </c>
      <c r="J352" s="7">
        <f>'[3]M.C UNPIV'!K353</f>
        <v>0</v>
      </c>
      <c r="K352" s="7">
        <f>'[3]M.C UNPIV'!L353</f>
        <v>0</v>
      </c>
      <c r="L352" s="7">
        <f>'[3]M.C UNPIV'!M353</f>
        <v>0</v>
      </c>
      <c r="M352" s="6">
        <f>'[3]M.C UNPIV'!N353</f>
        <v>0</v>
      </c>
      <c r="N352" s="5">
        <f>'[3]M.C UNPIV'!O353</f>
        <v>0</v>
      </c>
      <c r="O352" s="5">
        <f>'[3]M.C UNPIV'!P353</f>
        <v>0</v>
      </c>
    </row>
    <row r="353" spans="1:15" x14ac:dyDescent="0.25">
      <c r="A353" s="4">
        <f>'[3]M.C UNPIV'!B354</f>
        <v>0</v>
      </c>
      <c r="B353" s="5">
        <f>'[3]M.C UNPIV'!C354</f>
        <v>0</v>
      </c>
      <c r="C353" s="5">
        <f>'[3]M.C UNPIV'!D354</f>
        <v>0</v>
      </c>
      <c r="D353" s="5">
        <f>'[3]M.C UNPIV'!E354</f>
        <v>0</v>
      </c>
      <c r="E353" s="5">
        <f>'[3]M.C UNPIV'!F354</f>
        <v>0</v>
      </c>
      <c r="F353" s="5">
        <f>'[3]M.C UNPIV'!G354</f>
        <v>0</v>
      </c>
      <c r="G353" s="6">
        <f>'[3]M.C UNPIV'!H354</f>
        <v>0</v>
      </c>
      <c r="H353" s="5">
        <f>'[3]M.C UNPIV'!I354</f>
        <v>0</v>
      </c>
      <c r="I353" s="7">
        <f>'[3]M.C UNPIV'!J354</f>
        <v>0</v>
      </c>
      <c r="J353" s="7">
        <f>'[3]M.C UNPIV'!K354</f>
        <v>0</v>
      </c>
      <c r="K353" s="7">
        <f>'[3]M.C UNPIV'!L354</f>
        <v>0</v>
      </c>
      <c r="L353" s="7">
        <f>'[3]M.C UNPIV'!M354</f>
        <v>0</v>
      </c>
      <c r="M353" s="6">
        <f>'[3]M.C UNPIV'!N354</f>
        <v>0</v>
      </c>
      <c r="N353" s="5">
        <f>'[3]M.C UNPIV'!O354</f>
        <v>0</v>
      </c>
      <c r="O353" s="5">
        <f>'[3]M.C UNPIV'!P354</f>
        <v>0</v>
      </c>
    </row>
    <row r="354" spans="1:15" x14ac:dyDescent="0.25">
      <c r="A354" s="4">
        <f>'[3]M.C UNPIV'!B355</f>
        <v>0</v>
      </c>
      <c r="B354" s="5">
        <f>'[3]M.C UNPIV'!C355</f>
        <v>0</v>
      </c>
      <c r="C354" s="5">
        <f>'[3]M.C UNPIV'!D355</f>
        <v>0</v>
      </c>
      <c r="D354" s="5">
        <f>'[3]M.C UNPIV'!E355</f>
        <v>0</v>
      </c>
      <c r="E354" s="5">
        <f>'[3]M.C UNPIV'!F355</f>
        <v>0</v>
      </c>
      <c r="F354" s="5">
        <f>'[3]M.C UNPIV'!G355</f>
        <v>0</v>
      </c>
      <c r="G354" s="6">
        <f>'[3]M.C UNPIV'!H355</f>
        <v>0</v>
      </c>
      <c r="H354" s="5">
        <f>'[3]M.C UNPIV'!I355</f>
        <v>0</v>
      </c>
      <c r="I354" s="7">
        <f>'[3]M.C UNPIV'!J355</f>
        <v>0</v>
      </c>
      <c r="J354" s="7">
        <f>'[3]M.C UNPIV'!K355</f>
        <v>0</v>
      </c>
      <c r="K354" s="7">
        <f>'[3]M.C UNPIV'!L355</f>
        <v>0</v>
      </c>
      <c r="L354" s="7">
        <f>'[3]M.C UNPIV'!M355</f>
        <v>0</v>
      </c>
      <c r="M354" s="6">
        <f>'[3]M.C UNPIV'!N355</f>
        <v>0</v>
      </c>
      <c r="N354" s="5">
        <f>'[3]M.C UNPIV'!O355</f>
        <v>0</v>
      </c>
      <c r="O354" s="5">
        <f>'[3]M.C UNPIV'!P355</f>
        <v>0</v>
      </c>
    </row>
    <row r="355" spans="1:15" x14ac:dyDescent="0.25">
      <c r="A355" s="4">
        <f>'[3]M.C UNPIV'!B356</f>
        <v>0</v>
      </c>
      <c r="B355" s="5">
        <f>'[3]M.C UNPIV'!C356</f>
        <v>0</v>
      </c>
      <c r="C355" s="5">
        <f>'[3]M.C UNPIV'!D356</f>
        <v>0</v>
      </c>
      <c r="D355" s="5">
        <f>'[3]M.C UNPIV'!E356</f>
        <v>0</v>
      </c>
      <c r="E355" s="5">
        <f>'[3]M.C UNPIV'!F356</f>
        <v>0</v>
      </c>
      <c r="F355" s="5">
        <f>'[3]M.C UNPIV'!G356</f>
        <v>0</v>
      </c>
      <c r="G355" s="6">
        <f>'[3]M.C UNPIV'!H356</f>
        <v>0</v>
      </c>
      <c r="H355" s="5">
        <f>'[3]M.C UNPIV'!I356</f>
        <v>0</v>
      </c>
      <c r="I355" s="7">
        <f>'[3]M.C UNPIV'!J356</f>
        <v>0</v>
      </c>
      <c r="J355" s="7">
        <f>'[3]M.C UNPIV'!K356</f>
        <v>0</v>
      </c>
      <c r="K355" s="7">
        <f>'[3]M.C UNPIV'!L356</f>
        <v>0</v>
      </c>
      <c r="L355" s="7">
        <f>'[3]M.C UNPIV'!M356</f>
        <v>0</v>
      </c>
      <c r="M355" s="6">
        <f>'[3]M.C UNPIV'!N356</f>
        <v>0</v>
      </c>
      <c r="N355" s="5">
        <f>'[3]M.C UNPIV'!O356</f>
        <v>0</v>
      </c>
      <c r="O355" s="5">
        <f>'[3]M.C UNPIV'!P356</f>
        <v>0</v>
      </c>
    </row>
    <row r="356" spans="1:15" x14ac:dyDescent="0.25">
      <c r="A356" s="4">
        <f>'[3]M.C UNPIV'!B357</f>
        <v>0</v>
      </c>
      <c r="B356" s="5">
        <f>'[3]M.C UNPIV'!C357</f>
        <v>0</v>
      </c>
      <c r="C356" s="5">
        <f>'[3]M.C UNPIV'!D357</f>
        <v>0</v>
      </c>
      <c r="D356" s="5">
        <f>'[3]M.C UNPIV'!E357</f>
        <v>0</v>
      </c>
      <c r="E356" s="5">
        <f>'[3]M.C UNPIV'!F357</f>
        <v>0</v>
      </c>
      <c r="F356" s="5">
        <f>'[3]M.C UNPIV'!G357</f>
        <v>0</v>
      </c>
      <c r="G356" s="6">
        <f>'[3]M.C UNPIV'!H357</f>
        <v>0</v>
      </c>
      <c r="H356" s="5">
        <f>'[3]M.C UNPIV'!I357</f>
        <v>0</v>
      </c>
      <c r="I356" s="7">
        <f>'[3]M.C UNPIV'!J357</f>
        <v>0</v>
      </c>
      <c r="J356" s="7">
        <f>'[3]M.C UNPIV'!K357</f>
        <v>0</v>
      </c>
      <c r="K356" s="7">
        <f>'[3]M.C UNPIV'!L357</f>
        <v>0</v>
      </c>
      <c r="L356" s="7">
        <f>'[3]M.C UNPIV'!M357</f>
        <v>0</v>
      </c>
      <c r="M356" s="6">
        <f>'[3]M.C UNPIV'!N357</f>
        <v>0</v>
      </c>
      <c r="N356" s="5">
        <f>'[3]M.C UNPIV'!O357</f>
        <v>0</v>
      </c>
      <c r="O356" s="5">
        <f>'[3]M.C UNPIV'!P357</f>
        <v>0</v>
      </c>
    </row>
    <row r="357" spans="1:15" x14ac:dyDescent="0.25">
      <c r="A357" s="4">
        <f>'[3]M.C UNPIV'!B358</f>
        <v>0</v>
      </c>
      <c r="B357" s="5">
        <f>'[3]M.C UNPIV'!C358</f>
        <v>0</v>
      </c>
      <c r="C357" s="5">
        <f>'[3]M.C UNPIV'!D358</f>
        <v>0</v>
      </c>
      <c r="D357" s="5">
        <f>'[3]M.C UNPIV'!E358</f>
        <v>0</v>
      </c>
      <c r="E357" s="5">
        <f>'[3]M.C UNPIV'!F358</f>
        <v>0</v>
      </c>
      <c r="F357" s="5">
        <f>'[3]M.C UNPIV'!G358</f>
        <v>0</v>
      </c>
      <c r="G357" s="6">
        <f>'[3]M.C UNPIV'!H358</f>
        <v>0</v>
      </c>
      <c r="H357" s="5">
        <f>'[3]M.C UNPIV'!I358</f>
        <v>0</v>
      </c>
      <c r="I357" s="7">
        <f>'[3]M.C UNPIV'!J358</f>
        <v>0</v>
      </c>
      <c r="J357" s="7">
        <f>'[3]M.C UNPIV'!K358</f>
        <v>0</v>
      </c>
      <c r="K357" s="7">
        <f>'[3]M.C UNPIV'!L358</f>
        <v>0</v>
      </c>
      <c r="L357" s="7">
        <f>'[3]M.C UNPIV'!M358</f>
        <v>0</v>
      </c>
      <c r="M357" s="6">
        <f>'[3]M.C UNPIV'!N358</f>
        <v>0</v>
      </c>
      <c r="N357" s="5">
        <f>'[3]M.C UNPIV'!O358</f>
        <v>0</v>
      </c>
      <c r="O357" s="5">
        <f>'[3]M.C UNPIV'!P358</f>
        <v>0</v>
      </c>
    </row>
    <row r="358" spans="1:15" x14ac:dyDescent="0.25">
      <c r="A358" s="4">
        <f>'[3]M.C UNPIV'!B359</f>
        <v>0</v>
      </c>
      <c r="B358" s="5">
        <f>'[3]M.C UNPIV'!C359</f>
        <v>0</v>
      </c>
      <c r="C358" s="5">
        <f>'[3]M.C UNPIV'!D359</f>
        <v>0</v>
      </c>
      <c r="D358" s="5">
        <f>'[3]M.C UNPIV'!E359</f>
        <v>0</v>
      </c>
      <c r="E358" s="5">
        <f>'[3]M.C UNPIV'!F359</f>
        <v>0</v>
      </c>
      <c r="F358" s="5">
        <f>'[3]M.C UNPIV'!G359</f>
        <v>0</v>
      </c>
      <c r="G358" s="6">
        <f>'[3]M.C UNPIV'!H359</f>
        <v>0</v>
      </c>
      <c r="H358" s="5">
        <f>'[3]M.C UNPIV'!I359</f>
        <v>0</v>
      </c>
      <c r="I358" s="7">
        <f>'[3]M.C UNPIV'!J359</f>
        <v>0</v>
      </c>
      <c r="J358" s="7">
        <f>'[3]M.C UNPIV'!K359</f>
        <v>0</v>
      </c>
      <c r="K358" s="7">
        <f>'[3]M.C UNPIV'!L359</f>
        <v>0</v>
      </c>
      <c r="L358" s="7">
        <f>'[3]M.C UNPIV'!M359</f>
        <v>0</v>
      </c>
      <c r="M358" s="6">
        <f>'[3]M.C UNPIV'!N359</f>
        <v>0</v>
      </c>
      <c r="N358" s="5">
        <f>'[3]M.C UNPIV'!O359</f>
        <v>0</v>
      </c>
      <c r="O358" s="5">
        <f>'[3]M.C UNPIV'!P359</f>
        <v>0</v>
      </c>
    </row>
    <row r="359" spans="1:15" x14ac:dyDescent="0.25">
      <c r="A359" s="4">
        <f>'[3]M.C UNPIV'!B360</f>
        <v>0</v>
      </c>
      <c r="B359" s="5">
        <f>'[3]M.C UNPIV'!C360</f>
        <v>0</v>
      </c>
      <c r="C359" s="5">
        <f>'[3]M.C UNPIV'!D360</f>
        <v>0</v>
      </c>
      <c r="D359" s="5">
        <f>'[3]M.C UNPIV'!E360</f>
        <v>0</v>
      </c>
      <c r="E359" s="5">
        <f>'[3]M.C UNPIV'!F360</f>
        <v>0</v>
      </c>
      <c r="F359" s="5">
        <f>'[3]M.C UNPIV'!G360</f>
        <v>0</v>
      </c>
      <c r="G359" s="6">
        <f>'[3]M.C UNPIV'!H360</f>
        <v>0</v>
      </c>
      <c r="H359" s="5">
        <f>'[3]M.C UNPIV'!I360</f>
        <v>0</v>
      </c>
      <c r="I359" s="7">
        <f>'[3]M.C UNPIV'!J360</f>
        <v>0</v>
      </c>
      <c r="J359" s="7">
        <f>'[3]M.C UNPIV'!K360</f>
        <v>0</v>
      </c>
      <c r="K359" s="7">
        <f>'[3]M.C UNPIV'!L360</f>
        <v>0</v>
      </c>
      <c r="L359" s="7">
        <f>'[3]M.C UNPIV'!M360</f>
        <v>0</v>
      </c>
      <c r="M359" s="6">
        <f>'[3]M.C UNPIV'!N360</f>
        <v>0</v>
      </c>
      <c r="N359" s="5">
        <f>'[3]M.C UNPIV'!O360</f>
        <v>0</v>
      </c>
      <c r="O359" s="5">
        <f>'[3]M.C UNPIV'!P360</f>
        <v>0</v>
      </c>
    </row>
    <row r="360" spans="1:15" x14ac:dyDescent="0.25">
      <c r="A360" s="4">
        <f>'[3]M.C UNPIV'!B361</f>
        <v>0</v>
      </c>
      <c r="B360" s="5">
        <f>'[3]M.C UNPIV'!C361</f>
        <v>0</v>
      </c>
      <c r="C360" s="5">
        <f>'[3]M.C UNPIV'!D361</f>
        <v>0</v>
      </c>
      <c r="D360" s="5">
        <f>'[3]M.C UNPIV'!E361</f>
        <v>0</v>
      </c>
      <c r="E360" s="5">
        <f>'[3]M.C UNPIV'!F361</f>
        <v>0</v>
      </c>
      <c r="F360" s="5">
        <f>'[3]M.C UNPIV'!G361</f>
        <v>0</v>
      </c>
      <c r="G360" s="6">
        <f>'[3]M.C UNPIV'!H361</f>
        <v>0</v>
      </c>
      <c r="H360" s="5">
        <f>'[3]M.C UNPIV'!I361</f>
        <v>0</v>
      </c>
      <c r="I360" s="7">
        <f>'[3]M.C UNPIV'!J361</f>
        <v>0</v>
      </c>
      <c r="J360" s="7">
        <f>'[3]M.C UNPIV'!K361</f>
        <v>0</v>
      </c>
      <c r="K360" s="7">
        <f>'[3]M.C UNPIV'!L361</f>
        <v>0</v>
      </c>
      <c r="L360" s="7">
        <f>'[3]M.C UNPIV'!M361</f>
        <v>0</v>
      </c>
      <c r="M360" s="6">
        <f>'[3]M.C UNPIV'!N361</f>
        <v>0</v>
      </c>
      <c r="N360" s="5">
        <f>'[3]M.C UNPIV'!O361</f>
        <v>0</v>
      </c>
      <c r="O360" s="5">
        <f>'[3]M.C UNPIV'!P361</f>
        <v>0</v>
      </c>
    </row>
    <row r="361" spans="1:15" x14ac:dyDescent="0.25">
      <c r="A361" s="4">
        <f>'[3]M.C UNPIV'!B362</f>
        <v>0</v>
      </c>
      <c r="B361" s="5">
        <f>'[3]M.C UNPIV'!C362</f>
        <v>0</v>
      </c>
      <c r="C361" s="5">
        <f>'[3]M.C UNPIV'!D362</f>
        <v>0</v>
      </c>
      <c r="D361" s="5">
        <f>'[3]M.C UNPIV'!E362</f>
        <v>0</v>
      </c>
      <c r="E361" s="5">
        <f>'[3]M.C UNPIV'!F362</f>
        <v>0</v>
      </c>
      <c r="F361" s="5">
        <f>'[3]M.C UNPIV'!G362</f>
        <v>0</v>
      </c>
      <c r="G361" s="6">
        <f>'[3]M.C UNPIV'!H362</f>
        <v>0</v>
      </c>
      <c r="H361" s="5">
        <f>'[3]M.C UNPIV'!I362</f>
        <v>0</v>
      </c>
      <c r="I361" s="7">
        <f>'[3]M.C UNPIV'!J362</f>
        <v>0</v>
      </c>
      <c r="J361" s="7">
        <f>'[3]M.C UNPIV'!K362</f>
        <v>0</v>
      </c>
      <c r="K361" s="7">
        <f>'[3]M.C UNPIV'!L362</f>
        <v>0</v>
      </c>
      <c r="L361" s="7">
        <f>'[3]M.C UNPIV'!M362</f>
        <v>0</v>
      </c>
      <c r="M361" s="6">
        <f>'[3]M.C UNPIV'!N362</f>
        <v>0</v>
      </c>
      <c r="N361" s="5">
        <f>'[3]M.C UNPIV'!O362</f>
        <v>0</v>
      </c>
      <c r="O361" s="5">
        <f>'[3]M.C UNPIV'!P362</f>
        <v>0</v>
      </c>
    </row>
    <row r="362" spans="1:15" x14ac:dyDescent="0.25">
      <c r="A362" s="4">
        <f>'[3]M.C UNPIV'!B363</f>
        <v>0</v>
      </c>
      <c r="B362" s="5">
        <f>'[3]M.C UNPIV'!C363</f>
        <v>0</v>
      </c>
      <c r="C362" s="5">
        <f>'[3]M.C UNPIV'!D363</f>
        <v>0</v>
      </c>
      <c r="D362" s="5">
        <f>'[3]M.C UNPIV'!E363</f>
        <v>0</v>
      </c>
      <c r="E362" s="5">
        <f>'[3]M.C UNPIV'!F363</f>
        <v>0</v>
      </c>
      <c r="F362" s="5">
        <f>'[3]M.C UNPIV'!G363</f>
        <v>0</v>
      </c>
      <c r="G362" s="6">
        <f>'[3]M.C UNPIV'!H363</f>
        <v>0</v>
      </c>
      <c r="H362" s="5">
        <f>'[3]M.C UNPIV'!I363</f>
        <v>0</v>
      </c>
      <c r="I362" s="7">
        <f>'[3]M.C UNPIV'!J363</f>
        <v>0</v>
      </c>
      <c r="J362" s="7">
        <f>'[3]M.C UNPIV'!K363</f>
        <v>0</v>
      </c>
      <c r="K362" s="7">
        <f>'[3]M.C UNPIV'!L363</f>
        <v>0</v>
      </c>
      <c r="L362" s="7">
        <f>'[3]M.C UNPIV'!M363</f>
        <v>0</v>
      </c>
      <c r="M362" s="6">
        <f>'[3]M.C UNPIV'!N363</f>
        <v>0</v>
      </c>
      <c r="N362" s="5">
        <f>'[3]M.C UNPIV'!O363</f>
        <v>0</v>
      </c>
      <c r="O362" s="5">
        <f>'[3]M.C UNPIV'!P363</f>
        <v>0</v>
      </c>
    </row>
    <row r="363" spans="1:15" x14ac:dyDescent="0.25">
      <c r="A363" s="4">
        <f>'[3]M.C UNPIV'!B364</f>
        <v>0</v>
      </c>
      <c r="B363" s="5">
        <f>'[3]M.C UNPIV'!C364</f>
        <v>0</v>
      </c>
      <c r="C363" s="5">
        <f>'[3]M.C UNPIV'!D364</f>
        <v>0</v>
      </c>
      <c r="D363" s="5">
        <f>'[3]M.C UNPIV'!E364</f>
        <v>0</v>
      </c>
      <c r="E363" s="5">
        <f>'[3]M.C UNPIV'!F364</f>
        <v>0</v>
      </c>
      <c r="F363" s="5">
        <f>'[3]M.C UNPIV'!G364</f>
        <v>0</v>
      </c>
      <c r="G363" s="6">
        <f>'[3]M.C UNPIV'!H364</f>
        <v>0</v>
      </c>
      <c r="H363" s="5">
        <f>'[3]M.C UNPIV'!I364</f>
        <v>0</v>
      </c>
      <c r="I363" s="7">
        <f>'[3]M.C UNPIV'!J364</f>
        <v>0</v>
      </c>
      <c r="J363" s="7">
        <f>'[3]M.C UNPIV'!K364</f>
        <v>0</v>
      </c>
      <c r="K363" s="7">
        <f>'[3]M.C UNPIV'!L364</f>
        <v>0</v>
      </c>
      <c r="L363" s="7">
        <f>'[3]M.C UNPIV'!M364</f>
        <v>0</v>
      </c>
      <c r="M363" s="6">
        <f>'[3]M.C UNPIV'!N364</f>
        <v>0</v>
      </c>
      <c r="N363" s="5">
        <f>'[3]M.C UNPIV'!O364</f>
        <v>0</v>
      </c>
      <c r="O363" s="5">
        <f>'[3]M.C UNPIV'!P364</f>
        <v>0</v>
      </c>
    </row>
    <row r="364" spans="1:15" x14ac:dyDescent="0.25">
      <c r="A364" s="4">
        <f>'[3]M.C UNPIV'!B365</f>
        <v>0</v>
      </c>
      <c r="B364" s="5">
        <f>'[3]M.C UNPIV'!C365</f>
        <v>0</v>
      </c>
      <c r="C364" s="5">
        <f>'[3]M.C UNPIV'!D365</f>
        <v>0</v>
      </c>
      <c r="D364" s="5">
        <f>'[3]M.C UNPIV'!E365</f>
        <v>0</v>
      </c>
      <c r="E364" s="5">
        <f>'[3]M.C UNPIV'!F365</f>
        <v>0</v>
      </c>
      <c r="F364" s="5">
        <f>'[3]M.C UNPIV'!G365</f>
        <v>0</v>
      </c>
      <c r="G364" s="6">
        <f>'[3]M.C UNPIV'!H365</f>
        <v>0</v>
      </c>
      <c r="H364" s="5">
        <f>'[3]M.C UNPIV'!I365</f>
        <v>0</v>
      </c>
      <c r="I364" s="7">
        <f>'[3]M.C UNPIV'!J365</f>
        <v>0</v>
      </c>
      <c r="J364" s="7">
        <f>'[3]M.C UNPIV'!K365</f>
        <v>0</v>
      </c>
      <c r="K364" s="7">
        <f>'[3]M.C UNPIV'!L365</f>
        <v>0</v>
      </c>
      <c r="L364" s="7">
        <f>'[3]M.C UNPIV'!M365</f>
        <v>0</v>
      </c>
      <c r="M364" s="6">
        <f>'[3]M.C UNPIV'!N365</f>
        <v>0</v>
      </c>
      <c r="N364" s="5">
        <f>'[3]M.C UNPIV'!O365</f>
        <v>0</v>
      </c>
      <c r="O364" s="5">
        <f>'[3]M.C UNPIV'!P365</f>
        <v>0</v>
      </c>
    </row>
    <row r="365" spans="1:15" x14ac:dyDescent="0.25">
      <c r="A365" s="4">
        <f>'[3]M.C UNPIV'!B366</f>
        <v>0</v>
      </c>
      <c r="B365" s="5">
        <f>'[3]M.C UNPIV'!C366</f>
        <v>0</v>
      </c>
      <c r="C365" s="5">
        <f>'[3]M.C UNPIV'!D366</f>
        <v>0</v>
      </c>
      <c r="D365" s="5">
        <f>'[3]M.C UNPIV'!E366</f>
        <v>0</v>
      </c>
      <c r="E365" s="5">
        <f>'[3]M.C UNPIV'!F366</f>
        <v>0</v>
      </c>
      <c r="F365" s="5">
        <f>'[3]M.C UNPIV'!G366</f>
        <v>0</v>
      </c>
      <c r="G365" s="6">
        <f>'[3]M.C UNPIV'!H366</f>
        <v>0</v>
      </c>
      <c r="H365" s="5">
        <f>'[3]M.C UNPIV'!I366</f>
        <v>0</v>
      </c>
      <c r="I365" s="7">
        <f>'[3]M.C UNPIV'!J366</f>
        <v>0</v>
      </c>
      <c r="J365" s="7">
        <f>'[3]M.C UNPIV'!K366</f>
        <v>0</v>
      </c>
      <c r="K365" s="7">
        <f>'[3]M.C UNPIV'!L366</f>
        <v>0</v>
      </c>
      <c r="L365" s="7">
        <f>'[3]M.C UNPIV'!M366</f>
        <v>0</v>
      </c>
      <c r="M365" s="6">
        <f>'[3]M.C UNPIV'!N366</f>
        <v>0</v>
      </c>
      <c r="N365" s="5">
        <f>'[3]M.C UNPIV'!O366</f>
        <v>0</v>
      </c>
      <c r="O365" s="5">
        <f>'[3]M.C UNPIV'!P366</f>
        <v>0</v>
      </c>
    </row>
    <row r="366" spans="1:15" x14ac:dyDescent="0.25">
      <c r="A366" s="4">
        <f>'[3]M.C UNPIV'!B367</f>
        <v>0</v>
      </c>
      <c r="B366" s="5">
        <f>'[3]M.C UNPIV'!C367</f>
        <v>0</v>
      </c>
      <c r="C366" s="5">
        <f>'[3]M.C UNPIV'!D367</f>
        <v>0</v>
      </c>
      <c r="D366" s="5">
        <f>'[3]M.C UNPIV'!E367</f>
        <v>0</v>
      </c>
      <c r="E366" s="5">
        <f>'[3]M.C UNPIV'!F367</f>
        <v>0</v>
      </c>
      <c r="F366" s="5">
        <f>'[3]M.C UNPIV'!G367</f>
        <v>0</v>
      </c>
      <c r="G366" s="6">
        <f>'[3]M.C UNPIV'!H367</f>
        <v>0</v>
      </c>
      <c r="H366" s="5">
        <f>'[3]M.C UNPIV'!I367</f>
        <v>0</v>
      </c>
      <c r="I366" s="7">
        <f>'[3]M.C UNPIV'!J367</f>
        <v>0</v>
      </c>
      <c r="J366" s="7">
        <f>'[3]M.C UNPIV'!K367</f>
        <v>0</v>
      </c>
      <c r="K366" s="7">
        <f>'[3]M.C UNPIV'!L367</f>
        <v>0</v>
      </c>
      <c r="L366" s="7">
        <f>'[3]M.C UNPIV'!M367</f>
        <v>0</v>
      </c>
      <c r="M366" s="6">
        <f>'[3]M.C UNPIV'!N367</f>
        <v>0</v>
      </c>
      <c r="N366" s="5">
        <f>'[3]M.C UNPIV'!O367</f>
        <v>0</v>
      </c>
      <c r="O366" s="5">
        <f>'[3]M.C UNPIV'!P367</f>
        <v>0</v>
      </c>
    </row>
    <row r="367" spans="1:15" x14ac:dyDescent="0.25">
      <c r="A367" s="4">
        <f>'[3]M.C UNPIV'!B368</f>
        <v>0</v>
      </c>
      <c r="B367" s="5">
        <f>'[3]M.C UNPIV'!C368</f>
        <v>0</v>
      </c>
      <c r="C367" s="5">
        <f>'[3]M.C UNPIV'!D368</f>
        <v>0</v>
      </c>
      <c r="D367" s="5">
        <f>'[3]M.C UNPIV'!E368</f>
        <v>0</v>
      </c>
      <c r="E367" s="5">
        <f>'[3]M.C UNPIV'!F368</f>
        <v>0</v>
      </c>
      <c r="F367" s="5">
        <f>'[3]M.C UNPIV'!G368</f>
        <v>0</v>
      </c>
      <c r="G367" s="6">
        <f>'[3]M.C UNPIV'!H368</f>
        <v>0</v>
      </c>
      <c r="H367" s="5">
        <f>'[3]M.C UNPIV'!I368</f>
        <v>0</v>
      </c>
      <c r="I367" s="7">
        <f>'[3]M.C UNPIV'!J368</f>
        <v>0</v>
      </c>
      <c r="J367" s="7">
        <f>'[3]M.C UNPIV'!K368</f>
        <v>0</v>
      </c>
      <c r="K367" s="7">
        <f>'[3]M.C UNPIV'!L368</f>
        <v>0</v>
      </c>
      <c r="L367" s="7">
        <f>'[3]M.C UNPIV'!M368</f>
        <v>0</v>
      </c>
      <c r="M367" s="6">
        <f>'[3]M.C UNPIV'!N368</f>
        <v>0</v>
      </c>
      <c r="N367" s="5">
        <f>'[3]M.C UNPIV'!O368</f>
        <v>0</v>
      </c>
      <c r="O367" s="5">
        <f>'[3]M.C UNPIV'!P368</f>
        <v>0</v>
      </c>
    </row>
    <row r="368" spans="1:15" x14ac:dyDescent="0.25">
      <c r="A368" s="4">
        <f>'[3]M.C UNPIV'!B369</f>
        <v>0</v>
      </c>
      <c r="B368" s="5">
        <f>'[3]M.C UNPIV'!C369</f>
        <v>0</v>
      </c>
      <c r="C368" s="5">
        <f>'[3]M.C UNPIV'!D369</f>
        <v>0</v>
      </c>
      <c r="D368" s="5">
        <f>'[3]M.C UNPIV'!E369</f>
        <v>0</v>
      </c>
      <c r="E368" s="5">
        <f>'[3]M.C UNPIV'!F369</f>
        <v>0</v>
      </c>
      <c r="F368" s="5">
        <f>'[3]M.C UNPIV'!G369</f>
        <v>0</v>
      </c>
      <c r="G368" s="6">
        <f>'[3]M.C UNPIV'!H369</f>
        <v>0</v>
      </c>
      <c r="H368" s="5">
        <f>'[3]M.C UNPIV'!I369</f>
        <v>0</v>
      </c>
      <c r="I368" s="7">
        <f>'[3]M.C UNPIV'!J369</f>
        <v>0</v>
      </c>
      <c r="J368" s="7">
        <f>'[3]M.C UNPIV'!K369</f>
        <v>0</v>
      </c>
      <c r="K368" s="7">
        <f>'[3]M.C UNPIV'!L369</f>
        <v>0</v>
      </c>
      <c r="L368" s="7">
        <f>'[3]M.C UNPIV'!M369</f>
        <v>0</v>
      </c>
      <c r="M368" s="6">
        <f>'[3]M.C UNPIV'!N369</f>
        <v>0</v>
      </c>
      <c r="N368" s="5">
        <f>'[3]M.C UNPIV'!O369</f>
        <v>0</v>
      </c>
      <c r="O368" s="5">
        <f>'[3]M.C UNPIV'!P369</f>
        <v>0</v>
      </c>
    </row>
    <row r="369" spans="1:15" x14ac:dyDescent="0.25">
      <c r="A369" s="4">
        <f>'[3]M.C UNPIV'!B370</f>
        <v>0</v>
      </c>
      <c r="B369" s="5">
        <f>'[3]M.C UNPIV'!C370</f>
        <v>0</v>
      </c>
      <c r="C369" s="5">
        <f>'[3]M.C UNPIV'!D370</f>
        <v>0</v>
      </c>
      <c r="D369" s="5">
        <f>'[3]M.C UNPIV'!E370</f>
        <v>0</v>
      </c>
      <c r="E369" s="5">
        <f>'[3]M.C UNPIV'!F370</f>
        <v>0</v>
      </c>
      <c r="F369" s="5">
        <f>'[3]M.C UNPIV'!G370</f>
        <v>0</v>
      </c>
      <c r="G369" s="6">
        <f>'[3]M.C UNPIV'!H370</f>
        <v>0</v>
      </c>
      <c r="H369" s="5">
        <f>'[3]M.C UNPIV'!I370</f>
        <v>0</v>
      </c>
      <c r="I369" s="7">
        <f>'[3]M.C UNPIV'!J370</f>
        <v>0</v>
      </c>
      <c r="J369" s="7">
        <f>'[3]M.C UNPIV'!K370</f>
        <v>0</v>
      </c>
      <c r="K369" s="7">
        <f>'[3]M.C UNPIV'!L370</f>
        <v>0</v>
      </c>
      <c r="L369" s="7">
        <f>'[3]M.C UNPIV'!M370</f>
        <v>0</v>
      </c>
      <c r="M369" s="6">
        <f>'[3]M.C UNPIV'!N370</f>
        <v>0</v>
      </c>
      <c r="N369" s="5">
        <f>'[3]M.C UNPIV'!O370</f>
        <v>0</v>
      </c>
      <c r="O369" s="5">
        <f>'[3]M.C UNPIV'!P370</f>
        <v>0</v>
      </c>
    </row>
    <row r="370" spans="1:15" x14ac:dyDescent="0.25">
      <c r="A370" s="4">
        <f>'[3]M.C UNPIV'!B371</f>
        <v>0</v>
      </c>
      <c r="B370" s="5">
        <f>'[3]M.C UNPIV'!C371</f>
        <v>0</v>
      </c>
      <c r="C370" s="5">
        <f>'[3]M.C UNPIV'!D371</f>
        <v>0</v>
      </c>
      <c r="D370" s="5">
        <f>'[3]M.C UNPIV'!E371</f>
        <v>0</v>
      </c>
      <c r="E370" s="5">
        <f>'[3]M.C UNPIV'!F371</f>
        <v>0</v>
      </c>
      <c r="F370" s="5">
        <f>'[3]M.C UNPIV'!G371</f>
        <v>0</v>
      </c>
      <c r="G370" s="6">
        <f>'[3]M.C UNPIV'!H371</f>
        <v>0</v>
      </c>
      <c r="H370" s="5">
        <f>'[3]M.C UNPIV'!I371</f>
        <v>0</v>
      </c>
      <c r="I370" s="7">
        <f>'[3]M.C UNPIV'!J371</f>
        <v>0</v>
      </c>
      <c r="J370" s="7">
        <f>'[3]M.C UNPIV'!K371</f>
        <v>0</v>
      </c>
      <c r="K370" s="7">
        <f>'[3]M.C UNPIV'!L371</f>
        <v>0</v>
      </c>
      <c r="L370" s="7">
        <f>'[3]M.C UNPIV'!M371</f>
        <v>0</v>
      </c>
      <c r="M370" s="6">
        <f>'[3]M.C UNPIV'!N371</f>
        <v>0</v>
      </c>
      <c r="N370" s="5">
        <f>'[3]M.C UNPIV'!O371</f>
        <v>0</v>
      </c>
      <c r="O370" s="5">
        <f>'[3]M.C UNPIV'!P371</f>
        <v>0</v>
      </c>
    </row>
    <row r="371" spans="1:15" x14ac:dyDescent="0.25">
      <c r="A371" s="4">
        <f>'[3]M.C UNPIV'!B372</f>
        <v>0</v>
      </c>
      <c r="B371" s="5">
        <f>'[3]M.C UNPIV'!C372</f>
        <v>0</v>
      </c>
      <c r="C371" s="5">
        <f>'[3]M.C UNPIV'!D372</f>
        <v>0</v>
      </c>
      <c r="D371" s="5">
        <f>'[3]M.C UNPIV'!E372</f>
        <v>0</v>
      </c>
      <c r="E371" s="5">
        <f>'[3]M.C UNPIV'!F372</f>
        <v>0</v>
      </c>
      <c r="F371" s="5">
        <f>'[3]M.C UNPIV'!G372</f>
        <v>0</v>
      </c>
      <c r="G371" s="6">
        <f>'[3]M.C UNPIV'!H372</f>
        <v>0</v>
      </c>
      <c r="H371" s="5">
        <f>'[3]M.C UNPIV'!I372</f>
        <v>0</v>
      </c>
      <c r="I371" s="7">
        <f>'[3]M.C UNPIV'!J372</f>
        <v>0</v>
      </c>
      <c r="J371" s="7">
        <f>'[3]M.C UNPIV'!K372</f>
        <v>0</v>
      </c>
      <c r="K371" s="7">
        <f>'[3]M.C UNPIV'!L372</f>
        <v>0</v>
      </c>
      <c r="L371" s="7">
        <f>'[3]M.C UNPIV'!M372</f>
        <v>0</v>
      </c>
      <c r="M371" s="6">
        <f>'[3]M.C UNPIV'!N372</f>
        <v>0</v>
      </c>
      <c r="N371" s="5">
        <f>'[3]M.C UNPIV'!O372</f>
        <v>0</v>
      </c>
      <c r="O371" s="5">
        <f>'[3]M.C UNPIV'!P372</f>
        <v>0</v>
      </c>
    </row>
    <row r="372" spans="1:15" x14ac:dyDescent="0.25">
      <c r="A372" s="4">
        <f>'[3]M.C UNPIV'!B373</f>
        <v>0</v>
      </c>
      <c r="B372" s="5">
        <f>'[3]M.C UNPIV'!C373</f>
        <v>0</v>
      </c>
      <c r="C372" s="5">
        <f>'[3]M.C UNPIV'!D373</f>
        <v>0</v>
      </c>
      <c r="D372" s="5">
        <f>'[3]M.C UNPIV'!E373</f>
        <v>0</v>
      </c>
      <c r="E372" s="5">
        <f>'[3]M.C UNPIV'!F373</f>
        <v>0</v>
      </c>
      <c r="F372" s="5">
        <f>'[3]M.C UNPIV'!G373</f>
        <v>0</v>
      </c>
      <c r="G372" s="6">
        <f>'[3]M.C UNPIV'!H373</f>
        <v>0</v>
      </c>
      <c r="H372" s="5">
        <f>'[3]M.C UNPIV'!I373</f>
        <v>0</v>
      </c>
      <c r="I372" s="7">
        <f>'[3]M.C UNPIV'!J373</f>
        <v>0</v>
      </c>
      <c r="J372" s="7">
        <f>'[3]M.C UNPIV'!K373</f>
        <v>0</v>
      </c>
      <c r="K372" s="7">
        <f>'[3]M.C UNPIV'!L373</f>
        <v>0</v>
      </c>
      <c r="L372" s="7">
        <f>'[3]M.C UNPIV'!M373</f>
        <v>0</v>
      </c>
      <c r="M372" s="6">
        <f>'[3]M.C UNPIV'!N373</f>
        <v>0</v>
      </c>
      <c r="N372" s="5">
        <f>'[3]M.C UNPIV'!O373</f>
        <v>0</v>
      </c>
      <c r="O372" s="5">
        <f>'[3]M.C UNPIV'!P373</f>
        <v>0</v>
      </c>
    </row>
    <row r="373" spans="1:15" x14ac:dyDescent="0.25">
      <c r="A373" s="4">
        <f>'[3]M.C UNPIV'!B374</f>
        <v>0</v>
      </c>
      <c r="B373" s="5">
        <f>'[3]M.C UNPIV'!C374</f>
        <v>0</v>
      </c>
      <c r="C373" s="5">
        <f>'[3]M.C UNPIV'!D374</f>
        <v>0</v>
      </c>
      <c r="D373" s="5">
        <f>'[3]M.C UNPIV'!E374</f>
        <v>0</v>
      </c>
      <c r="E373" s="5">
        <f>'[3]M.C UNPIV'!F374</f>
        <v>0</v>
      </c>
      <c r="F373" s="5">
        <f>'[3]M.C UNPIV'!G374</f>
        <v>0</v>
      </c>
      <c r="G373" s="6">
        <f>'[3]M.C UNPIV'!H374</f>
        <v>0</v>
      </c>
      <c r="H373" s="5">
        <f>'[3]M.C UNPIV'!I374</f>
        <v>0</v>
      </c>
      <c r="I373" s="7">
        <f>'[3]M.C UNPIV'!J374</f>
        <v>0</v>
      </c>
      <c r="J373" s="7">
        <f>'[3]M.C UNPIV'!K374</f>
        <v>0</v>
      </c>
      <c r="K373" s="7">
        <f>'[3]M.C UNPIV'!L374</f>
        <v>0</v>
      </c>
      <c r="L373" s="7">
        <f>'[3]M.C UNPIV'!M374</f>
        <v>0</v>
      </c>
      <c r="M373" s="6">
        <f>'[3]M.C UNPIV'!N374</f>
        <v>0</v>
      </c>
      <c r="N373" s="5">
        <f>'[3]M.C UNPIV'!O374</f>
        <v>0</v>
      </c>
      <c r="O373" s="5">
        <f>'[3]M.C UNPIV'!P374</f>
        <v>0</v>
      </c>
    </row>
    <row r="374" spans="1:15" x14ac:dyDescent="0.25">
      <c r="A374" s="4">
        <f>'[3]M.C UNPIV'!B375</f>
        <v>0</v>
      </c>
      <c r="B374" s="5">
        <f>'[3]M.C UNPIV'!C375</f>
        <v>0</v>
      </c>
      <c r="C374" s="5">
        <f>'[3]M.C UNPIV'!D375</f>
        <v>0</v>
      </c>
      <c r="D374" s="5">
        <f>'[3]M.C UNPIV'!E375</f>
        <v>0</v>
      </c>
      <c r="E374" s="5">
        <f>'[3]M.C UNPIV'!F375</f>
        <v>0</v>
      </c>
      <c r="F374" s="5">
        <f>'[3]M.C UNPIV'!G375</f>
        <v>0</v>
      </c>
      <c r="G374" s="6">
        <f>'[3]M.C UNPIV'!H375</f>
        <v>0</v>
      </c>
      <c r="H374" s="5">
        <f>'[3]M.C UNPIV'!I375</f>
        <v>0</v>
      </c>
      <c r="I374" s="7">
        <f>'[3]M.C UNPIV'!J375</f>
        <v>0</v>
      </c>
      <c r="J374" s="7">
        <f>'[3]M.C UNPIV'!K375</f>
        <v>0</v>
      </c>
      <c r="K374" s="7">
        <f>'[3]M.C UNPIV'!L375</f>
        <v>0</v>
      </c>
      <c r="L374" s="7">
        <f>'[3]M.C UNPIV'!M375</f>
        <v>0</v>
      </c>
      <c r="M374" s="6">
        <f>'[3]M.C UNPIV'!N375</f>
        <v>0</v>
      </c>
      <c r="N374" s="5">
        <f>'[3]M.C UNPIV'!O375</f>
        <v>0</v>
      </c>
      <c r="O374" s="5">
        <f>'[3]M.C UNPIV'!P375</f>
        <v>0</v>
      </c>
    </row>
    <row r="375" spans="1:15" x14ac:dyDescent="0.25">
      <c r="A375" s="4">
        <f>'[3]M.C UNPIV'!B376</f>
        <v>0</v>
      </c>
      <c r="B375" s="5">
        <f>'[3]M.C UNPIV'!C376</f>
        <v>0</v>
      </c>
      <c r="C375" s="5">
        <f>'[3]M.C UNPIV'!D376</f>
        <v>0</v>
      </c>
      <c r="D375" s="5">
        <f>'[3]M.C UNPIV'!E376</f>
        <v>0</v>
      </c>
      <c r="E375" s="5">
        <f>'[3]M.C UNPIV'!F376</f>
        <v>0</v>
      </c>
      <c r="F375" s="5">
        <f>'[3]M.C UNPIV'!G376</f>
        <v>0</v>
      </c>
      <c r="G375" s="6">
        <f>'[3]M.C UNPIV'!H376</f>
        <v>0</v>
      </c>
      <c r="H375" s="5">
        <f>'[3]M.C UNPIV'!I376</f>
        <v>0</v>
      </c>
      <c r="I375" s="7">
        <f>'[3]M.C UNPIV'!J376</f>
        <v>0</v>
      </c>
      <c r="J375" s="7">
        <f>'[3]M.C UNPIV'!K376</f>
        <v>0</v>
      </c>
      <c r="K375" s="7">
        <f>'[3]M.C UNPIV'!L376</f>
        <v>0</v>
      </c>
      <c r="L375" s="7">
        <f>'[3]M.C UNPIV'!M376</f>
        <v>0</v>
      </c>
      <c r="M375" s="6">
        <f>'[3]M.C UNPIV'!N376</f>
        <v>0</v>
      </c>
      <c r="N375" s="5">
        <f>'[3]M.C UNPIV'!O376</f>
        <v>0</v>
      </c>
      <c r="O375" s="5">
        <f>'[3]M.C UNPIV'!P376</f>
        <v>0</v>
      </c>
    </row>
    <row r="376" spans="1:15" x14ac:dyDescent="0.25">
      <c r="A376" s="4">
        <f>'[3]M.C UNPIV'!B377</f>
        <v>0</v>
      </c>
      <c r="B376" s="5">
        <f>'[3]M.C UNPIV'!C377</f>
        <v>0</v>
      </c>
      <c r="C376" s="5">
        <f>'[3]M.C UNPIV'!D377</f>
        <v>0</v>
      </c>
      <c r="D376" s="5">
        <f>'[3]M.C UNPIV'!E377</f>
        <v>0</v>
      </c>
      <c r="E376" s="5">
        <f>'[3]M.C UNPIV'!F377</f>
        <v>0</v>
      </c>
      <c r="F376" s="5">
        <f>'[3]M.C UNPIV'!G377</f>
        <v>0</v>
      </c>
      <c r="G376" s="6">
        <f>'[3]M.C UNPIV'!H377</f>
        <v>0</v>
      </c>
      <c r="H376" s="5">
        <f>'[3]M.C UNPIV'!I377</f>
        <v>0</v>
      </c>
      <c r="I376" s="7">
        <f>'[3]M.C UNPIV'!J377</f>
        <v>0</v>
      </c>
      <c r="J376" s="7">
        <f>'[3]M.C UNPIV'!K377</f>
        <v>0</v>
      </c>
      <c r="K376" s="7">
        <f>'[3]M.C UNPIV'!L377</f>
        <v>0</v>
      </c>
      <c r="L376" s="7">
        <f>'[3]M.C UNPIV'!M377</f>
        <v>0</v>
      </c>
      <c r="M376" s="6">
        <f>'[3]M.C UNPIV'!N377</f>
        <v>0</v>
      </c>
      <c r="N376" s="5">
        <f>'[3]M.C UNPIV'!O377</f>
        <v>0</v>
      </c>
      <c r="O376" s="5">
        <f>'[3]M.C UNPIV'!P377</f>
        <v>0</v>
      </c>
    </row>
    <row r="377" spans="1:15" x14ac:dyDescent="0.25">
      <c r="A377" s="4">
        <f>'[3]M.C UNPIV'!B378</f>
        <v>0</v>
      </c>
      <c r="B377" s="5">
        <f>'[3]M.C UNPIV'!C378</f>
        <v>0</v>
      </c>
      <c r="C377" s="5">
        <f>'[3]M.C UNPIV'!D378</f>
        <v>0</v>
      </c>
      <c r="D377" s="5">
        <f>'[3]M.C UNPIV'!E378</f>
        <v>0</v>
      </c>
      <c r="E377" s="5">
        <f>'[3]M.C UNPIV'!F378</f>
        <v>0</v>
      </c>
      <c r="F377" s="5">
        <f>'[3]M.C UNPIV'!G378</f>
        <v>0</v>
      </c>
      <c r="G377" s="6">
        <f>'[3]M.C UNPIV'!H378</f>
        <v>0</v>
      </c>
      <c r="H377" s="5">
        <f>'[3]M.C UNPIV'!I378</f>
        <v>0</v>
      </c>
      <c r="I377" s="7">
        <f>'[3]M.C UNPIV'!J378</f>
        <v>0</v>
      </c>
      <c r="J377" s="7">
        <f>'[3]M.C UNPIV'!K378</f>
        <v>0</v>
      </c>
      <c r="K377" s="7">
        <f>'[3]M.C UNPIV'!L378</f>
        <v>0</v>
      </c>
      <c r="L377" s="7">
        <f>'[3]M.C UNPIV'!M378</f>
        <v>0</v>
      </c>
      <c r="M377" s="6">
        <f>'[3]M.C UNPIV'!N378</f>
        <v>0</v>
      </c>
      <c r="N377" s="5">
        <f>'[3]M.C UNPIV'!O378</f>
        <v>0</v>
      </c>
      <c r="O377" s="5">
        <f>'[3]M.C UNPIV'!P378</f>
        <v>0</v>
      </c>
    </row>
    <row r="378" spans="1:15" x14ac:dyDescent="0.25">
      <c r="A378" s="4">
        <f>'[3]M.C UNPIV'!B379</f>
        <v>0</v>
      </c>
      <c r="B378" s="5">
        <f>'[3]M.C UNPIV'!C379</f>
        <v>0</v>
      </c>
      <c r="C378" s="5">
        <f>'[3]M.C UNPIV'!D379</f>
        <v>0</v>
      </c>
      <c r="D378" s="5">
        <f>'[3]M.C UNPIV'!E379</f>
        <v>0</v>
      </c>
      <c r="E378" s="5">
        <f>'[3]M.C UNPIV'!F379</f>
        <v>0</v>
      </c>
      <c r="F378" s="5">
        <f>'[3]M.C UNPIV'!G379</f>
        <v>0</v>
      </c>
      <c r="G378" s="6">
        <f>'[3]M.C UNPIV'!H379</f>
        <v>0</v>
      </c>
      <c r="H378" s="5">
        <f>'[3]M.C UNPIV'!I379</f>
        <v>0</v>
      </c>
      <c r="I378" s="7">
        <f>'[3]M.C UNPIV'!J379</f>
        <v>0</v>
      </c>
      <c r="J378" s="7">
        <f>'[3]M.C UNPIV'!K379</f>
        <v>0</v>
      </c>
      <c r="K378" s="7">
        <f>'[3]M.C UNPIV'!L379</f>
        <v>0</v>
      </c>
      <c r="L378" s="7">
        <f>'[3]M.C UNPIV'!M379</f>
        <v>0</v>
      </c>
      <c r="M378" s="6">
        <f>'[3]M.C UNPIV'!N379</f>
        <v>0</v>
      </c>
      <c r="N378" s="5">
        <f>'[3]M.C UNPIV'!O379</f>
        <v>0</v>
      </c>
      <c r="O378" s="5">
        <f>'[3]M.C UNPIV'!P379</f>
        <v>0</v>
      </c>
    </row>
    <row r="379" spans="1:15" x14ac:dyDescent="0.25">
      <c r="A379" s="4">
        <f>'[3]M.C UNPIV'!B380</f>
        <v>0</v>
      </c>
      <c r="B379" s="5">
        <f>'[3]M.C UNPIV'!C380</f>
        <v>0</v>
      </c>
      <c r="C379" s="5">
        <f>'[3]M.C UNPIV'!D380</f>
        <v>0</v>
      </c>
      <c r="D379" s="5">
        <f>'[3]M.C UNPIV'!E380</f>
        <v>0</v>
      </c>
      <c r="E379" s="5">
        <f>'[3]M.C UNPIV'!F380</f>
        <v>0</v>
      </c>
      <c r="F379" s="5">
        <f>'[3]M.C UNPIV'!G380</f>
        <v>0</v>
      </c>
      <c r="G379" s="6">
        <f>'[3]M.C UNPIV'!H380</f>
        <v>0</v>
      </c>
      <c r="H379" s="5">
        <f>'[3]M.C UNPIV'!I380</f>
        <v>0</v>
      </c>
      <c r="I379" s="7">
        <f>'[3]M.C UNPIV'!J380</f>
        <v>0</v>
      </c>
      <c r="J379" s="7">
        <f>'[3]M.C UNPIV'!K380</f>
        <v>0</v>
      </c>
      <c r="K379" s="7">
        <f>'[3]M.C UNPIV'!L380</f>
        <v>0</v>
      </c>
      <c r="L379" s="7">
        <f>'[3]M.C UNPIV'!M380</f>
        <v>0</v>
      </c>
      <c r="M379" s="6">
        <f>'[3]M.C UNPIV'!N380</f>
        <v>0</v>
      </c>
      <c r="N379" s="5">
        <f>'[3]M.C UNPIV'!O380</f>
        <v>0</v>
      </c>
      <c r="O379" s="5">
        <f>'[3]M.C UNPIV'!P380</f>
        <v>0</v>
      </c>
    </row>
    <row r="380" spans="1:15" x14ac:dyDescent="0.25">
      <c r="A380" s="4">
        <f>'[3]M.C UNPIV'!B381</f>
        <v>0</v>
      </c>
      <c r="B380" s="5">
        <f>'[3]M.C UNPIV'!C381</f>
        <v>0</v>
      </c>
      <c r="C380" s="5">
        <f>'[3]M.C UNPIV'!D381</f>
        <v>0</v>
      </c>
      <c r="D380" s="5">
        <f>'[3]M.C UNPIV'!E381</f>
        <v>0</v>
      </c>
      <c r="E380" s="5">
        <f>'[3]M.C UNPIV'!F381</f>
        <v>0</v>
      </c>
      <c r="F380" s="5">
        <f>'[3]M.C UNPIV'!G381</f>
        <v>0</v>
      </c>
      <c r="G380" s="6">
        <f>'[3]M.C UNPIV'!H381</f>
        <v>0</v>
      </c>
      <c r="H380" s="5">
        <f>'[3]M.C UNPIV'!I381</f>
        <v>0</v>
      </c>
      <c r="I380" s="7">
        <f>'[3]M.C UNPIV'!J381</f>
        <v>0</v>
      </c>
      <c r="J380" s="7">
        <f>'[3]M.C UNPIV'!K381</f>
        <v>0</v>
      </c>
      <c r="K380" s="7">
        <f>'[3]M.C UNPIV'!L381</f>
        <v>0</v>
      </c>
      <c r="L380" s="7">
        <f>'[3]M.C UNPIV'!M381</f>
        <v>0</v>
      </c>
      <c r="M380" s="6">
        <f>'[3]M.C UNPIV'!N381</f>
        <v>0</v>
      </c>
      <c r="N380" s="5">
        <f>'[3]M.C UNPIV'!O381</f>
        <v>0</v>
      </c>
      <c r="O380" s="5">
        <f>'[3]M.C UNPIV'!P381</f>
        <v>0</v>
      </c>
    </row>
    <row r="381" spans="1:15" x14ac:dyDescent="0.25">
      <c r="A381" s="4">
        <f>'[3]M.C UNPIV'!B382</f>
        <v>0</v>
      </c>
      <c r="B381" s="5">
        <f>'[3]M.C UNPIV'!C382</f>
        <v>0</v>
      </c>
      <c r="C381" s="5">
        <f>'[3]M.C UNPIV'!D382</f>
        <v>0</v>
      </c>
      <c r="D381" s="5">
        <f>'[3]M.C UNPIV'!E382</f>
        <v>0</v>
      </c>
      <c r="E381" s="5">
        <f>'[3]M.C UNPIV'!F382</f>
        <v>0</v>
      </c>
      <c r="F381" s="5">
        <f>'[3]M.C UNPIV'!G382</f>
        <v>0</v>
      </c>
      <c r="G381" s="6">
        <f>'[3]M.C UNPIV'!H382</f>
        <v>0</v>
      </c>
      <c r="H381" s="5">
        <f>'[3]M.C UNPIV'!I382</f>
        <v>0</v>
      </c>
      <c r="I381" s="7">
        <f>'[3]M.C UNPIV'!J382</f>
        <v>0</v>
      </c>
      <c r="J381" s="7">
        <f>'[3]M.C UNPIV'!K382</f>
        <v>0</v>
      </c>
      <c r="K381" s="7">
        <f>'[3]M.C UNPIV'!L382</f>
        <v>0</v>
      </c>
      <c r="L381" s="7">
        <f>'[3]M.C UNPIV'!M382</f>
        <v>0</v>
      </c>
      <c r="M381" s="6">
        <f>'[3]M.C UNPIV'!N382</f>
        <v>0</v>
      </c>
      <c r="N381" s="5">
        <f>'[3]M.C UNPIV'!O382</f>
        <v>0</v>
      </c>
      <c r="O381" s="5">
        <f>'[3]M.C UNPIV'!P382</f>
        <v>0</v>
      </c>
    </row>
    <row r="382" spans="1:15" x14ac:dyDescent="0.25">
      <c r="A382" s="4">
        <f>'[3]M.C UNPIV'!B383</f>
        <v>0</v>
      </c>
      <c r="B382" s="5">
        <f>'[3]M.C UNPIV'!C383</f>
        <v>0</v>
      </c>
      <c r="C382" s="5">
        <f>'[3]M.C UNPIV'!D383</f>
        <v>0</v>
      </c>
      <c r="D382" s="5">
        <f>'[3]M.C UNPIV'!E383</f>
        <v>0</v>
      </c>
      <c r="E382" s="5">
        <f>'[3]M.C UNPIV'!F383</f>
        <v>0</v>
      </c>
      <c r="F382" s="5">
        <f>'[3]M.C UNPIV'!G383</f>
        <v>0</v>
      </c>
      <c r="G382" s="6">
        <f>'[3]M.C UNPIV'!H383</f>
        <v>0</v>
      </c>
      <c r="H382" s="5">
        <f>'[3]M.C UNPIV'!I383</f>
        <v>0</v>
      </c>
      <c r="I382" s="7">
        <f>'[3]M.C UNPIV'!J383</f>
        <v>0</v>
      </c>
      <c r="J382" s="7">
        <f>'[3]M.C UNPIV'!K383</f>
        <v>0</v>
      </c>
      <c r="K382" s="7">
        <f>'[3]M.C UNPIV'!L383</f>
        <v>0</v>
      </c>
      <c r="L382" s="7">
        <f>'[3]M.C UNPIV'!M383</f>
        <v>0</v>
      </c>
      <c r="M382" s="6">
        <f>'[3]M.C UNPIV'!N383</f>
        <v>0</v>
      </c>
      <c r="N382" s="5">
        <f>'[3]M.C UNPIV'!O383</f>
        <v>0</v>
      </c>
      <c r="O382" s="5">
        <f>'[3]M.C UNPIV'!P383</f>
        <v>0</v>
      </c>
    </row>
    <row r="383" spans="1:15" x14ac:dyDescent="0.25">
      <c r="A383" s="4">
        <f>'[3]M.C UNPIV'!B384</f>
        <v>0</v>
      </c>
      <c r="B383" s="5">
        <f>'[3]M.C UNPIV'!C384</f>
        <v>0</v>
      </c>
      <c r="C383" s="5">
        <f>'[3]M.C UNPIV'!D384</f>
        <v>0</v>
      </c>
      <c r="D383" s="5">
        <f>'[3]M.C UNPIV'!E384</f>
        <v>0</v>
      </c>
      <c r="E383" s="5">
        <f>'[3]M.C UNPIV'!F384</f>
        <v>0</v>
      </c>
      <c r="F383" s="5">
        <f>'[3]M.C UNPIV'!G384</f>
        <v>0</v>
      </c>
      <c r="G383" s="6">
        <f>'[3]M.C UNPIV'!H384</f>
        <v>0</v>
      </c>
      <c r="H383" s="5">
        <f>'[3]M.C UNPIV'!I384</f>
        <v>0</v>
      </c>
      <c r="I383" s="7">
        <f>'[3]M.C UNPIV'!J384</f>
        <v>0</v>
      </c>
      <c r="J383" s="7">
        <f>'[3]M.C UNPIV'!K384</f>
        <v>0</v>
      </c>
      <c r="K383" s="7">
        <f>'[3]M.C UNPIV'!L384</f>
        <v>0</v>
      </c>
      <c r="L383" s="7">
        <f>'[3]M.C UNPIV'!M384</f>
        <v>0</v>
      </c>
      <c r="M383" s="6">
        <f>'[3]M.C UNPIV'!N384</f>
        <v>0</v>
      </c>
      <c r="N383" s="5">
        <f>'[3]M.C UNPIV'!O384</f>
        <v>0</v>
      </c>
      <c r="O383" s="5">
        <f>'[3]M.C UNPIV'!P384</f>
        <v>0</v>
      </c>
    </row>
    <row r="384" spans="1:15" x14ac:dyDescent="0.25">
      <c r="A384" s="4">
        <f>'[3]M.C UNPIV'!B385</f>
        <v>0</v>
      </c>
      <c r="B384" s="5">
        <f>'[3]M.C UNPIV'!C385</f>
        <v>0</v>
      </c>
      <c r="C384" s="5">
        <f>'[3]M.C UNPIV'!D385</f>
        <v>0</v>
      </c>
      <c r="D384" s="5">
        <f>'[3]M.C UNPIV'!E385</f>
        <v>0</v>
      </c>
      <c r="E384" s="5">
        <f>'[3]M.C UNPIV'!F385</f>
        <v>0</v>
      </c>
      <c r="F384" s="5">
        <f>'[3]M.C UNPIV'!G385</f>
        <v>0</v>
      </c>
      <c r="G384" s="6">
        <f>'[3]M.C UNPIV'!H385</f>
        <v>0</v>
      </c>
      <c r="H384" s="5">
        <f>'[3]M.C UNPIV'!I385</f>
        <v>0</v>
      </c>
      <c r="I384" s="7">
        <f>'[3]M.C UNPIV'!J385</f>
        <v>0</v>
      </c>
      <c r="J384" s="7">
        <f>'[3]M.C UNPIV'!K385</f>
        <v>0</v>
      </c>
      <c r="K384" s="7">
        <f>'[3]M.C UNPIV'!L385</f>
        <v>0</v>
      </c>
      <c r="L384" s="7">
        <f>'[3]M.C UNPIV'!M385</f>
        <v>0</v>
      </c>
      <c r="M384" s="6">
        <f>'[3]M.C UNPIV'!N385</f>
        <v>0</v>
      </c>
      <c r="N384" s="5">
        <f>'[3]M.C UNPIV'!O385</f>
        <v>0</v>
      </c>
      <c r="O384" s="5">
        <f>'[3]M.C UNPIV'!P385</f>
        <v>0</v>
      </c>
    </row>
    <row r="385" spans="1:15" x14ac:dyDescent="0.25">
      <c r="A385" s="4">
        <f>'[3]M.C UNPIV'!B386</f>
        <v>0</v>
      </c>
      <c r="B385" s="5">
        <f>'[3]M.C UNPIV'!C386</f>
        <v>0</v>
      </c>
      <c r="C385" s="5">
        <f>'[3]M.C UNPIV'!D386</f>
        <v>0</v>
      </c>
      <c r="D385" s="5">
        <f>'[3]M.C UNPIV'!E386</f>
        <v>0</v>
      </c>
      <c r="E385" s="5">
        <f>'[3]M.C UNPIV'!F386</f>
        <v>0</v>
      </c>
      <c r="F385" s="5">
        <f>'[3]M.C UNPIV'!G386</f>
        <v>0</v>
      </c>
      <c r="G385" s="6">
        <f>'[3]M.C UNPIV'!H386</f>
        <v>0</v>
      </c>
      <c r="H385" s="5">
        <f>'[3]M.C UNPIV'!I386</f>
        <v>0</v>
      </c>
      <c r="I385" s="7">
        <f>'[3]M.C UNPIV'!J386</f>
        <v>0</v>
      </c>
      <c r="J385" s="7">
        <f>'[3]M.C UNPIV'!K386</f>
        <v>0</v>
      </c>
      <c r="K385" s="7">
        <f>'[3]M.C UNPIV'!L386</f>
        <v>0</v>
      </c>
      <c r="L385" s="7">
        <f>'[3]M.C UNPIV'!M386</f>
        <v>0</v>
      </c>
      <c r="M385" s="6">
        <f>'[3]M.C UNPIV'!N386</f>
        <v>0</v>
      </c>
      <c r="N385" s="5">
        <f>'[3]M.C UNPIV'!O386</f>
        <v>0</v>
      </c>
      <c r="O385" s="5">
        <f>'[3]M.C UNPIV'!P386</f>
        <v>0</v>
      </c>
    </row>
    <row r="386" spans="1:15" x14ac:dyDescent="0.25">
      <c r="A386" s="4">
        <f>'[3]M.C UNPIV'!B387</f>
        <v>0</v>
      </c>
      <c r="B386" s="5">
        <f>'[3]M.C UNPIV'!C387</f>
        <v>0</v>
      </c>
      <c r="C386" s="5">
        <f>'[3]M.C UNPIV'!D387</f>
        <v>0</v>
      </c>
      <c r="D386" s="5">
        <f>'[3]M.C UNPIV'!E387</f>
        <v>0</v>
      </c>
      <c r="E386" s="5">
        <f>'[3]M.C UNPIV'!F387</f>
        <v>0</v>
      </c>
      <c r="F386" s="5">
        <f>'[3]M.C UNPIV'!G387</f>
        <v>0</v>
      </c>
      <c r="G386" s="6">
        <f>'[3]M.C UNPIV'!H387</f>
        <v>0</v>
      </c>
      <c r="H386" s="5">
        <f>'[3]M.C UNPIV'!I387</f>
        <v>0</v>
      </c>
      <c r="I386" s="7">
        <f>'[3]M.C UNPIV'!J387</f>
        <v>0</v>
      </c>
      <c r="J386" s="7">
        <f>'[3]M.C UNPIV'!K387</f>
        <v>0</v>
      </c>
      <c r="K386" s="7">
        <f>'[3]M.C UNPIV'!L387</f>
        <v>0</v>
      </c>
      <c r="L386" s="7">
        <f>'[3]M.C UNPIV'!M387</f>
        <v>0</v>
      </c>
      <c r="M386" s="6">
        <f>'[3]M.C UNPIV'!N387</f>
        <v>0</v>
      </c>
      <c r="N386" s="5">
        <f>'[3]M.C UNPIV'!O387</f>
        <v>0</v>
      </c>
      <c r="O386" s="5">
        <f>'[3]M.C UNPIV'!P387</f>
        <v>0</v>
      </c>
    </row>
    <row r="387" spans="1:15" x14ac:dyDescent="0.25">
      <c r="A387" s="4">
        <f>'[3]M.C UNPIV'!B388</f>
        <v>0</v>
      </c>
      <c r="B387" s="5">
        <f>'[3]M.C UNPIV'!C388</f>
        <v>0</v>
      </c>
      <c r="C387" s="5">
        <f>'[3]M.C UNPIV'!D388</f>
        <v>0</v>
      </c>
      <c r="D387" s="5">
        <f>'[3]M.C UNPIV'!E388</f>
        <v>0</v>
      </c>
      <c r="E387" s="5">
        <f>'[3]M.C UNPIV'!F388</f>
        <v>0</v>
      </c>
      <c r="F387" s="5">
        <f>'[3]M.C UNPIV'!G388</f>
        <v>0</v>
      </c>
      <c r="G387" s="6">
        <f>'[3]M.C UNPIV'!H388</f>
        <v>0</v>
      </c>
      <c r="H387" s="5">
        <f>'[3]M.C UNPIV'!I388</f>
        <v>0</v>
      </c>
      <c r="I387" s="7">
        <f>'[3]M.C UNPIV'!J388</f>
        <v>0</v>
      </c>
      <c r="J387" s="7">
        <f>'[3]M.C UNPIV'!K388</f>
        <v>0</v>
      </c>
      <c r="K387" s="7">
        <f>'[3]M.C UNPIV'!L388</f>
        <v>0</v>
      </c>
      <c r="L387" s="7">
        <f>'[3]M.C UNPIV'!M388</f>
        <v>0</v>
      </c>
      <c r="M387" s="6">
        <f>'[3]M.C UNPIV'!N388</f>
        <v>0</v>
      </c>
      <c r="N387" s="5">
        <f>'[3]M.C UNPIV'!O388</f>
        <v>0</v>
      </c>
      <c r="O387" s="5">
        <f>'[3]M.C UNPIV'!P388</f>
        <v>0</v>
      </c>
    </row>
    <row r="388" spans="1:15" x14ac:dyDescent="0.25">
      <c r="A388" s="4">
        <f>'[3]M.C UNPIV'!B389</f>
        <v>0</v>
      </c>
      <c r="B388" s="5">
        <f>'[3]M.C UNPIV'!C389</f>
        <v>0</v>
      </c>
      <c r="C388" s="5">
        <f>'[3]M.C UNPIV'!D389</f>
        <v>0</v>
      </c>
      <c r="D388" s="5">
        <f>'[3]M.C UNPIV'!E389</f>
        <v>0</v>
      </c>
      <c r="E388" s="5">
        <f>'[3]M.C UNPIV'!F389</f>
        <v>0</v>
      </c>
      <c r="F388" s="5">
        <f>'[3]M.C UNPIV'!G389</f>
        <v>0</v>
      </c>
      <c r="G388" s="6">
        <f>'[3]M.C UNPIV'!H389</f>
        <v>0</v>
      </c>
      <c r="H388" s="5">
        <f>'[3]M.C UNPIV'!I389</f>
        <v>0</v>
      </c>
      <c r="I388" s="7">
        <f>'[3]M.C UNPIV'!J389</f>
        <v>0</v>
      </c>
      <c r="J388" s="7">
        <f>'[3]M.C UNPIV'!K389</f>
        <v>0</v>
      </c>
      <c r="K388" s="7">
        <f>'[3]M.C UNPIV'!L389</f>
        <v>0</v>
      </c>
      <c r="L388" s="7">
        <f>'[3]M.C UNPIV'!M389</f>
        <v>0</v>
      </c>
      <c r="M388" s="6">
        <f>'[3]M.C UNPIV'!N389</f>
        <v>0</v>
      </c>
      <c r="N388" s="5">
        <f>'[3]M.C UNPIV'!O389</f>
        <v>0</v>
      </c>
      <c r="O388" s="5">
        <f>'[3]M.C UNPIV'!P389</f>
        <v>0</v>
      </c>
    </row>
    <row r="389" spans="1:15" x14ac:dyDescent="0.25">
      <c r="A389" s="4">
        <f>'[3]M.C UNPIV'!B390</f>
        <v>0</v>
      </c>
      <c r="B389" s="5">
        <f>'[3]M.C UNPIV'!C390</f>
        <v>0</v>
      </c>
      <c r="C389" s="5">
        <f>'[3]M.C UNPIV'!D390</f>
        <v>0</v>
      </c>
      <c r="D389" s="5">
        <f>'[3]M.C UNPIV'!E390</f>
        <v>0</v>
      </c>
      <c r="E389" s="5">
        <f>'[3]M.C UNPIV'!F390</f>
        <v>0</v>
      </c>
      <c r="F389" s="5">
        <f>'[3]M.C UNPIV'!G390</f>
        <v>0</v>
      </c>
      <c r="G389" s="6">
        <f>'[3]M.C UNPIV'!H390</f>
        <v>0</v>
      </c>
      <c r="H389" s="5">
        <f>'[3]M.C UNPIV'!I390</f>
        <v>0</v>
      </c>
      <c r="I389" s="7">
        <f>'[3]M.C UNPIV'!J390</f>
        <v>0</v>
      </c>
      <c r="J389" s="7">
        <f>'[3]M.C UNPIV'!K390</f>
        <v>0</v>
      </c>
      <c r="K389" s="7">
        <f>'[3]M.C UNPIV'!L390</f>
        <v>0</v>
      </c>
      <c r="L389" s="7">
        <f>'[3]M.C UNPIV'!M390</f>
        <v>0</v>
      </c>
      <c r="M389" s="6">
        <f>'[3]M.C UNPIV'!N390</f>
        <v>0</v>
      </c>
      <c r="N389" s="5">
        <f>'[3]M.C UNPIV'!O390</f>
        <v>0</v>
      </c>
      <c r="O389" s="5">
        <f>'[3]M.C UNPIV'!P390</f>
        <v>0</v>
      </c>
    </row>
    <row r="390" spans="1:15" x14ac:dyDescent="0.25">
      <c r="A390" s="4">
        <f>'[3]M.C UNPIV'!B391</f>
        <v>0</v>
      </c>
      <c r="B390" s="5">
        <f>'[3]M.C UNPIV'!C391</f>
        <v>0</v>
      </c>
      <c r="C390" s="5">
        <f>'[3]M.C UNPIV'!D391</f>
        <v>0</v>
      </c>
      <c r="D390" s="5">
        <f>'[3]M.C UNPIV'!E391</f>
        <v>0</v>
      </c>
      <c r="E390" s="5">
        <f>'[3]M.C UNPIV'!F391</f>
        <v>0</v>
      </c>
      <c r="F390" s="5">
        <f>'[3]M.C UNPIV'!G391</f>
        <v>0</v>
      </c>
      <c r="G390" s="6">
        <f>'[3]M.C UNPIV'!H391</f>
        <v>0</v>
      </c>
      <c r="H390" s="5">
        <f>'[3]M.C UNPIV'!I391</f>
        <v>0</v>
      </c>
      <c r="I390" s="7">
        <f>'[3]M.C UNPIV'!J391</f>
        <v>0</v>
      </c>
      <c r="J390" s="7">
        <f>'[3]M.C UNPIV'!K391</f>
        <v>0</v>
      </c>
      <c r="K390" s="7">
        <f>'[3]M.C UNPIV'!L391</f>
        <v>0</v>
      </c>
      <c r="L390" s="7">
        <f>'[3]M.C UNPIV'!M391</f>
        <v>0</v>
      </c>
      <c r="M390" s="6">
        <f>'[3]M.C UNPIV'!N391</f>
        <v>0</v>
      </c>
      <c r="N390" s="5">
        <f>'[3]M.C UNPIV'!O391</f>
        <v>0</v>
      </c>
      <c r="O390" s="5">
        <f>'[3]M.C UNPIV'!P391</f>
        <v>0</v>
      </c>
    </row>
    <row r="391" spans="1:15" x14ac:dyDescent="0.25">
      <c r="A391" s="4">
        <f>'[3]M.C UNPIV'!B392</f>
        <v>0</v>
      </c>
      <c r="B391" s="5">
        <f>'[3]M.C UNPIV'!C392</f>
        <v>0</v>
      </c>
      <c r="C391" s="5">
        <f>'[3]M.C UNPIV'!D392</f>
        <v>0</v>
      </c>
      <c r="D391" s="5">
        <f>'[3]M.C UNPIV'!E392</f>
        <v>0</v>
      </c>
      <c r="E391" s="5">
        <f>'[3]M.C UNPIV'!F392</f>
        <v>0</v>
      </c>
      <c r="F391" s="5">
        <f>'[3]M.C UNPIV'!G392</f>
        <v>0</v>
      </c>
      <c r="G391" s="6">
        <f>'[3]M.C UNPIV'!H392</f>
        <v>0</v>
      </c>
      <c r="H391" s="5">
        <f>'[3]M.C UNPIV'!I392</f>
        <v>0</v>
      </c>
      <c r="I391" s="7">
        <f>'[3]M.C UNPIV'!J392</f>
        <v>0</v>
      </c>
      <c r="J391" s="7">
        <f>'[3]M.C UNPIV'!K392</f>
        <v>0</v>
      </c>
      <c r="K391" s="7">
        <f>'[3]M.C UNPIV'!L392</f>
        <v>0</v>
      </c>
      <c r="L391" s="7">
        <f>'[3]M.C UNPIV'!M392</f>
        <v>0</v>
      </c>
      <c r="M391" s="6">
        <f>'[3]M.C UNPIV'!N392</f>
        <v>0</v>
      </c>
      <c r="N391" s="5">
        <f>'[3]M.C UNPIV'!O392</f>
        <v>0</v>
      </c>
      <c r="O391" s="5">
        <f>'[3]M.C UNPIV'!P392</f>
        <v>0</v>
      </c>
    </row>
    <row r="392" spans="1:15" x14ac:dyDescent="0.25">
      <c r="A392" s="4">
        <f>'[3]M.C UNPIV'!B393</f>
        <v>0</v>
      </c>
      <c r="B392" s="5">
        <f>'[3]M.C UNPIV'!C393</f>
        <v>0</v>
      </c>
      <c r="C392" s="5">
        <f>'[3]M.C UNPIV'!D393</f>
        <v>0</v>
      </c>
      <c r="D392" s="5">
        <f>'[3]M.C UNPIV'!E393</f>
        <v>0</v>
      </c>
      <c r="E392" s="5">
        <f>'[3]M.C UNPIV'!F393</f>
        <v>0</v>
      </c>
      <c r="F392" s="5">
        <f>'[3]M.C UNPIV'!G393</f>
        <v>0</v>
      </c>
      <c r="G392" s="6">
        <f>'[3]M.C UNPIV'!H393</f>
        <v>0</v>
      </c>
      <c r="H392" s="5">
        <f>'[3]M.C UNPIV'!I393</f>
        <v>0</v>
      </c>
      <c r="I392" s="7">
        <f>'[3]M.C UNPIV'!J393</f>
        <v>0</v>
      </c>
      <c r="J392" s="7">
        <f>'[3]M.C UNPIV'!K393</f>
        <v>0</v>
      </c>
      <c r="K392" s="7">
        <f>'[3]M.C UNPIV'!L393</f>
        <v>0</v>
      </c>
      <c r="L392" s="7">
        <f>'[3]M.C UNPIV'!M393</f>
        <v>0</v>
      </c>
      <c r="M392" s="6">
        <f>'[3]M.C UNPIV'!N393</f>
        <v>0</v>
      </c>
      <c r="N392" s="5">
        <f>'[3]M.C UNPIV'!O393</f>
        <v>0</v>
      </c>
      <c r="O392" s="5">
        <f>'[3]M.C UNPIV'!P393</f>
        <v>0</v>
      </c>
    </row>
    <row r="393" spans="1:15" x14ac:dyDescent="0.25">
      <c r="A393" s="4">
        <f>'[3]M.C UNPIV'!B394</f>
        <v>0</v>
      </c>
      <c r="B393" s="5">
        <f>'[3]M.C UNPIV'!C394</f>
        <v>0</v>
      </c>
      <c r="C393" s="5">
        <f>'[3]M.C UNPIV'!D394</f>
        <v>0</v>
      </c>
      <c r="D393" s="5">
        <f>'[3]M.C UNPIV'!E394</f>
        <v>0</v>
      </c>
      <c r="E393" s="5">
        <f>'[3]M.C UNPIV'!F394</f>
        <v>0</v>
      </c>
      <c r="F393" s="5">
        <f>'[3]M.C UNPIV'!G394</f>
        <v>0</v>
      </c>
      <c r="G393" s="6">
        <f>'[3]M.C UNPIV'!H394</f>
        <v>0</v>
      </c>
      <c r="H393" s="5">
        <f>'[3]M.C UNPIV'!I394</f>
        <v>0</v>
      </c>
      <c r="I393" s="7">
        <f>'[3]M.C UNPIV'!J394</f>
        <v>0</v>
      </c>
      <c r="J393" s="7">
        <f>'[3]M.C UNPIV'!K394</f>
        <v>0</v>
      </c>
      <c r="K393" s="7">
        <f>'[3]M.C UNPIV'!L394</f>
        <v>0</v>
      </c>
      <c r="L393" s="7">
        <f>'[3]M.C UNPIV'!M394</f>
        <v>0</v>
      </c>
      <c r="M393" s="6">
        <f>'[3]M.C UNPIV'!N394</f>
        <v>0</v>
      </c>
      <c r="N393" s="5">
        <f>'[3]M.C UNPIV'!O394</f>
        <v>0</v>
      </c>
      <c r="O393" s="5">
        <f>'[3]M.C UNPIV'!P394</f>
        <v>0</v>
      </c>
    </row>
    <row r="394" spans="1:15" x14ac:dyDescent="0.25">
      <c r="A394" s="4">
        <f>'[3]M.C UNPIV'!B395</f>
        <v>0</v>
      </c>
      <c r="B394" s="5">
        <f>'[3]M.C UNPIV'!C395</f>
        <v>0</v>
      </c>
      <c r="C394" s="5">
        <f>'[3]M.C UNPIV'!D395</f>
        <v>0</v>
      </c>
      <c r="D394" s="5">
        <f>'[3]M.C UNPIV'!E395</f>
        <v>0</v>
      </c>
      <c r="E394" s="5">
        <f>'[3]M.C UNPIV'!F395</f>
        <v>0</v>
      </c>
      <c r="F394" s="5">
        <f>'[3]M.C UNPIV'!G395</f>
        <v>0</v>
      </c>
      <c r="G394" s="6">
        <f>'[3]M.C UNPIV'!H395</f>
        <v>0</v>
      </c>
      <c r="H394" s="5">
        <f>'[3]M.C UNPIV'!I395</f>
        <v>0</v>
      </c>
      <c r="I394" s="7">
        <f>'[3]M.C UNPIV'!J395</f>
        <v>0</v>
      </c>
      <c r="J394" s="7">
        <f>'[3]M.C UNPIV'!K395</f>
        <v>0</v>
      </c>
      <c r="K394" s="7">
        <f>'[3]M.C UNPIV'!L395</f>
        <v>0</v>
      </c>
      <c r="L394" s="7">
        <f>'[3]M.C UNPIV'!M395</f>
        <v>0</v>
      </c>
      <c r="M394" s="6">
        <f>'[3]M.C UNPIV'!N395</f>
        <v>0</v>
      </c>
      <c r="N394" s="5">
        <f>'[3]M.C UNPIV'!O395</f>
        <v>0</v>
      </c>
      <c r="O394" s="5">
        <f>'[3]M.C UNPIV'!P395</f>
        <v>0</v>
      </c>
    </row>
    <row r="395" spans="1:15" x14ac:dyDescent="0.25">
      <c r="A395" s="4">
        <f>'[3]M.C UNPIV'!B396</f>
        <v>0</v>
      </c>
      <c r="B395" s="5">
        <f>'[3]M.C UNPIV'!C396</f>
        <v>0</v>
      </c>
      <c r="C395" s="5">
        <f>'[3]M.C UNPIV'!D396</f>
        <v>0</v>
      </c>
      <c r="D395" s="5">
        <f>'[3]M.C UNPIV'!E396</f>
        <v>0</v>
      </c>
      <c r="E395" s="5">
        <f>'[3]M.C UNPIV'!F396</f>
        <v>0</v>
      </c>
      <c r="F395" s="5">
        <f>'[3]M.C UNPIV'!G396</f>
        <v>0</v>
      </c>
      <c r="G395" s="6">
        <f>'[3]M.C UNPIV'!H396</f>
        <v>0</v>
      </c>
      <c r="H395" s="5">
        <f>'[3]M.C UNPIV'!I396</f>
        <v>0</v>
      </c>
      <c r="I395" s="7">
        <f>'[3]M.C UNPIV'!J396</f>
        <v>0</v>
      </c>
      <c r="J395" s="7">
        <f>'[3]M.C UNPIV'!K396</f>
        <v>0</v>
      </c>
      <c r="K395" s="7">
        <f>'[3]M.C UNPIV'!L396</f>
        <v>0</v>
      </c>
      <c r="L395" s="7">
        <f>'[3]M.C UNPIV'!M396</f>
        <v>0</v>
      </c>
      <c r="M395" s="6">
        <f>'[3]M.C UNPIV'!N396</f>
        <v>0</v>
      </c>
      <c r="N395" s="5">
        <f>'[3]M.C UNPIV'!O396</f>
        <v>0</v>
      </c>
      <c r="O395" s="5">
        <f>'[3]M.C UNPIV'!P396</f>
        <v>0</v>
      </c>
    </row>
    <row r="396" spans="1:15" x14ac:dyDescent="0.25">
      <c r="A396" s="4">
        <f>'[3]M.C UNPIV'!B397</f>
        <v>0</v>
      </c>
      <c r="B396" s="5">
        <f>'[3]M.C UNPIV'!C397</f>
        <v>0</v>
      </c>
      <c r="C396" s="5">
        <f>'[3]M.C UNPIV'!D397</f>
        <v>0</v>
      </c>
      <c r="D396" s="5">
        <f>'[3]M.C UNPIV'!E397</f>
        <v>0</v>
      </c>
      <c r="E396" s="5">
        <f>'[3]M.C UNPIV'!F397</f>
        <v>0</v>
      </c>
      <c r="F396" s="5">
        <f>'[3]M.C UNPIV'!G397</f>
        <v>0</v>
      </c>
      <c r="G396" s="6">
        <f>'[3]M.C UNPIV'!H397</f>
        <v>0</v>
      </c>
      <c r="H396" s="5">
        <f>'[3]M.C UNPIV'!I397</f>
        <v>0</v>
      </c>
      <c r="I396" s="7">
        <f>'[3]M.C UNPIV'!J397</f>
        <v>0</v>
      </c>
      <c r="J396" s="7">
        <f>'[3]M.C UNPIV'!K397</f>
        <v>0</v>
      </c>
      <c r="K396" s="7">
        <f>'[3]M.C UNPIV'!L397</f>
        <v>0</v>
      </c>
      <c r="L396" s="7">
        <f>'[3]M.C UNPIV'!M397</f>
        <v>0</v>
      </c>
      <c r="M396" s="6">
        <f>'[3]M.C UNPIV'!N397</f>
        <v>0</v>
      </c>
      <c r="N396" s="5">
        <f>'[3]M.C UNPIV'!O397</f>
        <v>0</v>
      </c>
      <c r="O396" s="5">
        <f>'[3]M.C UNPIV'!P397</f>
        <v>0</v>
      </c>
    </row>
    <row r="397" spans="1:15" x14ac:dyDescent="0.25">
      <c r="A397" s="4">
        <f>'[3]M.C UNPIV'!B398</f>
        <v>0</v>
      </c>
      <c r="B397" s="5">
        <f>'[3]M.C UNPIV'!C398</f>
        <v>0</v>
      </c>
      <c r="C397" s="5">
        <f>'[3]M.C UNPIV'!D398</f>
        <v>0</v>
      </c>
      <c r="D397" s="5">
        <f>'[3]M.C UNPIV'!E398</f>
        <v>0</v>
      </c>
      <c r="E397" s="5">
        <f>'[3]M.C UNPIV'!F398</f>
        <v>0</v>
      </c>
      <c r="F397" s="5">
        <f>'[3]M.C UNPIV'!G398</f>
        <v>0</v>
      </c>
      <c r="G397" s="6">
        <f>'[3]M.C UNPIV'!H398</f>
        <v>0</v>
      </c>
      <c r="H397" s="5">
        <f>'[3]M.C UNPIV'!I398</f>
        <v>0</v>
      </c>
      <c r="I397" s="7">
        <f>'[3]M.C UNPIV'!J398</f>
        <v>0</v>
      </c>
      <c r="J397" s="7">
        <f>'[3]M.C UNPIV'!K398</f>
        <v>0</v>
      </c>
      <c r="K397" s="7">
        <f>'[3]M.C UNPIV'!L398</f>
        <v>0</v>
      </c>
      <c r="L397" s="7">
        <f>'[3]M.C UNPIV'!M398</f>
        <v>0</v>
      </c>
      <c r="M397" s="6">
        <f>'[3]M.C UNPIV'!N398</f>
        <v>0</v>
      </c>
      <c r="N397" s="5">
        <f>'[3]M.C UNPIV'!O398</f>
        <v>0</v>
      </c>
      <c r="O397" s="5">
        <f>'[3]M.C UNPIV'!P398</f>
        <v>0</v>
      </c>
    </row>
    <row r="398" spans="1:15" x14ac:dyDescent="0.25">
      <c r="A398" s="4">
        <f>'[3]M.C UNPIV'!B399</f>
        <v>0</v>
      </c>
      <c r="B398" s="5">
        <f>'[3]M.C UNPIV'!C399</f>
        <v>0</v>
      </c>
      <c r="C398" s="5">
        <f>'[3]M.C UNPIV'!D399</f>
        <v>0</v>
      </c>
      <c r="D398" s="5">
        <f>'[3]M.C UNPIV'!E399</f>
        <v>0</v>
      </c>
      <c r="E398" s="5">
        <f>'[3]M.C UNPIV'!F399</f>
        <v>0</v>
      </c>
      <c r="F398" s="5">
        <f>'[3]M.C UNPIV'!G399</f>
        <v>0</v>
      </c>
      <c r="G398" s="6">
        <f>'[3]M.C UNPIV'!H399</f>
        <v>0</v>
      </c>
      <c r="H398" s="5">
        <f>'[3]M.C UNPIV'!I399</f>
        <v>0</v>
      </c>
      <c r="I398" s="7">
        <f>'[3]M.C UNPIV'!J399</f>
        <v>0</v>
      </c>
      <c r="J398" s="7">
        <f>'[3]M.C UNPIV'!K399</f>
        <v>0</v>
      </c>
      <c r="K398" s="7">
        <f>'[3]M.C UNPIV'!L399</f>
        <v>0</v>
      </c>
      <c r="L398" s="7">
        <f>'[3]M.C UNPIV'!M399</f>
        <v>0</v>
      </c>
      <c r="M398" s="6">
        <f>'[3]M.C UNPIV'!N399</f>
        <v>0</v>
      </c>
      <c r="N398" s="5">
        <f>'[3]M.C UNPIV'!O399</f>
        <v>0</v>
      </c>
      <c r="O398" s="5">
        <f>'[3]M.C UNPIV'!P399</f>
        <v>0</v>
      </c>
    </row>
    <row r="399" spans="1:15" x14ac:dyDescent="0.25">
      <c r="A399" s="4">
        <f>'[3]M.C UNPIV'!B400</f>
        <v>0</v>
      </c>
      <c r="B399" s="5">
        <f>'[3]M.C UNPIV'!C400</f>
        <v>0</v>
      </c>
      <c r="C399" s="5">
        <f>'[3]M.C UNPIV'!D400</f>
        <v>0</v>
      </c>
      <c r="D399" s="5">
        <f>'[3]M.C UNPIV'!E400</f>
        <v>0</v>
      </c>
      <c r="E399" s="5">
        <f>'[3]M.C UNPIV'!F400</f>
        <v>0</v>
      </c>
      <c r="F399" s="5">
        <f>'[3]M.C UNPIV'!G400</f>
        <v>0</v>
      </c>
      <c r="G399" s="6">
        <f>'[3]M.C UNPIV'!H400</f>
        <v>0</v>
      </c>
      <c r="H399" s="5">
        <f>'[3]M.C UNPIV'!I400</f>
        <v>0</v>
      </c>
      <c r="I399" s="7">
        <f>'[3]M.C UNPIV'!J400</f>
        <v>0</v>
      </c>
      <c r="J399" s="7">
        <f>'[3]M.C UNPIV'!K400</f>
        <v>0</v>
      </c>
      <c r="K399" s="7">
        <f>'[3]M.C UNPIV'!L400</f>
        <v>0</v>
      </c>
      <c r="L399" s="7">
        <f>'[3]M.C UNPIV'!M400</f>
        <v>0</v>
      </c>
      <c r="M399" s="6">
        <f>'[3]M.C UNPIV'!N400</f>
        <v>0</v>
      </c>
      <c r="N399" s="5">
        <f>'[3]M.C UNPIV'!O400</f>
        <v>0</v>
      </c>
      <c r="O399" s="5">
        <f>'[3]M.C UNPIV'!P400</f>
        <v>0</v>
      </c>
    </row>
    <row r="400" spans="1:15" x14ac:dyDescent="0.25">
      <c r="A400" s="4">
        <f>'[3]M.C UNPIV'!B401</f>
        <v>0</v>
      </c>
      <c r="B400" s="5">
        <f>'[3]M.C UNPIV'!C401</f>
        <v>0</v>
      </c>
      <c r="C400" s="5">
        <f>'[3]M.C UNPIV'!D401</f>
        <v>0</v>
      </c>
      <c r="D400" s="5">
        <f>'[3]M.C UNPIV'!E401</f>
        <v>0</v>
      </c>
      <c r="E400" s="5">
        <f>'[3]M.C UNPIV'!F401</f>
        <v>0</v>
      </c>
      <c r="F400" s="5">
        <f>'[3]M.C UNPIV'!G401</f>
        <v>0</v>
      </c>
      <c r="G400" s="6">
        <f>'[3]M.C UNPIV'!H401</f>
        <v>0</v>
      </c>
      <c r="H400" s="5">
        <f>'[3]M.C UNPIV'!I401</f>
        <v>0</v>
      </c>
      <c r="I400" s="7">
        <f>'[3]M.C UNPIV'!J401</f>
        <v>0</v>
      </c>
      <c r="J400" s="7">
        <f>'[3]M.C UNPIV'!K401</f>
        <v>0</v>
      </c>
      <c r="K400" s="7">
        <f>'[3]M.C UNPIV'!L401</f>
        <v>0</v>
      </c>
      <c r="L400" s="7">
        <f>'[3]M.C UNPIV'!M401</f>
        <v>0</v>
      </c>
      <c r="M400" s="6">
        <f>'[3]M.C UNPIV'!N401</f>
        <v>0</v>
      </c>
      <c r="N400" s="5">
        <f>'[3]M.C UNPIV'!O401</f>
        <v>0</v>
      </c>
      <c r="O400" s="5">
        <f>'[3]M.C UNPIV'!P401</f>
        <v>0</v>
      </c>
    </row>
    <row r="401" spans="1:15" x14ac:dyDescent="0.25">
      <c r="A401" s="4">
        <f>'[3]M.C UNPIV'!B402</f>
        <v>0</v>
      </c>
      <c r="B401" s="5">
        <f>'[3]M.C UNPIV'!C402</f>
        <v>0</v>
      </c>
      <c r="C401" s="5">
        <f>'[3]M.C UNPIV'!D402</f>
        <v>0</v>
      </c>
      <c r="D401" s="5">
        <f>'[3]M.C UNPIV'!E402</f>
        <v>0</v>
      </c>
      <c r="E401" s="5">
        <f>'[3]M.C UNPIV'!F402</f>
        <v>0</v>
      </c>
      <c r="F401" s="5">
        <f>'[3]M.C UNPIV'!G402</f>
        <v>0</v>
      </c>
      <c r="G401" s="6">
        <f>'[3]M.C UNPIV'!H402</f>
        <v>0</v>
      </c>
      <c r="H401" s="5">
        <f>'[3]M.C UNPIV'!I402</f>
        <v>0</v>
      </c>
      <c r="I401" s="7">
        <f>'[3]M.C UNPIV'!J402</f>
        <v>0</v>
      </c>
      <c r="J401" s="7">
        <f>'[3]M.C UNPIV'!K402</f>
        <v>0</v>
      </c>
      <c r="K401" s="7">
        <f>'[3]M.C UNPIV'!L402</f>
        <v>0</v>
      </c>
      <c r="L401" s="7">
        <f>'[3]M.C UNPIV'!M402</f>
        <v>0</v>
      </c>
      <c r="M401" s="6">
        <f>'[3]M.C UNPIV'!N402</f>
        <v>0</v>
      </c>
      <c r="N401" s="5">
        <f>'[3]M.C UNPIV'!O402</f>
        <v>0</v>
      </c>
      <c r="O401" s="5">
        <f>'[3]M.C UNPIV'!P402</f>
        <v>0</v>
      </c>
    </row>
    <row r="402" spans="1:15" x14ac:dyDescent="0.25">
      <c r="A402" s="4">
        <f>'[3]M.C UNPIV'!B403</f>
        <v>0</v>
      </c>
      <c r="B402" s="5">
        <f>'[3]M.C UNPIV'!C403</f>
        <v>0</v>
      </c>
      <c r="C402" s="5">
        <f>'[3]M.C UNPIV'!D403</f>
        <v>0</v>
      </c>
      <c r="D402" s="5">
        <f>'[3]M.C UNPIV'!E403</f>
        <v>0</v>
      </c>
      <c r="E402" s="5">
        <f>'[3]M.C UNPIV'!F403</f>
        <v>0</v>
      </c>
      <c r="F402" s="5">
        <f>'[3]M.C UNPIV'!G403</f>
        <v>0</v>
      </c>
      <c r="G402" s="6">
        <f>'[3]M.C UNPIV'!H403</f>
        <v>0</v>
      </c>
      <c r="H402" s="5">
        <f>'[3]M.C UNPIV'!I403</f>
        <v>0</v>
      </c>
      <c r="I402" s="7">
        <f>'[3]M.C UNPIV'!J403</f>
        <v>0</v>
      </c>
      <c r="J402" s="7">
        <f>'[3]M.C UNPIV'!K403</f>
        <v>0</v>
      </c>
      <c r="K402" s="7">
        <f>'[3]M.C UNPIV'!L403</f>
        <v>0</v>
      </c>
      <c r="L402" s="7">
        <f>'[3]M.C UNPIV'!M403</f>
        <v>0</v>
      </c>
      <c r="M402" s="6">
        <f>'[3]M.C UNPIV'!N403</f>
        <v>0</v>
      </c>
      <c r="N402" s="5">
        <f>'[3]M.C UNPIV'!O403</f>
        <v>0</v>
      </c>
      <c r="O402" s="5">
        <f>'[3]M.C UNPIV'!P403</f>
        <v>0</v>
      </c>
    </row>
    <row r="403" spans="1:15" x14ac:dyDescent="0.25">
      <c r="A403" s="4">
        <f>'[3]M.C UNPIV'!B404</f>
        <v>0</v>
      </c>
      <c r="B403" s="5">
        <f>'[3]M.C UNPIV'!C404</f>
        <v>0</v>
      </c>
      <c r="C403" s="5">
        <f>'[3]M.C UNPIV'!D404</f>
        <v>0</v>
      </c>
      <c r="D403" s="5">
        <f>'[3]M.C UNPIV'!E404</f>
        <v>0</v>
      </c>
      <c r="E403" s="5">
        <f>'[3]M.C UNPIV'!F404</f>
        <v>0</v>
      </c>
      <c r="F403" s="5">
        <f>'[3]M.C UNPIV'!G404</f>
        <v>0</v>
      </c>
      <c r="G403" s="6">
        <f>'[3]M.C UNPIV'!H404</f>
        <v>0</v>
      </c>
      <c r="H403" s="5">
        <f>'[3]M.C UNPIV'!I404</f>
        <v>0</v>
      </c>
      <c r="I403" s="7">
        <f>'[3]M.C UNPIV'!J404</f>
        <v>0</v>
      </c>
      <c r="J403" s="7">
        <f>'[3]M.C UNPIV'!K404</f>
        <v>0</v>
      </c>
      <c r="K403" s="7">
        <f>'[3]M.C UNPIV'!L404</f>
        <v>0</v>
      </c>
      <c r="L403" s="7">
        <f>'[3]M.C UNPIV'!M404</f>
        <v>0</v>
      </c>
      <c r="M403" s="6">
        <f>'[3]M.C UNPIV'!N404</f>
        <v>0</v>
      </c>
      <c r="N403" s="5">
        <f>'[3]M.C UNPIV'!O404</f>
        <v>0</v>
      </c>
      <c r="O403" s="5">
        <f>'[3]M.C UNPIV'!P404</f>
        <v>0</v>
      </c>
    </row>
    <row r="404" spans="1:15" x14ac:dyDescent="0.25">
      <c r="A404" s="4">
        <f>'[3]M.C UNPIV'!B405</f>
        <v>0</v>
      </c>
      <c r="B404" s="5">
        <f>'[3]M.C UNPIV'!C405</f>
        <v>0</v>
      </c>
      <c r="C404" s="5">
        <f>'[3]M.C UNPIV'!D405</f>
        <v>0</v>
      </c>
      <c r="D404" s="5">
        <f>'[3]M.C UNPIV'!E405</f>
        <v>0</v>
      </c>
      <c r="E404" s="5">
        <f>'[3]M.C UNPIV'!F405</f>
        <v>0</v>
      </c>
      <c r="F404" s="5">
        <f>'[3]M.C UNPIV'!G405</f>
        <v>0</v>
      </c>
      <c r="G404" s="6">
        <f>'[3]M.C UNPIV'!H405</f>
        <v>0</v>
      </c>
      <c r="H404" s="5">
        <f>'[3]M.C UNPIV'!I405</f>
        <v>0</v>
      </c>
      <c r="I404" s="7">
        <f>'[3]M.C UNPIV'!J405</f>
        <v>0</v>
      </c>
      <c r="J404" s="7">
        <f>'[3]M.C UNPIV'!K405</f>
        <v>0</v>
      </c>
      <c r="K404" s="7">
        <f>'[3]M.C UNPIV'!L405</f>
        <v>0</v>
      </c>
      <c r="L404" s="7">
        <f>'[3]M.C UNPIV'!M405</f>
        <v>0</v>
      </c>
      <c r="M404" s="6">
        <f>'[3]M.C UNPIV'!N405</f>
        <v>0</v>
      </c>
      <c r="N404" s="5">
        <f>'[3]M.C UNPIV'!O405</f>
        <v>0</v>
      </c>
      <c r="O404" s="5">
        <f>'[3]M.C UNPIV'!P405</f>
        <v>0</v>
      </c>
    </row>
    <row r="405" spans="1:15" x14ac:dyDescent="0.25">
      <c r="A405" s="4">
        <f>'[3]M.C UNPIV'!B406</f>
        <v>0</v>
      </c>
      <c r="B405" s="5">
        <f>'[3]M.C UNPIV'!C406</f>
        <v>0</v>
      </c>
      <c r="C405" s="5">
        <f>'[3]M.C UNPIV'!D406</f>
        <v>0</v>
      </c>
      <c r="D405" s="5">
        <f>'[3]M.C UNPIV'!E406</f>
        <v>0</v>
      </c>
      <c r="E405" s="5">
        <f>'[3]M.C UNPIV'!F406</f>
        <v>0</v>
      </c>
      <c r="F405" s="5">
        <f>'[3]M.C UNPIV'!G406</f>
        <v>0</v>
      </c>
      <c r="G405" s="6">
        <f>'[3]M.C UNPIV'!H406</f>
        <v>0</v>
      </c>
      <c r="H405" s="5">
        <f>'[3]M.C UNPIV'!I406</f>
        <v>0</v>
      </c>
      <c r="I405" s="7">
        <f>'[3]M.C UNPIV'!J406</f>
        <v>0</v>
      </c>
      <c r="J405" s="7">
        <f>'[3]M.C UNPIV'!K406</f>
        <v>0</v>
      </c>
      <c r="K405" s="7">
        <f>'[3]M.C UNPIV'!L406</f>
        <v>0</v>
      </c>
      <c r="L405" s="7">
        <f>'[3]M.C UNPIV'!M406</f>
        <v>0</v>
      </c>
      <c r="M405" s="6">
        <f>'[3]M.C UNPIV'!N406</f>
        <v>0</v>
      </c>
      <c r="N405" s="5">
        <f>'[3]M.C UNPIV'!O406</f>
        <v>0</v>
      </c>
      <c r="O405" s="5">
        <f>'[3]M.C UNPIV'!P406</f>
        <v>0</v>
      </c>
    </row>
    <row r="406" spans="1:15" x14ac:dyDescent="0.25">
      <c r="A406" s="4">
        <f>'[3]M.C UNPIV'!B407</f>
        <v>0</v>
      </c>
      <c r="B406" s="5">
        <f>'[3]M.C UNPIV'!C407</f>
        <v>0</v>
      </c>
      <c r="C406" s="5">
        <f>'[3]M.C UNPIV'!D407</f>
        <v>0</v>
      </c>
      <c r="D406" s="5">
        <f>'[3]M.C UNPIV'!E407</f>
        <v>0</v>
      </c>
      <c r="E406" s="5">
        <f>'[3]M.C UNPIV'!F407</f>
        <v>0</v>
      </c>
      <c r="F406" s="5">
        <f>'[3]M.C UNPIV'!G407</f>
        <v>0</v>
      </c>
      <c r="G406" s="6">
        <f>'[3]M.C UNPIV'!H407</f>
        <v>0</v>
      </c>
      <c r="H406" s="5">
        <f>'[3]M.C UNPIV'!I407</f>
        <v>0</v>
      </c>
      <c r="I406" s="7">
        <f>'[3]M.C UNPIV'!J407</f>
        <v>0</v>
      </c>
      <c r="J406" s="7">
        <f>'[3]M.C UNPIV'!K407</f>
        <v>0</v>
      </c>
      <c r="K406" s="7">
        <f>'[3]M.C UNPIV'!L407</f>
        <v>0</v>
      </c>
      <c r="L406" s="7">
        <f>'[3]M.C UNPIV'!M407</f>
        <v>0</v>
      </c>
      <c r="M406" s="6">
        <f>'[3]M.C UNPIV'!N407</f>
        <v>0</v>
      </c>
      <c r="N406" s="5">
        <f>'[3]M.C UNPIV'!O407</f>
        <v>0</v>
      </c>
      <c r="O406" s="5">
        <f>'[3]M.C UNPIV'!P407</f>
        <v>0</v>
      </c>
    </row>
    <row r="407" spans="1:15" x14ac:dyDescent="0.25">
      <c r="A407" s="4">
        <f>'[3]M.C UNPIV'!B408</f>
        <v>0</v>
      </c>
      <c r="B407" s="5">
        <f>'[3]M.C UNPIV'!C408</f>
        <v>0</v>
      </c>
      <c r="C407" s="5">
        <f>'[3]M.C UNPIV'!D408</f>
        <v>0</v>
      </c>
      <c r="D407" s="5">
        <f>'[3]M.C UNPIV'!E408</f>
        <v>0</v>
      </c>
      <c r="E407" s="5">
        <f>'[3]M.C UNPIV'!F408</f>
        <v>0</v>
      </c>
      <c r="F407" s="5">
        <f>'[3]M.C UNPIV'!G408</f>
        <v>0</v>
      </c>
      <c r="G407" s="6">
        <f>'[3]M.C UNPIV'!H408</f>
        <v>0</v>
      </c>
      <c r="H407" s="5">
        <f>'[3]M.C UNPIV'!I408</f>
        <v>0</v>
      </c>
      <c r="I407" s="7">
        <f>'[3]M.C UNPIV'!J408</f>
        <v>0</v>
      </c>
      <c r="J407" s="7">
        <f>'[3]M.C UNPIV'!K408</f>
        <v>0</v>
      </c>
      <c r="K407" s="7">
        <f>'[3]M.C UNPIV'!L408</f>
        <v>0</v>
      </c>
      <c r="L407" s="7">
        <f>'[3]M.C UNPIV'!M408</f>
        <v>0</v>
      </c>
      <c r="M407" s="6">
        <f>'[3]M.C UNPIV'!N408</f>
        <v>0</v>
      </c>
      <c r="N407" s="5">
        <f>'[3]M.C UNPIV'!O408</f>
        <v>0</v>
      </c>
      <c r="O407" s="5">
        <f>'[3]M.C UNPIV'!P408</f>
        <v>0</v>
      </c>
    </row>
    <row r="408" spans="1:15" x14ac:dyDescent="0.25">
      <c r="A408" s="4">
        <f>'[3]M.C UNPIV'!B409</f>
        <v>0</v>
      </c>
      <c r="B408" s="5">
        <f>'[3]M.C UNPIV'!C409</f>
        <v>0</v>
      </c>
      <c r="C408" s="5">
        <f>'[3]M.C UNPIV'!D409</f>
        <v>0</v>
      </c>
      <c r="D408" s="5">
        <f>'[3]M.C UNPIV'!E409</f>
        <v>0</v>
      </c>
      <c r="E408" s="5">
        <f>'[3]M.C UNPIV'!F409</f>
        <v>0</v>
      </c>
      <c r="F408" s="5">
        <f>'[3]M.C UNPIV'!G409</f>
        <v>0</v>
      </c>
      <c r="G408" s="6">
        <f>'[3]M.C UNPIV'!H409</f>
        <v>0</v>
      </c>
      <c r="H408" s="5">
        <f>'[3]M.C UNPIV'!I409</f>
        <v>0</v>
      </c>
      <c r="I408" s="7">
        <f>'[3]M.C UNPIV'!J409</f>
        <v>0</v>
      </c>
      <c r="J408" s="7">
        <f>'[3]M.C UNPIV'!K409</f>
        <v>0</v>
      </c>
      <c r="K408" s="7">
        <f>'[3]M.C UNPIV'!L409</f>
        <v>0</v>
      </c>
      <c r="L408" s="7">
        <f>'[3]M.C UNPIV'!M409</f>
        <v>0</v>
      </c>
      <c r="M408" s="6">
        <f>'[3]M.C UNPIV'!N409</f>
        <v>0</v>
      </c>
      <c r="N408" s="5">
        <f>'[3]M.C UNPIV'!O409</f>
        <v>0</v>
      </c>
      <c r="O408" s="5">
        <f>'[3]M.C UNPIV'!P409</f>
        <v>0</v>
      </c>
    </row>
    <row r="409" spans="1:15" x14ac:dyDescent="0.25">
      <c r="A409" s="4">
        <f>'[3]M.C UNPIV'!B410</f>
        <v>0</v>
      </c>
      <c r="B409" s="5">
        <f>'[3]M.C UNPIV'!C410</f>
        <v>0</v>
      </c>
      <c r="C409" s="5">
        <f>'[3]M.C UNPIV'!D410</f>
        <v>0</v>
      </c>
      <c r="D409" s="5">
        <f>'[3]M.C UNPIV'!E410</f>
        <v>0</v>
      </c>
      <c r="E409" s="5">
        <f>'[3]M.C UNPIV'!F410</f>
        <v>0</v>
      </c>
      <c r="F409" s="5">
        <f>'[3]M.C UNPIV'!G410</f>
        <v>0</v>
      </c>
      <c r="G409" s="6">
        <f>'[3]M.C UNPIV'!H410</f>
        <v>0</v>
      </c>
      <c r="H409" s="5">
        <f>'[3]M.C UNPIV'!I410</f>
        <v>0</v>
      </c>
      <c r="I409" s="7">
        <f>'[3]M.C UNPIV'!J410</f>
        <v>0</v>
      </c>
      <c r="J409" s="7">
        <f>'[3]M.C UNPIV'!K410</f>
        <v>0</v>
      </c>
      <c r="K409" s="7">
        <f>'[3]M.C UNPIV'!L410</f>
        <v>0</v>
      </c>
      <c r="L409" s="7">
        <f>'[3]M.C UNPIV'!M410</f>
        <v>0</v>
      </c>
      <c r="M409" s="6">
        <f>'[3]M.C UNPIV'!N410</f>
        <v>0</v>
      </c>
      <c r="N409" s="5">
        <f>'[3]M.C UNPIV'!O410</f>
        <v>0</v>
      </c>
      <c r="O409" s="5">
        <f>'[3]M.C UNPIV'!P410</f>
        <v>0</v>
      </c>
    </row>
    <row r="410" spans="1:15" x14ac:dyDescent="0.25">
      <c r="A410" s="4">
        <f>'[3]M.C UNPIV'!B411</f>
        <v>0</v>
      </c>
      <c r="B410" s="5">
        <f>'[3]M.C UNPIV'!C411</f>
        <v>0</v>
      </c>
      <c r="C410" s="5">
        <f>'[3]M.C UNPIV'!D411</f>
        <v>0</v>
      </c>
      <c r="D410" s="5">
        <f>'[3]M.C UNPIV'!E411</f>
        <v>0</v>
      </c>
      <c r="E410" s="5">
        <f>'[3]M.C UNPIV'!F411</f>
        <v>0</v>
      </c>
      <c r="F410" s="5">
        <f>'[3]M.C UNPIV'!G411</f>
        <v>0</v>
      </c>
      <c r="G410" s="6">
        <f>'[3]M.C UNPIV'!H411</f>
        <v>0</v>
      </c>
      <c r="H410" s="5">
        <f>'[3]M.C UNPIV'!I411</f>
        <v>0</v>
      </c>
      <c r="I410" s="7">
        <f>'[3]M.C UNPIV'!J411</f>
        <v>0</v>
      </c>
      <c r="J410" s="7">
        <f>'[3]M.C UNPIV'!K411</f>
        <v>0</v>
      </c>
      <c r="K410" s="7">
        <f>'[3]M.C UNPIV'!L411</f>
        <v>0</v>
      </c>
      <c r="L410" s="7">
        <f>'[3]M.C UNPIV'!M411</f>
        <v>0</v>
      </c>
      <c r="M410" s="6">
        <f>'[3]M.C UNPIV'!N411</f>
        <v>0</v>
      </c>
      <c r="N410" s="5">
        <f>'[3]M.C UNPIV'!O411</f>
        <v>0</v>
      </c>
      <c r="O410" s="5">
        <f>'[3]M.C UNPIV'!P411</f>
        <v>0</v>
      </c>
    </row>
    <row r="411" spans="1:15" x14ac:dyDescent="0.25">
      <c r="A411" s="4">
        <f>'[3]M.C UNPIV'!B412</f>
        <v>0</v>
      </c>
      <c r="B411" s="5">
        <f>'[3]M.C UNPIV'!C412</f>
        <v>0</v>
      </c>
      <c r="C411" s="5">
        <f>'[3]M.C UNPIV'!D412</f>
        <v>0</v>
      </c>
      <c r="D411" s="5">
        <f>'[3]M.C UNPIV'!E412</f>
        <v>0</v>
      </c>
      <c r="E411" s="5">
        <f>'[3]M.C UNPIV'!F412</f>
        <v>0</v>
      </c>
      <c r="F411" s="5">
        <f>'[3]M.C UNPIV'!G412</f>
        <v>0</v>
      </c>
      <c r="G411" s="6">
        <f>'[3]M.C UNPIV'!H412</f>
        <v>0</v>
      </c>
      <c r="H411" s="5">
        <f>'[3]M.C UNPIV'!I412</f>
        <v>0</v>
      </c>
      <c r="I411" s="7">
        <f>'[3]M.C UNPIV'!J412</f>
        <v>0</v>
      </c>
      <c r="J411" s="7">
        <f>'[3]M.C UNPIV'!K412</f>
        <v>0</v>
      </c>
      <c r="K411" s="7">
        <f>'[3]M.C UNPIV'!L412</f>
        <v>0</v>
      </c>
      <c r="L411" s="7">
        <f>'[3]M.C UNPIV'!M412</f>
        <v>0</v>
      </c>
      <c r="M411" s="6">
        <f>'[3]M.C UNPIV'!N412</f>
        <v>0</v>
      </c>
      <c r="N411" s="5">
        <f>'[3]M.C UNPIV'!O412</f>
        <v>0</v>
      </c>
      <c r="O411" s="5">
        <f>'[3]M.C UNPIV'!P412</f>
        <v>0</v>
      </c>
    </row>
    <row r="412" spans="1:15" x14ac:dyDescent="0.25">
      <c r="A412" s="4">
        <f>'[3]M.C UNPIV'!B413</f>
        <v>0</v>
      </c>
      <c r="B412" s="5">
        <f>'[3]M.C UNPIV'!C413</f>
        <v>0</v>
      </c>
      <c r="C412" s="5">
        <f>'[3]M.C UNPIV'!D413</f>
        <v>0</v>
      </c>
      <c r="D412" s="5">
        <f>'[3]M.C UNPIV'!E413</f>
        <v>0</v>
      </c>
      <c r="E412" s="5">
        <f>'[3]M.C UNPIV'!F413</f>
        <v>0</v>
      </c>
      <c r="F412" s="5">
        <f>'[3]M.C UNPIV'!G413</f>
        <v>0</v>
      </c>
      <c r="G412" s="6">
        <f>'[3]M.C UNPIV'!H413</f>
        <v>0</v>
      </c>
      <c r="H412" s="5">
        <f>'[3]M.C UNPIV'!I413</f>
        <v>0</v>
      </c>
      <c r="I412" s="7">
        <f>'[3]M.C UNPIV'!J413</f>
        <v>0</v>
      </c>
      <c r="J412" s="7">
        <f>'[3]M.C UNPIV'!K413</f>
        <v>0</v>
      </c>
      <c r="K412" s="7">
        <f>'[3]M.C UNPIV'!L413</f>
        <v>0</v>
      </c>
      <c r="L412" s="7">
        <f>'[3]M.C UNPIV'!M413</f>
        <v>0</v>
      </c>
      <c r="M412" s="6">
        <f>'[3]M.C UNPIV'!N413</f>
        <v>0</v>
      </c>
      <c r="N412" s="5">
        <f>'[3]M.C UNPIV'!O413</f>
        <v>0</v>
      </c>
      <c r="O412" s="5">
        <f>'[3]M.C UNPIV'!P413</f>
        <v>0</v>
      </c>
    </row>
    <row r="413" spans="1:15" x14ac:dyDescent="0.25">
      <c r="A413" s="4">
        <f>'[3]M.C UNPIV'!B414</f>
        <v>0</v>
      </c>
      <c r="B413" s="5">
        <f>'[3]M.C UNPIV'!C414</f>
        <v>0</v>
      </c>
      <c r="C413" s="5">
        <f>'[3]M.C UNPIV'!D414</f>
        <v>0</v>
      </c>
      <c r="D413" s="5">
        <f>'[3]M.C UNPIV'!E414</f>
        <v>0</v>
      </c>
      <c r="E413" s="5">
        <f>'[3]M.C UNPIV'!F414</f>
        <v>0</v>
      </c>
      <c r="F413" s="5">
        <f>'[3]M.C UNPIV'!G414</f>
        <v>0</v>
      </c>
      <c r="G413" s="6">
        <f>'[3]M.C UNPIV'!H414</f>
        <v>0</v>
      </c>
      <c r="H413" s="5">
        <f>'[3]M.C UNPIV'!I414</f>
        <v>0</v>
      </c>
      <c r="I413" s="7">
        <f>'[3]M.C UNPIV'!J414</f>
        <v>0</v>
      </c>
      <c r="J413" s="7">
        <f>'[3]M.C UNPIV'!K414</f>
        <v>0</v>
      </c>
      <c r="K413" s="7">
        <f>'[3]M.C UNPIV'!L414</f>
        <v>0</v>
      </c>
      <c r="L413" s="7">
        <f>'[3]M.C UNPIV'!M414</f>
        <v>0</v>
      </c>
      <c r="M413" s="6">
        <f>'[3]M.C UNPIV'!N414</f>
        <v>0</v>
      </c>
      <c r="N413" s="5">
        <f>'[3]M.C UNPIV'!O414</f>
        <v>0</v>
      </c>
      <c r="O413" s="5">
        <f>'[3]M.C UNPIV'!P414</f>
        <v>0</v>
      </c>
    </row>
    <row r="414" spans="1:15" x14ac:dyDescent="0.25">
      <c r="A414" s="4">
        <f>'[3]M.C UNPIV'!B415</f>
        <v>0</v>
      </c>
      <c r="B414" s="5">
        <f>'[3]M.C UNPIV'!C415</f>
        <v>0</v>
      </c>
      <c r="C414" s="5">
        <f>'[3]M.C UNPIV'!D415</f>
        <v>0</v>
      </c>
      <c r="D414" s="5">
        <f>'[3]M.C UNPIV'!E415</f>
        <v>0</v>
      </c>
      <c r="E414" s="5">
        <f>'[3]M.C UNPIV'!F415</f>
        <v>0</v>
      </c>
      <c r="F414" s="5">
        <f>'[3]M.C UNPIV'!G415</f>
        <v>0</v>
      </c>
      <c r="G414" s="6">
        <f>'[3]M.C UNPIV'!H415</f>
        <v>0</v>
      </c>
      <c r="H414" s="5">
        <f>'[3]M.C UNPIV'!I415</f>
        <v>0</v>
      </c>
      <c r="I414" s="7">
        <f>'[3]M.C UNPIV'!J415</f>
        <v>0</v>
      </c>
      <c r="J414" s="7">
        <f>'[3]M.C UNPIV'!K415</f>
        <v>0</v>
      </c>
      <c r="K414" s="7">
        <f>'[3]M.C UNPIV'!L415</f>
        <v>0</v>
      </c>
      <c r="L414" s="7">
        <f>'[3]M.C UNPIV'!M415</f>
        <v>0</v>
      </c>
      <c r="M414" s="6">
        <f>'[3]M.C UNPIV'!N415</f>
        <v>0</v>
      </c>
      <c r="N414" s="5">
        <f>'[3]M.C UNPIV'!O415</f>
        <v>0</v>
      </c>
      <c r="O414" s="5">
        <f>'[3]M.C UNPIV'!P415</f>
        <v>0</v>
      </c>
    </row>
    <row r="415" spans="1:15" x14ac:dyDescent="0.25">
      <c r="A415" s="4">
        <f>'[3]M.C UNPIV'!B416</f>
        <v>0</v>
      </c>
      <c r="B415" s="5">
        <f>'[3]M.C UNPIV'!C416</f>
        <v>0</v>
      </c>
      <c r="C415" s="5">
        <f>'[3]M.C UNPIV'!D416</f>
        <v>0</v>
      </c>
      <c r="D415" s="5">
        <f>'[3]M.C UNPIV'!E416</f>
        <v>0</v>
      </c>
      <c r="E415" s="5">
        <f>'[3]M.C UNPIV'!F416</f>
        <v>0</v>
      </c>
      <c r="F415" s="5">
        <f>'[3]M.C UNPIV'!G416</f>
        <v>0</v>
      </c>
      <c r="G415" s="6">
        <f>'[3]M.C UNPIV'!H416</f>
        <v>0</v>
      </c>
      <c r="H415" s="5">
        <f>'[3]M.C UNPIV'!I416</f>
        <v>0</v>
      </c>
      <c r="I415" s="7">
        <f>'[3]M.C UNPIV'!J416</f>
        <v>0</v>
      </c>
      <c r="J415" s="7">
        <f>'[3]M.C UNPIV'!K416</f>
        <v>0</v>
      </c>
      <c r="K415" s="7">
        <f>'[3]M.C UNPIV'!L416</f>
        <v>0</v>
      </c>
      <c r="L415" s="7">
        <f>'[3]M.C UNPIV'!M416</f>
        <v>0</v>
      </c>
      <c r="M415" s="6">
        <f>'[3]M.C UNPIV'!N416</f>
        <v>0</v>
      </c>
      <c r="N415" s="5">
        <f>'[3]M.C UNPIV'!O416</f>
        <v>0</v>
      </c>
      <c r="O415" s="5">
        <f>'[3]M.C UNPIV'!P416</f>
        <v>0</v>
      </c>
    </row>
    <row r="416" spans="1:15" x14ac:dyDescent="0.25">
      <c r="A416" s="4">
        <f>'[3]M.C UNPIV'!B417</f>
        <v>0</v>
      </c>
      <c r="B416" s="5">
        <f>'[3]M.C UNPIV'!C417</f>
        <v>0</v>
      </c>
      <c r="C416" s="5">
        <f>'[3]M.C UNPIV'!D417</f>
        <v>0</v>
      </c>
      <c r="D416" s="5">
        <f>'[3]M.C UNPIV'!E417</f>
        <v>0</v>
      </c>
      <c r="E416" s="5">
        <f>'[3]M.C UNPIV'!F417</f>
        <v>0</v>
      </c>
      <c r="F416" s="5">
        <f>'[3]M.C UNPIV'!G417</f>
        <v>0</v>
      </c>
      <c r="G416" s="6">
        <f>'[3]M.C UNPIV'!H417</f>
        <v>0</v>
      </c>
      <c r="H416" s="5">
        <f>'[3]M.C UNPIV'!I417</f>
        <v>0</v>
      </c>
      <c r="I416" s="7">
        <f>'[3]M.C UNPIV'!J417</f>
        <v>0</v>
      </c>
      <c r="J416" s="7">
        <f>'[3]M.C UNPIV'!K417</f>
        <v>0</v>
      </c>
      <c r="K416" s="7">
        <f>'[3]M.C UNPIV'!L417</f>
        <v>0</v>
      </c>
      <c r="L416" s="7">
        <f>'[3]M.C UNPIV'!M417</f>
        <v>0</v>
      </c>
      <c r="M416" s="6">
        <f>'[3]M.C UNPIV'!N417</f>
        <v>0</v>
      </c>
      <c r="N416" s="5">
        <f>'[3]M.C UNPIV'!O417</f>
        <v>0</v>
      </c>
      <c r="O416" s="5">
        <f>'[3]M.C UNPIV'!P417</f>
        <v>0</v>
      </c>
    </row>
    <row r="417" spans="1:15" x14ac:dyDescent="0.25">
      <c r="A417" s="4">
        <f>'[3]M.C UNPIV'!B418</f>
        <v>0</v>
      </c>
      <c r="B417" s="5">
        <f>'[3]M.C UNPIV'!C418</f>
        <v>0</v>
      </c>
      <c r="C417" s="5">
        <f>'[3]M.C UNPIV'!D418</f>
        <v>0</v>
      </c>
      <c r="D417" s="5">
        <f>'[3]M.C UNPIV'!E418</f>
        <v>0</v>
      </c>
      <c r="E417" s="5">
        <f>'[3]M.C UNPIV'!F418</f>
        <v>0</v>
      </c>
      <c r="F417" s="5">
        <f>'[3]M.C UNPIV'!G418</f>
        <v>0</v>
      </c>
      <c r="G417" s="6">
        <f>'[3]M.C UNPIV'!H418</f>
        <v>0</v>
      </c>
      <c r="H417" s="5">
        <f>'[3]M.C UNPIV'!I418</f>
        <v>0</v>
      </c>
      <c r="I417" s="7">
        <f>'[3]M.C UNPIV'!J418</f>
        <v>0</v>
      </c>
      <c r="J417" s="7">
        <f>'[3]M.C UNPIV'!K418</f>
        <v>0</v>
      </c>
      <c r="K417" s="7">
        <f>'[3]M.C UNPIV'!L418</f>
        <v>0</v>
      </c>
      <c r="L417" s="7">
        <f>'[3]M.C UNPIV'!M418</f>
        <v>0</v>
      </c>
      <c r="M417" s="6">
        <f>'[3]M.C UNPIV'!N418</f>
        <v>0</v>
      </c>
      <c r="N417" s="5">
        <f>'[3]M.C UNPIV'!O418</f>
        <v>0</v>
      </c>
      <c r="O417" s="5">
        <f>'[3]M.C UNPIV'!P418</f>
        <v>0</v>
      </c>
    </row>
    <row r="418" spans="1:15" x14ac:dyDescent="0.25">
      <c r="A418" s="4">
        <f>'[3]M.C UNPIV'!B419</f>
        <v>0</v>
      </c>
      <c r="B418" s="5">
        <f>'[3]M.C UNPIV'!C419</f>
        <v>0</v>
      </c>
      <c r="C418" s="5">
        <f>'[3]M.C UNPIV'!D419</f>
        <v>0</v>
      </c>
      <c r="D418" s="5">
        <f>'[3]M.C UNPIV'!E419</f>
        <v>0</v>
      </c>
      <c r="E418" s="5">
        <f>'[3]M.C UNPIV'!F419</f>
        <v>0</v>
      </c>
      <c r="F418" s="5">
        <f>'[3]M.C UNPIV'!G419</f>
        <v>0</v>
      </c>
      <c r="G418" s="6">
        <f>'[3]M.C UNPIV'!H419</f>
        <v>0</v>
      </c>
      <c r="H418" s="5">
        <f>'[3]M.C UNPIV'!I419</f>
        <v>0</v>
      </c>
      <c r="I418" s="7">
        <f>'[3]M.C UNPIV'!J419</f>
        <v>0</v>
      </c>
      <c r="J418" s="7">
        <f>'[3]M.C UNPIV'!K419</f>
        <v>0</v>
      </c>
      <c r="K418" s="7">
        <f>'[3]M.C UNPIV'!L419</f>
        <v>0</v>
      </c>
      <c r="L418" s="7">
        <f>'[3]M.C UNPIV'!M419</f>
        <v>0</v>
      </c>
      <c r="M418" s="6">
        <f>'[3]M.C UNPIV'!N419</f>
        <v>0</v>
      </c>
      <c r="N418" s="5">
        <f>'[3]M.C UNPIV'!O419</f>
        <v>0</v>
      </c>
      <c r="O418" s="5">
        <f>'[3]M.C UNPIV'!P419</f>
        <v>0</v>
      </c>
    </row>
    <row r="419" spans="1:15" x14ac:dyDescent="0.25">
      <c r="A419" s="4">
        <f>'[3]M.C UNPIV'!B420</f>
        <v>0</v>
      </c>
      <c r="B419" s="5">
        <f>'[3]M.C UNPIV'!C420</f>
        <v>0</v>
      </c>
      <c r="C419" s="5">
        <f>'[3]M.C UNPIV'!D420</f>
        <v>0</v>
      </c>
      <c r="D419" s="5">
        <f>'[3]M.C UNPIV'!E420</f>
        <v>0</v>
      </c>
      <c r="E419" s="5">
        <f>'[3]M.C UNPIV'!F420</f>
        <v>0</v>
      </c>
      <c r="F419" s="5">
        <f>'[3]M.C UNPIV'!G420</f>
        <v>0</v>
      </c>
      <c r="G419" s="6">
        <f>'[3]M.C UNPIV'!H420</f>
        <v>0</v>
      </c>
      <c r="H419" s="5">
        <f>'[3]M.C UNPIV'!I420</f>
        <v>0</v>
      </c>
      <c r="I419" s="7">
        <f>'[3]M.C UNPIV'!J420</f>
        <v>0</v>
      </c>
      <c r="J419" s="7">
        <f>'[3]M.C UNPIV'!K420</f>
        <v>0</v>
      </c>
      <c r="K419" s="7">
        <f>'[3]M.C UNPIV'!L420</f>
        <v>0</v>
      </c>
      <c r="L419" s="7">
        <f>'[3]M.C UNPIV'!M420</f>
        <v>0</v>
      </c>
      <c r="M419" s="6">
        <f>'[3]M.C UNPIV'!N420</f>
        <v>0</v>
      </c>
      <c r="N419" s="5">
        <f>'[3]M.C UNPIV'!O420</f>
        <v>0</v>
      </c>
      <c r="O419" s="5">
        <f>'[3]M.C UNPIV'!P420</f>
        <v>0</v>
      </c>
    </row>
    <row r="420" spans="1:15" x14ac:dyDescent="0.25">
      <c r="A420" s="4">
        <f>'[3]M.C UNPIV'!B421</f>
        <v>0</v>
      </c>
      <c r="B420" s="5">
        <f>'[3]M.C UNPIV'!C421</f>
        <v>0</v>
      </c>
      <c r="C420" s="5">
        <f>'[3]M.C UNPIV'!D421</f>
        <v>0</v>
      </c>
      <c r="D420" s="5">
        <f>'[3]M.C UNPIV'!E421</f>
        <v>0</v>
      </c>
      <c r="E420" s="5">
        <f>'[3]M.C UNPIV'!F421</f>
        <v>0</v>
      </c>
      <c r="F420" s="5">
        <f>'[3]M.C UNPIV'!G421</f>
        <v>0</v>
      </c>
      <c r="G420" s="6">
        <f>'[3]M.C UNPIV'!H421</f>
        <v>0</v>
      </c>
      <c r="H420" s="5">
        <f>'[3]M.C UNPIV'!I421</f>
        <v>0</v>
      </c>
      <c r="I420" s="7">
        <f>'[3]M.C UNPIV'!J421</f>
        <v>0</v>
      </c>
      <c r="J420" s="7">
        <f>'[3]M.C UNPIV'!K421</f>
        <v>0</v>
      </c>
      <c r="K420" s="7">
        <f>'[3]M.C UNPIV'!L421</f>
        <v>0</v>
      </c>
      <c r="L420" s="7">
        <f>'[3]M.C UNPIV'!M421</f>
        <v>0</v>
      </c>
      <c r="M420" s="6">
        <f>'[3]M.C UNPIV'!N421</f>
        <v>0</v>
      </c>
      <c r="N420" s="5">
        <f>'[3]M.C UNPIV'!O421</f>
        <v>0</v>
      </c>
      <c r="O420" s="5">
        <f>'[3]M.C UNPIV'!P421</f>
        <v>0</v>
      </c>
    </row>
    <row r="421" spans="1:15" x14ac:dyDescent="0.25">
      <c r="A421" s="4">
        <f>'[3]M.C UNPIV'!B422</f>
        <v>0</v>
      </c>
      <c r="B421" s="5">
        <f>'[3]M.C UNPIV'!C422</f>
        <v>0</v>
      </c>
      <c r="C421" s="5">
        <f>'[3]M.C UNPIV'!D422</f>
        <v>0</v>
      </c>
      <c r="D421" s="5">
        <f>'[3]M.C UNPIV'!E422</f>
        <v>0</v>
      </c>
      <c r="E421" s="5">
        <f>'[3]M.C UNPIV'!F422</f>
        <v>0</v>
      </c>
      <c r="F421" s="5">
        <f>'[3]M.C UNPIV'!G422</f>
        <v>0</v>
      </c>
      <c r="G421" s="6">
        <f>'[3]M.C UNPIV'!H422</f>
        <v>0</v>
      </c>
      <c r="H421" s="5">
        <f>'[3]M.C UNPIV'!I422</f>
        <v>0</v>
      </c>
      <c r="I421" s="7">
        <f>'[3]M.C UNPIV'!J422</f>
        <v>0</v>
      </c>
      <c r="J421" s="7">
        <f>'[3]M.C UNPIV'!K422</f>
        <v>0</v>
      </c>
      <c r="K421" s="7">
        <f>'[3]M.C UNPIV'!L422</f>
        <v>0</v>
      </c>
      <c r="L421" s="7">
        <f>'[3]M.C UNPIV'!M422</f>
        <v>0</v>
      </c>
      <c r="M421" s="6">
        <f>'[3]M.C UNPIV'!N422</f>
        <v>0</v>
      </c>
      <c r="N421" s="5">
        <f>'[3]M.C UNPIV'!O422</f>
        <v>0</v>
      </c>
      <c r="O421" s="5">
        <f>'[3]M.C UNPIV'!P422</f>
        <v>0</v>
      </c>
    </row>
    <row r="422" spans="1:15" x14ac:dyDescent="0.25">
      <c r="A422" s="4">
        <f>'[3]M.C UNPIV'!B423</f>
        <v>0</v>
      </c>
      <c r="B422" s="5">
        <f>'[3]M.C UNPIV'!C423</f>
        <v>0</v>
      </c>
      <c r="C422" s="5">
        <f>'[3]M.C UNPIV'!D423</f>
        <v>0</v>
      </c>
      <c r="D422" s="5">
        <f>'[3]M.C UNPIV'!E423</f>
        <v>0</v>
      </c>
      <c r="E422" s="5">
        <f>'[3]M.C UNPIV'!F423</f>
        <v>0</v>
      </c>
      <c r="F422" s="5">
        <f>'[3]M.C UNPIV'!G423</f>
        <v>0</v>
      </c>
      <c r="G422" s="6">
        <f>'[3]M.C UNPIV'!H423</f>
        <v>0</v>
      </c>
      <c r="H422" s="5">
        <f>'[3]M.C UNPIV'!I423</f>
        <v>0</v>
      </c>
      <c r="I422" s="7">
        <f>'[3]M.C UNPIV'!J423</f>
        <v>0</v>
      </c>
      <c r="J422" s="7">
        <f>'[3]M.C UNPIV'!K423</f>
        <v>0</v>
      </c>
      <c r="K422" s="7">
        <f>'[3]M.C UNPIV'!L423</f>
        <v>0</v>
      </c>
      <c r="L422" s="7">
        <f>'[3]M.C UNPIV'!M423</f>
        <v>0</v>
      </c>
      <c r="M422" s="6">
        <f>'[3]M.C UNPIV'!N423</f>
        <v>0</v>
      </c>
      <c r="N422" s="5">
        <f>'[3]M.C UNPIV'!O423</f>
        <v>0</v>
      </c>
      <c r="O422" s="5">
        <f>'[3]M.C UNPIV'!P423</f>
        <v>0</v>
      </c>
    </row>
    <row r="423" spans="1:15" x14ac:dyDescent="0.25">
      <c r="A423" s="4">
        <f>'[3]M.C UNPIV'!B424</f>
        <v>0</v>
      </c>
      <c r="B423" s="5">
        <f>'[3]M.C UNPIV'!C424</f>
        <v>0</v>
      </c>
      <c r="C423" s="5">
        <f>'[3]M.C UNPIV'!D424</f>
        <v>0</v>
      </c>
      <c r="D423" s="5">
        <f>'[3]M.C UNPIV'!E424</f>
        <v>0</v>
      </c>
      <c r="E423" s="5">
        <f>'[3]M.C UNPIV'!F424</f>
        <v>0</v>
      </c>
      <c r="F423" s="5">
        <f>'[3]M.C UNPIV'!G424</f>
        <v>0</v>
      </c>
      <c r="G423" s="6">
        <f>'[3]M.C UNPIV'!H424</f>
        <v>0</v>
      </c>
      <c r="H423" s="5">
        <f>'[3]M.C UNPIV'!I424</f>
        <v>0</v>
      </c>
      <c r="I423" s="7">
        <f>'[3]M.C UNPIV'!J424</f>
        <v>0</v>
      </c>
      <c r="J423" s="7">
        <f>'[3]M.C UNPIV'!K424</f>
        <v>0</v>
      </c>
      <c r="K423" s="7">
        <f>'[3]M.C UNPIV'!L424</f>
        <v>0</v>
      </c>
      <c r="L423" s="7">
        <f>'[3]M.C UNPIV'!M424</f>
        <v>0</v>
      </c>
      <c r="M423" s="6">
        <f>'[3]M.C UNPIV'!N424</f>
        <v>0</v>
      </c>
      <c r="N423" s="5">
        <f>'[3]M.C UNPIV'!O424</f>
        <v>0</v>
      </c>
      <c r="O423" s="5">
        <f>'[3]M.C UNPIV'!P424</f>
        <v>0</v>
      </c>
    </row>
    <row r="424" spans="1:15" x14ac:dyDescent="0.25">
      <c r="A424" s="4">
        <f>'[3]M.C UNPIV'!B425</f>
        <v>0</v>
      </c>
      <c r="B424" s="5">
        <f>'[3]M.C UNPIV'!C425</f>
        <v>0</v>
      </c>
      <c r="C424" s="5">
        <f>'[3]M.C UNPIV'!D425</f>
        <v>0</v>
      </c>
      <c r="D424" s="5">
        <f>'[3]M.C UNPIV'!E425</f>
        <v>0</v>
      </c>
      <c r="E424" s="5">
        <f>'[3]M.C UNPIV'!F425</f>
        <v>0</v>
      </c>
      <c r="F424" s="5">
        <f>'[3]M.C UNPIV'!G425</f>
        <v>0</v>
      </c>
      <c r="G424" s="6">
        <f>'[3]M.C UNPIV'!H425</f>
        <v>0</v>
      </c>
      <c r="H424" s="5">
        <f>'[3]M.C UNPIV'!I425</f>
        <v>0</v>
      </c>
      <c r="I424" s="7">
        <f>'[3]M.C UNPIV'!J425</f>
        <v>0</v>
      </c>
      <c r="J424" s="7">
        <f>'[3]M.C UNPIV'!K425</f>
        <v>0</v>
      </c>
      <c r="K424" s="7">
        <f>'[3]M.C UNPIV'!L425</f>
        <v>0</v>
      </c>
      <c r="L424" s="7">
        <f>'[3]M.C UNPIV'!M425</f>
        <v>0</v>
      </c>
      <c r="M424" s="6">
        <f>'[3]M.C UNPIV'!N425</f>
        <v>0</v>
      </c>
      <c r="N424" s="5">
        <f>'[3]M.C UNPIV'!O425</f>
        <v>0</v>
      </c>
      <c r="O424" s="5">
        <f>'[3]M.C UNPIV'!P425</f>
        <v>0</v>
      </c>
    </row>
    <row r="425" spans="1:15" x14ac:dyDescent="0.25">
      <c r="A425" s="4">
        <f>'[3]M.C UNPIV'!B426</f>
        <v>0</v>
      </c>
      <c r="B425" s="5">
        <f>'[3]M.C UNPIV'!C426</f>
        <v>0</v>
      </c>
      <c r="C425" s="5">
        <f>'[3]M.C UNPIV'!D426</f>
        <v>0</v>
      </c>
      <c r="D425" s="5">
        <f>'[3]M.C UNPIV'!E426</f>
        <v>0</v>
      </c>
      <c r="E425" s="5">
        <f>'[3]M.C UNPIV'!F426</f>
        <v>0</v>
      </c>
      <c r="F425" s="5">
        <f>'[3]M.C UNPIV'!G426</f>
        <v>0</v>
      </c>
      <c r="G425" s="6">
        <f>'[3]M.C UNPIV'!H426</f>
        <v>0</v>
      </c>
      <c r="H425" s="5">
        <f>'[3]M.C UNPIV'!I426</f>
        <v>0</v>
      </c>
      <c r="I425" s="7">
        <f>'[3]M.C UNPIV'!J426</f>
        <v>0</v>
      </c>
      <c r="J425" s="7">
        <f>'[3]M.C UNPIV'!K426</f>
        <v>0</v>
      </c>
      <c r="K425" s="7">
        <f>'[3]M.C UNPIV'!L426</f>
        <v>0</v>
      </c>
      <c r="L425" s="7">
        <f>'[3]M.C UNPIV'!M426</f>
        <v>0</v>
      </c>
      <c r="M425" s="6">
        <f>'[3]M.C UNPIV'!N426</f>
        <v>0</v>
      </c>
      <c r="N425" s="5">
        <f>'[3]M.C UNPIV'!O426</f>
        <v>0</v>
      </c>
      <c r="O425" s="5">
        <f>'[3]M.C UNPIV'!P426</f>
        <v>0</v>
      </c>
    </row>
    <row r="426" spans="1:15" x14ac:dyDescent="0.25">
      <c r="A426" s="4">
        <f>'[3]M.C UNPIV'!B427</f>
        <v>0</v>
      </c>
      <c r="B426" s="5">
        <f>'[3]M.C UNPIV'!C427</f>
        <v>0</v>
      </c>
      <c r="C426" s="5">
        <f>'[3]M.C UNPIV'!D427</f>
        <v>0</v>
      </c>
      <c r="D426" s="5">
        <f>'[3]M.C UNPIV'!E427</f>
        <v>0</v>
      </c>
      <c r="E426" s="5">
        <f>'[3]M.C UNPIV'!F427</f>
        <v>0</v>
      </c>
      <c r="F426" s="5">
        <f>'[3]M.C UNPIV'!G427</f>
        <v>0</v>
      </c>
      <c r="G426" s="6">
        <f>'[3]M.C UNPIV'!H427</f>
        <v>0</v>
      </c>
      <c r="H426" s="5">
        <f>'[3]M.C UNPIV'!I427</f>
        <v>0</v>
      </c>
      <c r="I426" s="7">
        <f>'[3]M.C UNPIV'!J427</f>
        <v>0</v>
      </c>
      <c r="J426" s="7">
        <f>'[3]M.C UNPIV'!K427</f>
        <v>0</v>
      </c>
      <c r="K426" s="7">
        <f>'[3]M.C UNPIV'!L427</f>
        <v>0</v>
      </c>
      <c r="L426" s="7">
        <f>'[3]M.C UNPIV'!M427</f>
        <v>0</v>
      </c>
      <c r="M426" s="6">
        <f>'[3]M.C UNPIV'!N427</f>
        <v>0</v>
      </c>
      <c r="N426" s="5">
        <f>'[3]M.C UNPIV'!O427</f>
        <v>0</v>
      </c>
      <c r="O426" s="5">
        <f>'[3]M.C UNPIV'!P427</f>
        <v>0</v>
      </c>
    </row>
    <row r="427" spans="1:15" x14ac:dyDescent="0.25">
      <c r="A427" s="4">
        <f>'[3]M.C UNPIV'!B428</f>
        <v>0</v>
      </c>
      <c r="B427" s="5">
        <f>'[3]M.C UNPIV'!C428</f>
        <v>0</v>
      </c>
      <c r="C427" s="5">
        <f>'[3]M.C UNPIV'!D428</f>
        <v>0</v>
      </c>
      <c r="D427" s="5">
        <f>'[3]M.C UNPIV'!E428</f>
        <v>0</v>
      </c>
      <c r="E427" s="5">
        <f>'[3]M.C UNPIV'!F428</f>
        <v>0</v>
      </c>
      <c r="F427" s="5">
        <f>'[3]M.C UNPIV'!G428</f>
        <v>0</v>
      </c>
      <c r="G427" s="6">
        <f>'[3]M.C UNPIV'!H428</f>
        <v>0</v>
      </c>
      <c r="H427" s="5">
        <f>'[3]M.C UNPIV'!I428</f>
        <v>0</v>
      </c>
      <c r="I427" s="7">
        <f>'[3]M.C UNPIV'!J428</f>
        <v>0</v>
      </c>
      <c r="J427" s="7">
        <f>'[3]M.C UNPIV'!K428</f>
        <v>0</v>
      </c>
      <c r="K427" s="7">
        <f>'[3]M.C UNPIV'!L428</f>
        <v>0</v>
      </c>
      <c r="L427" s="7">
        <f>'[3]M.C UNPIV'!M428</f>
        <v>0</v>
      </c>
      <c r="M427" s="6">
        <f>'[3]M.C UNPIV'!N428</f>
        <v>0</v>
      </c>
      <c r="N427" s="5">
        <f>'[3]M.C UNPIV'!O428</f>
        <v>0</v>
      </c>
      <c r="O427" s="5">
        <f>'[3]M.C UNPIV'!P428</f>
        <v>0</v>
      </c>
    </row>
    <row r="428" spans="1:15" x14ac:dyDescent="0.25">
      <c r="A428" s="4">
        <f>'[3]M.C UNPIV'!B429</f>
        <v>0</v>
      </c>
      <c r="B428" s="5">
        <f>'[3]M.C UNPIV'!C429</f>
        <v>0</v>
      </c>
      <c r="C428" s="5">
        <f>'[3]M.C UNPIV'!D429</f>
        <v>0</v>
      </c>
      <c r="D428" s="5">
        <f>'[3]M.C UNPIV'!E429</f>
        <v>0</v>
      </c>
      <c r="E428" s="5">
        <f>'[3]M.C UNPIV'!F429</f>
        <v>0</v>
      </c>
      <c r="F428" s="5">
        <f>'[3]M.C UNPIV'!G429</f>
        <v>0</v>
      </c>
      <c r="G428" s="6">
        <f>'[3]M.C UNPIV'!H429</f>
        <v>0</v>
      </c>
      <c r="H428" s="5">
        <f>'[3]M.C UNPIV'!I429</f>
        <v>0</v>
      </c>
      <c r="I428" s="7">
        <f>'[3]M.C UNPIV'!J429</f>
        <v>0</v>
      </c>
      <c r="J428" s="7">
        <f>'[3]M.C UNPIV'!K429</f>
        <v>0</v>
      </c>
      <c r="K428" s="7">
        <f>'[3]M.C UNPIV'!L429</f>
        <v>0</v>
      </c>
      <c r="L428" s="7">
        <f>'[3]M.C UNPIV'!M429</f>
        <v>0</v>
      </c>
      <c r="M428" s="6">
        <f>'[3]M.C UNPIV'!N429</f>
        <v>0</v>
      </c>
      <c r="N428" s="5">
        <f>'[3]M.C UNPIV'!O429</f>
        <v>0</v>
      </c>
      <c r="O428" s="5">
        <f>'[3]M.C UNPIV'!P429</f>
        <v>0</v>
      </c>
    </row>
    <row r="429" spans="1:15" x14ac:dyDescent="0.25">
      <c r="A429" s="4">
        <f>'[3]M.C UNPIV'!B430</f>
        <v>0</v>
      </c>
      <c r="B429" s="5">
        <f>'[3]M.C UNPIV'!C430</f>
        <v>0</v>
      </c>
      <c r="C429" s="5">
        <f>'[3]M.C UNPIV'!D430</f>
        <v>0</v>
      </c>
      <c r="D429" s="5">
        <f>'[3]M.C UNPIV'!E430</f>
        <v>0</v>
      </c>
      <c r="E429" s="5">
        <f>'[3]M.C UNPIV'!F430</f>
        <v>0</v>
      </c>
      <c r="F429" s="5">
        <f>'[3]M.C UNPIV'!G430</f>
        <v>0</v>
      </c>
      <c r="G429" s="6">
        <f>'[3]M.C UNPIV'!H430</f>
        <v>0</v>
      </c>
      <c r="H429" s="5">
        <f>'[3]M.C UNPIV'!I430</f>
        <v>0</v>
      </c>
      <c r="I429" s="7">
        <f>'[3]M.C UNPIV'!J430</f>
        <v>0</v>
      </c>
      <c r="J429" s="7">
        <f>'[3]M.C UNPIV'!K430</f>
        <v>0</v>
      </c>
      <c r="K429" s="7">
        <f>'[3]M.C UNPIV'!L430</f>
        <v>0</v>
      </c>
      <c r="L429" s="7">
        <f>'[3]M.C UNPIV'!M430</f>
        <v>0</v>
      </c>
      <c r="M429" s="6">
        <f>'[3]M.C UNPIV'!N430</f>
        <v>0</v>
      </c>
      <c r="N429" s="5">
        <f>'[3]M.C UNPIV'!O430</f>
        <v>0</v>
      </c>
      <c r="O429" s="5">
        <f>'[3]M.C UNPIV'!P430</f>
        <v>0</v>
      </c>
    </row>
    <row r="430" spans="1:15" x14ac:dyDescent="0.25">
      <c r="A430" s="4">
        <f>'[3]M.C UNPIV'!B431</f>
        <v>0</v>
      </c>
      <c r="B430" s="5">
        <f>'[3]M.C UNPIV'!C431</f>
        <v>0</v>
      </c>
      <c r="C430" s="5">
        <f>'[3]M.C UNPIV'!D431</f>
        <v>0</v>
      </c>
      <c r="D430" s="5">
        <f>'[3]M.C UNPIV'!E431</f>
        <v>0</v>
      </c>
      <c r="E430" s="5">
        <f>'[3]M.C UNPIV'!F431</f>
        <v>0</v>
      </c>
      <c r="F430" s="5">
        <f>'[3]M.C UNPIV'!G431</f>
        <v>0</v>
      </c>
      <c r="G430" s="6">
        <f>'[3]M.C UNPIV'!H431</f>
        <v>0</v>
      </c>
      <c r="H430" s="5">
        <f>'[3]M.C UNPIV'!I431</f>
        <v>0</v>
      </c>
      <c r="I430" s="7">
        <f>'[3]M.C UNPIV'!J431</f>
        <v>0</v>
      </c>
      <c r="J430" s="7">
        <f>'[3]M.C UNPIV'!K431</f>
        <v>0</v>
      </c>
      <c r="K430" s="7">
        <f>'[3]M.C UNPIV'!L431</f>
        <v>0</v>
      </c>
      <c r="L430" s="7">
        <f>'[3]M.C UNPIV'!M431</f>
        <v>0</v>
      </c>
      <c r="M430" s="6">
        <f>'[3]M.C UNPIV'!N431</f>
        <v>0</v>
      </c>
      <c r="N430" s="5">
        <f>'[3]M.C UNPIV'!O431</f>
        <v>0</v>
      </c>
      <c r="O430" s="5">
        <f>'[3]M.C UNPIV'!P431</f>
        <v>0</v>
      </c>
    </row>
    <row r="431" spans="1:15" x14ac:dyDescent="0.25">
      <c r="A431" s="4">
        <f>'[3]M.C UNPIV'!B432</f>
        <v>0</v>
      </c>
      <c r="B431" s="5">
        <f>'[3]M.C UNPIV'!C432</f>
        <v>0</v>
      </c>
      <c r="C431" s="5">
        <f>'[3]M.C UNPIV'!D432</f>
        <v>0</v>
      </c>
      <c r="D431" s="5">
        <f>'[3]M.C UNPIV'!E432</f>
        <v>0</v>
      </c>
      <c r="E431" s="5">
        <f>'[3]M.C UNPIV'!F432</f>
        <v>0</v>
      </c>
      <c r="F431" s="5">
        <f>'[3]M.C UNPIV'!G432</f>
        <v>0</v>
      </c>
      <c r="G431" s="6">
        <f>'[3]M.C UNPIV'!H432</f>
        <v>0</v>
      </c>
      <c r="H431" s="5">
        <f>'[3]M.C UNPIV'!I432</f>
        <v>0</v>
      </c>
      <c r="I431" s="7">
        <f>'[3]M.C UNPIV'!J432</f>
        <v>0</v>
      </c>
      <c r="J431" s="7">
        <f>'[3]M.C UNPIV'!K432</f>
        <v>0</v>
      </c>
      <c r="K431" s="7">
        <f>'[3]M.C UNPIV'!L432</f>
        <v>0</v>
      </c>
      <c r="L431" s="7">
        <f>'[3]M.C UNPIV'!M432</f>
        <v>0</v>
      </c>
      <c r="M431" s="6">
        <f>'[3]M.C UNPIV'!N432</f>
        <v>0</v>
      </c>
      <c r="N431" s="5">
        <f>'[3]M.C UNPIV'!O432</f>
        <v>0</v>
      </c>
      <c r="O431" s="5">
        <f>'[3]M.C UNPIV'!P432</f>
        <v>0</v>
      </c>
    </row>
    <row r="432" spans="1:15" x14ac:dyDescent="0.25">
      <c r="A432" s="4">
        <f>'[3]M.C UNPIV'!B433</f>
        <v>0</v>
      </c>
      <c r="B432" s="5">
        <f>'[3]M.C UNPIV'!C433</f>
        <v>0</v>
      </c>
      <c r="C432" s="5">
        <f>'[3]M.C UNPIV'!D433</f>
        <v>0</v>
      </c>
      <c r="D432" s="5">
        <f>'[3]M.C UNPIV'!E433</f>
        <v>0</v>
      </c>
      <c r="E432" s="5">
        <f>'[3]M.C UNPIV'!F433</f>
        <v>0</v>
      </c>
      <c r="F432" s="5">
        <f>'[3]M.C UNPIV'!G433</f>
        <v>0</v>
      </c>
      <c r="G432" s="6">
        <f>'[3]M.C UNPIV'!H433</f>
        <v>0</v>
      </c>
      <c r="H432" s="5">
        <f>'[3]M.C UNPIV'!I433</f>
        <v>0</v>
      </c>
      <c r="I432" s="7">
        <f>'[3]M.C UNPIV'!J433</f>
        <v>0</v>
      </c>
      <c r="J432" s="7">
        <f>'[3]M.C UNPIV'!K433</f>
        <v>0</v>
      </c>
      <c r="K432" s="7">
        <f>'[3]M.C UNPIV'!L433</f>
        <v>0</v>
      </c>
      <c r="L432" s="7">
        <f>'[3]M.C UNPIV'!M433</f>
        <v>0</v>
      </c>
      <c r="M432" s="6">
        <f>'[3]M.C UNPIV'!N433</f>
        <v>0</v>
      </c>
      <c r="N432" s="5">
        <f>'[3]M.C UNPIV'!O433</f>
        <v>0</v>
      </c>
      <c r="O432" s="5">
        <f>'[3]M.C UNPIV'!P433</f>
        <v>0</v>
      </c>
    </row>
    <row r="433" spans="1:15" x14ac:dyDescent="0.25">
      <c r="A433" s="4">
        <f>'[3]M.C UNPIV'!B434</f>
        <v>0</v>
      </c>
      <c r="B433" s="5">
        <f>'[3]M.C UNPIV'!C434</f>
        <v>0</v>
      </c>
      <c r="C433" s="5">
        <f>'[3]M.C UNPIV'!D434</f>
        <v>0</v>
      </c>
      <c r="D433" s="5">
        <f>'[3]M.C UNPIV'!E434</f>
        <v>0</v>
      </c>
      <c r="E433" s="5">
        <f>'[3]M.C UNPIV'!F434</f>
        <v>0</v>
      </c>
      <c r="F433" s="5">
        <f>'[3]M.C UNPIV'!G434</f>
        <v>0</v>
      </c>
      <c r="G433" s="6">
        <f>'[3]M.C UNPIV'!H434</f>
        <v>0</v>
      </c>
      <c r="H433" s="5">
        <f>'[3]M.C UNPIV'!I434</f>
        <v>0</v>
      </c>
      <c r="I433" s="7">
        <f>'[3]M.C UNPIV'!J434</f>
        <v>0</v>
      </c>
      <c r="J433" s="7">
        <f>'[3]M.C UNPIV'!K434</f>
        <v>0</v>
      </c>
      <c r="K433" s="7">
        <f>'[3]M.C UNPIV'!L434</f>
        <v>0</v>
      </c>
      <c r="L433" s="7">
        <f>'[3]M.C UNPIV'!M434</f>
        <v>0</v>
      </c>
      <c r="M433" s="6">
        <f>'[3]M.C UNPIV'!N434</f>
        <v>0</v>
      </c>
      <c r="N433" s="5">
        <f>'[3]M.C UNPIV'!O434</f>
        <v>0</v>
      </c>
      <c r="O433" s="5">
        <f>'[3]M.C UNPIV'!P434</f>
        <v>0</v>
      </c>
    </row>
    <row r="434" spans="1:15" x14ac:dyDescent="0.25">
      <c r="A434" s="4">
        <f>'[3]M.C UNPIV'!B435</f>
        <v>0</v>
      </c>
      <c r="B434" s="5">
        <f>'[3]M.C UNPIV'!C435</f>
        <v>0</v>
      </c>
      <c r="C434" s="5">
        <f>'[3]M.C UNPIV'!D435</f>
        <v>0</v>
      </c>
      <c r="D434" s="5">
        <f>'[3]M.C UNPIV'!E435</f>
        <v>0</v>
      </c>
      <c r="E434" s="5">
        <f>'[3]M.C UNPIV'!F435</f>
        <v>0</v>
      </c>
      <c r="F434" s="5">
        <f>'[3]M.C UNPIV'!G435</f>
        <v>0</v>
      </c>
      <c r="G434" s="6">
        <f>'[3]M.C UNPIV'!H435</f>
        <v>0</v>
      </c>
      <c r="H434" s="5">
        <f>'[3]M.C UNPIV'!I435</f>
        <v>0</v>
      </c>
      <c r="I434" s="7">
        <f>'[3]M.C UNPIV'!J435</f>
        <v>0</v>
      </c>
      <c r="J434" s="7">
        <f>'[3]M.C UNPIV'!K435</f>
        <v>0</v>
      </c>
      <c r="K434" s="7">
        <f>'[3]M.C UNPIV'!L435</f>
        <v>0</v>
      </c>
      <c r="L434" s="7">
        <f>'[3]M.C UNPIV'!M435</f>
        <v>0</v>
      </c>
      <c r="M434" s="6">
        <f>'[3]M.C UNPIV'!N435</f>
        <v>0</v>
      </c>
      <c r="N434" s="5">
        <f>'[3]M.C UNPIV'!O435</f>
        <v>0</v>
      </c>
      <c r="O434" s="5">
        <f>'[3]M.C UNPIV'!P435</f>
        <v>0</v>
      </c>
    </row>
    <row r="435" spans="1:15" x14ac:dyDescent="0.25">
      <c r="A435" s="4">
        <f>'[3]M.C UNPIV'!B436</f>
        <v>0</v>
      </c>
      <c r="B435" s="5">
        <f>'[3]M.C UNPIV'!C436</f>
        <v>0</v>
      </c>
      <c r="C435" s="5">
        <f>'[3]M.C UNPIV'!D436</f>
        <v>0</v>
      </c>
      <c r="D435" s="5">
        <f>'[3]M.C UNPIV'!E436</f>
        <v>0</v>
      </c>
      <c r="E435" s="5">
        <f>'[3]M.C UNPIV'!F436</f>
        <v>0</v>
      </c>
      <c r="F435" s="5">
        <f>'[3]M.C UNPIV'!G436</f>
        <v>0</v>
      </c>
      <c r="G435" s="6">
        <f>'[3]M.C UNPIV'!H436</f>
        <v>0</v>
      </c>
      <c r="H435" s="5">
        <f>'[3]M.C UNPIV'!I436</f>
        <v>0</v>
      </c>
      <c r="I435" s="7">
        <f>'[3]M.C UNPIV'!J436</f>
        <v>0</v>
      </c>
      <c r="J435" s="7">
        <f>'[3]M.C UNPIV'!K436</f>
        <v>0</v>
      </c>
      <c r="K435" s="7">
        <f>'[3]M.C UNPIV'!L436</f>
        <v>0</v>
      </c>
      <c r="L435" s="7">
        <f>'[3]M.C UNPIV'!M436</f>
        <v>0</v>
      </c>
      <c r="M435" s="6">
        <f>'[3]M.C UNPIV'!N436</f>
        <v>0</v>
      </c>
      <c r="N435" s="5">
        <f>'[3]M.C UNPIV'!O436</f>
        <v>0</v>
      </c>
      <c r="O435" s="5">
        <f>'[3]M.C UNPIV'!P436</f>
        <v>0</v>
      </c>
    </row>
    <row r="436" spans="1:15" x14ac:dyDescent="0.25">
      <c r="A436" s="4">
        <f>'[3]M.C UNPIV'!B437</f>
        <v>0</v>
      </c>
      <c r="B436" s="5">
        <f>'[3]M.C UNPIV'!C437</f>
        <v>0</v>
      </c>
      <c r="C436" s="5">
        <f>'[3]M.C UNPIV'!D437</f>
        <v>0</v>
      </c>
      <c r="D436" s="5">
        <f>'[3]M.C UNPIV'!E437</f>
        <v>0</v>
      </c>
      <c r="E436" s="5">
        <f>'[3]M.C UNPIV'!F437</f>
        <v>0</v>
      </c>
      <c r="F436" s="5">
        <f>'[3]M.C UNPIV'!G437</f>
        <v>0</v>
      </c>
      <c r="G436" s="6">
        <f>'[3]M.C UNPIV'!H437</f>
        <v>0</v>
      </c>
      <c r="H436" s="5">
        <f>'[3]M.C UNPIV'!I437</f>
        <v>0</v>
      </c>
      <c r="I436" s="7">
        <f>'[3]M.C UNPIV'!J437</f>
        <v>0</v>
      </c>
      <c r="J436" s="7">
        <f>'[3]M.C UNPIV'!K437</f>
        <v>0</v>
      </c>
      <c r="K436" s="7">
        <f>'[3]M.C UNPIV'!L437</f>
        <v>0</v>
      </c>
      <c r="L436" s="7">
        <f>'[3]M.C UNPIV'!M437</f>
        <v>0</v>
      </c>
      <c r="M436" s="6">
        <f>'[3]M.C UNPIV'!N437</f>
        <v>0</v>
      </c>
      <c r="N436" s="5">
        <f>'[3]M.C UNPIV'!O437</f>
        <v>0</v>
      </c>
      <c r="O436" s="5">
        <f>'[3]M.C UNPIV'!P437</f>
        <v>0</v>
      </c>
    </row>
    <row r="437" spans="1:15" x14ac:dyDescent="0.25">
      <c r="A437" s="4">
        <f>'[3]M.C UNPIV'!B438</f>
        <v>0</v>
      </c>
      <c r="B437" s="5">
        <f>'[3]M.C UNPIV'!C438</f>
        <v>0</v>
      </c>
      <c r="C437" s="5">
        <f>'[3]M.C UNPIV'!D438</f>
        <v>0</v>
      </c>
      <c r="D437" s="5">
        <f>'[3]M.C UNPIV'!E438</f>
        <v>0</v>
      </c>
      <c r="E437" s="5">
        <f>'[3]M.C UNPIV'!F438</f>
        <v>0</v>
      </c>
      <c r="F437" s="5">
        <f>'[3]M.C UNPIV'!G438</f>
        <v>0</v>
      </c>
      <c r="G437" s="6">
        <f>'[3]M.C UNPIV'!H438</f>
        <v>0</v>
      </c>
      <c r="H437" s="5">
        <f>'[3]M.C UNPIV'!I438</f>
        <v>0</v>
      </c>
      <c r="I437" s="7">
        <f>'[3]M.C UNPIV'!J438</f>
        <v>0</v>
      </c>
      <c r="J437" s="7">
        <f>'[3]M.C UNPIV'!K438</f>
        <v>0</v>
      </c>
      <c r="K437" s="7">
        <f>'[3]M.C UNPIV'!L438</f>
        <v>0</v>
      </c>
      <c r="L437" s="7">
        <f>'[3]M.C UNPIV'!M438</f>
        <v>0</v>
      </c>
      <c r="M437" s="6">
        <f>'[3]M.C UNPIV'!N438</f>
        <v>0</v>
      </c>
      <c r="N437" s="5">
        <f>'[3]M.C UNPIV'!O438</f>
        <v>0</v>
      </c>
      <c r="O437" s="5">
        <f>'[3]M.C UNPIV'!P438</f>
        <v>0</v>
      </c>
    </row>
    <row r="438" spans="1:15" x14ac:dyDescent="0.25">
      <c r="A438" s="4">
        <f>'[3]M.C UNPIV'!B439</f>
        <v>0</v>
      </c>
      <c r="B438" s="5">
        <f>'[3]M.C UNPIV'!C439</f>
        <v>0</v>
      </c>
      <c r="C438" s="5">
        <f>'[3]M.C UNPIV'!D439</f>
        <v>0</v>
      </c>
      <c r="D438" s="5">
        <f>'[3]M.C UNPIV'!E439</f>
        <v>0</v>
      </c>
      <c r="E438" s="5">
        <f>'[3]M.C UNPIV'!F439</f>
        <v>0</v>
      </c>
      <c r="F438" s="5">
        <f>'[3]M.C UNPIV'!G439</f>
        <v>0</v>
      </c>
      <c r="G438" s="6">
        <f>'[3]M.C UNPIV'!H439</f>
        <v>0</v>
      </c>
      <c r="H438" s="5">
        <f>'[3]M.C UNPIV'!I439</f>
        <v>0</v>
      </c>
      <c r="I438" s="7">
        <f>'[3]M.C UNPIV'!J439</f>
        <v>0</v>
      </c>
      <c r="J438" s="7">
        <f>'[3]M.C UNPIV'!K439</f>
        <v>0</v>
      </c>
      <c r="K438" s="7">
        <f>'[3]M.C UNPIV'!L439</f>
        <v>0</v>
      </c>
      <c r="L438" s="7">
        <f>'[3]M.C UNPIV'!M439</f>
        <v>0</v>
      </c>
      <c r="M438" s="6">
        <f>'[3]M.C UNPIV'!N439</f>
        <v>0</v>
      </c>
      <c r="N438" s="5">
        <f>'[3]M.C UNPIV'!O439</f>
        <v>0</v>
      </c>
      <c r="O438" s="5">
        <f>'[3]M.C UNPIV'!P439</f>
        <v>0</v>
      </c>
    </row>
    <row r="439" spans="1:15" x14ac:dyDescent="0.25">
      <c r="A439" s="4">
        <f>'[3]M.C UNPIV'!B440</f>
        <v>0</v>
      </c>
      <c r="B439" s="5">
        <f>'[3]M.C UNPIV'!C440</f>
        <v>0</v>
      </c>
      <c r="C439" s="5">
        <f>'[3]M.C UNPIV'!D440</f>
        <v>0</v>
      </c>
      <c r="D439" s="5">
        <f>'[3]M.C UNPIV'!E440</f>
        <v>0</v>
      </c>
      <c r="E439" s="5">
        <f>'[3]M.C UNPIV'!F440</f>
        <v>0</v>
      </c>
      <c r="F439" s="5">
        <f>'[3]M.C UNPIV'!G440</f>
        <v>0</v>
      </c>
      <c r="G439" s="6">
        <f>'[3]M.C UNPIV'!H440</f>
        <v>0</v>
      </c>
      <c r="H439" s="5">
        <f>'[3]M.C UNPIV'!I440</f>
        <v>0</v>
      </c>
      <c r="I439" s="7">
        <f>'[3]M.C UNPIV'!J440</f>
        <v>0</v>
      </c>
      <c r="J439" s="7">
        <f>'[3]M.C UNPIV'!K440</f>
        <v>0</v>
      </c>
      <c r="K439" s="7">
        <f>'[3]M.C UNPIV'!L440</f>
        <v>0</v>
      </c>
      <c r="L439" s="7">
        <f>'[3]M.C UNPIV'!M440</f>
        <v>0</v>
      </c>
      <c r="M439" s="6">
        <f>'[3]M.C UNPIV'!N440</f>
        <v>0</v>
      </c>
      <c r="N439" s="5">
        <f>'[3]M.C UNPIV'!O440</f>
        <v>0</v>
      </c>
      <c r="O439" s="5">
        <f>'[3]M.C UNPIV'!P440</f>
        <v>0</v>
      </c>
    </row>
    <row r="440" spans="1:15" x14ac:dyDescent="0.25">
      <c r="A440" s="4">
        <f>'[3]M.C UNPIV'!B441</f>
        <v>0</v>
      </c>
      <c r="B440" s="5">
        <f>'[3]M.C UNPIV'!C441</f>
        <v>0</v>
      </c>
      <c r="C440" s="5">
        <f>'[3]M.C UNPIV'!D441</f>
        <v>0</v>
      </c>
      <c r="D440" s="5">
        <f>'[3]M.C UNPIV'!E441</f>
        <v>0</v>
      </c>
      <c r="E440" s="5">
        <f>'[3]M.C UNPIV'!F441</f>
        <v>0</v>
      </c>
      <c r="F440" s="5">
        <f>'[3]M.C UNPIV'!G441</f>
        <v>0</v>
      </c>
      <c r="G440" s="6">
        <f>'[3]M.C UNPIV'!H441</f>
        <v>0</v>
      </c>
      <c r="H440" s="5">
        <f>'[3]M.C UNPIV'!I441</f>
        <v>0</v>
      </c>
      <c r="I440" s="7">
        <f>'[3]M.C UNPIV'!J441</f>
        <v>0</v>
      </c>
      <c r="J440" s="7">
        <f>'[3]M.C UNPIV'!K441</f>
        <v>0</v>
      </c>
      <c r="K440" s="7">
        <f>'[3]M.C UNPIV'!L441</f>
        <v>0</v>
      </c>
      <c r="L440" s="7">
        <f>'[3]M.C UNPIV'!M441</f>
        <v>0</v>
      </c>
      <c r="M440" s="6">
        <f>'[3]M.C UNPIV'!N441</f>
        <v>0</v>
      </c>
      <c r="N440" s="5">
        <f>'[3]M.C UNPIV'!O441</f>
        <v>0</v>
      </c>
      <c r="O440" s="5">
        <f>'[3]M.C UNPIV'!P441</f>
        <v>0</v>
      </c>
    </row>
    <row r="441" spans="1:15" x14ac:dyDescent="0.25">
      <c r="A441" s="4">
        <f>'[3]M.C UNPIV'!B442</f>
        <v>0</v>
      </c>
      <c r="B441" s="5">
        <f>'[3]M.C UNPIV'!C442</f>
        <v>0</v>
      </c>
      <c r="C441" s="5">
        <f>'[3]M.C UNPIV'!D442</f>
        <v>0</v>
      </c>
      <c r="D441" s="5">
        <f>'[3]M.C UNPIV'!E442</f>
        <v>0</v>
      </c>
      <c r="E441" s="5">
        <f>'[3]M.C UNPIV'!F442</f>
        <v>0</v>
      </c>
      <c r="F441" s="5">
        <f>'[3]M.C UNPIV'!G442</f>
        <v>0</v>
      </c>
      <c r="G441" s="6">
        <f>'[3]M.C UNPIV'!H442</f>
        <v>0</v>
      </c>
      <c r="H441" s="5">
        <f>'[3]M.C UNPIV'!I442</f>
        <v>0</v>
      </c>
      <c r="I441" s="7">
        <f>'[3]M.C UNPIV'!J442</f>
        <v>0</v>
      </c>
      <c r="J441" s="7">
        <f>'[3]M.C UNPIV'!K442</f>
        <v>0</v>
      </c>
      <c r="K441" s="7">
        <f>'[3]M.C UNPIV'!L442</f>
        <v>0</v>
      </c>
      <c r="L441" s="7">
        <f>'[3]M.C UNPIV'!M442</f>
        <v>0</v>
      </c>
      <c r="M441" s="6">
        <f>'[3]M.C UNPIV'!N442</f>
        <v>0</v>
      </c>
      <c r="N441" s="5">
        <f>'[3]M.C UNPIV'!O442</f>
        <v>0</v>
      </c>
      <c r="O441" s="5">
        <f>'[3]M.C UNPIV'!P442</f>
        <v>0</v>
      </c>
    </row>
    <row r="442" spans="1:15" x14ac:dyDescent="0.25">
      <c r="A442" s="4">
        <f>'[3]M.C UNPIV'!B443</f>
        <v>0</v>
      </c>
      <c r="B442" s="5">
        <f>'[3]M.C UNPIV'!C443</f>
        <v>0</v>
      </c>
      <c r="C442" s="5">
        <f>'[3]M.C UNPIV'!D443</f>
        <v>0</v>
      </c>
      <c r="D442" s="5">
        <f>'[3]M.C UNPIV'!E443</f>
        <v>0</v>
      </c>
      <c r="E442" s="5">
        <f>'[3]M.C UNPIV'!F443</f>
        <v>0</v>
      </c>
      <c r="F442" s="5">
        <f>'[3]M.C UNPIV'!G443</f>
        <v>0</v>
      </c>
      <c r="G442" s="6">
        <f>'[3]M.C UNPIV'!H443</f>
        <v>0</v>
      </c>
      <c r="H442" s="5">
        <f>'[3]M.C UNPIV'!I443</f>
        <v>0</v>
      </c>
      <c r="I442" s="7">
        <f>'[3]M.C UNPIV'!J443</f>
        <v>0</v>
      </c>
      <c r="J442" s="7">
        <f>'[3]M.C UNPIV'!K443</f>
        <v>0</v>
      </c>
      <c r="K442" s="7">
        <f>'[3]M.C UNPIV'!L443</f>
        <v>0</v>
      </c>
      <c r="L442" s="7">
        <f>'[3]M.C UNPIV'!M443</f>
        <v>0</v>
      </c>
      <c r="M442" s="6">
        <f>'[3]M.C UNPIV'!N443</f>
        <v>0</v>
      </c>
      <c r="N442" s="5">
        <f>'[3]M.C UNPIV'!O443</f>
        <v>0</v>
      </c>
      <c r="O442" s="5">
        <f>'[3]M.C UNPIV'!P443</f>
        <v>0</v>
      </c>
    </row>
    <row r="443" spans="1:15" x14ac:dyDescent="0.25">
      <c r="A443" s="4">
        <f>'[3]M.C UNPIV'!B444</f>
        <v>0</v>
      </c>
      <c r="B443" s="5">
        <f>'[3]M.C UNPIV'!C444</f>
        <v>0</v>
      </c>
      <c r="C443" s="5">
        <f>'[3]M.C UNPIV'!D444</f>
        <v>0</v>
      </c>
      <c r="D443" s="5">
        <f>'[3]M.C UNPIV'!E444</f>
        <v>0</v>
      </c>
      <c r="E443" s="5">
        <f>'[3]M.C UNPIV'!F444</f>
        <v>0</v>
      </c>
      <c r="F443" s="5">
        <f>'[3]M.C UNPIV'!G444</f>
        <v>0</v>
      </c>
      <c r="G443" s="6">
        <f>'[3]M.C UNPIV'!H444</f>
        <v>0</v>
      </c>
      <c r="H443" s="5">
        <f>'[3]M.C UNPIV'!I444</f>
        <v>0</v>
      </c>
      <c r="I443" s="7">
        <f>'[3]M.C UNPIV'!J444</f>
        <v>0</v>
      </c>
      <c r="J443" s="7">
        <f>'[3]M.C UNPIV'!K444</f>
        <v>0</v>
      </c>
      <c r="K443" s="7">
        <f>'[3]M.C UNPIV'!L444</f>
        <v>0</v>
      </c>
      <c r="L443" s="7">
        <f>'[3]M.C UNPIV'!M444</f>
        <v>0</v>
      </c>
      <c r="M443" s="6">
        <f>'[3]M.C UNPIV'!N444</f>
        <v>0</v>
      </c>
      <c r="N443" s="5">
        <f>'[3]M.C UNPIV'!O444</f>
        <v>0</v>
      </c>
      <c r="O443" s="5">
        <f>'[3]M.C UNPIV'!P444</f>
        <v>0</v>
      </c>
    </row>
    <row r="444" spans="1:15" x14ac:dyDescent="0.25">
      <c r="A444" s="4">
        <f>'[3]M.C UNPIV'!B445</f>
        <v>0</v>
      </c>
      <c r="B444" s="5">
        <f>'[3]M.C UNPIV'!C445</f>
        <v>0</v>
      </c>
      <c r="C444" s="5">
        <f>'[3]M.C UNPIV'!D445</f>
        <v>0</v>
      </c>
      <c r="D444" s="5">
        <f>'[3]M.C UNPIV'!E445</f>
        <v>0</v>
      </c>
      <c r="E444" s="5">
        <f>'[3]M.C UNPIV'!F445</f>
        <v>0</v>
      </c>
      <c r="F444" s="5">
        <f>'[3]M.C UNPIV'!G445</f>
        <v>0</v>
      </c>
      <c r="G444" s="6">
        <f>'[3]M.C UNPIV'!H445</f>
        <v>0</v>
      </c>
      <c r="H444" s="5">
        <f>'[3]M.C UNPIV'!I445</f>
        <v>0</v>
      </c>
      <c r="I444" s="7">
        <f>'[3]M.C UNPIV'!J445</f>
        <v>0</v>
      </c>
      <c r="J444" s="7">
        <f>'[3]M.C UNPIV'!K445</f>
        <v>0</v>
      </c>
      <c r="K444" s="7">
        <f>'[3]M.C UNPIV'!L445</f>
        <v>0</v>
      </c>
      <c r="L444" s="7">
        <f>'[3]M.C UNPIV'!M445</f>
        <v>0</v>
      </c>
      <c r="M444" s="6">
        <f>'[3]M.C UNPIV'!N445</f>
        <v>0</v>
      </c>
      <c r="N444" s="5">
        <f>'[3]M.C UNPIV'!O445</f>
        <v>0</v>
      </c>
      <c r="O444" s="5">
        <f>'[3]M.C UNPIV'!P445</f>
        <v>0</v>
      </c>
    </row>
    <row r="445" spans="1:15" x14ac:dyDescent="0.25">
      <c r="A445" s="4">
        <f>'[3]M.C UNPIV'!B446</f>
        <v>0</v>
      </c>
      <c r="B445" s="5">
        <f>'[3]M.C UNPIV'!C446</f>
        <v>0</v>
      </c>
      <c r="C445" s="5">
        <f>'[3]M.C UNPIV'!D446</f>
        <v>0</v>
      </c>
      <c r="D445" s="5">
        <f>'[3]M.C UNPIV'!E446</f>
        <v>0</v>
      </c>
      <c r="E445" s="5">
        <f>'[3]M.C UNPIV'!F446</f>
        <v>0</v>
      </c>
      <c r="F445" s="5">
        <f>'[3]M.C UNPIV'!G446</f>
        <v>0</v>
      </c>
      <c r="G445" s="6">
        <f>'[3]M.C UNPIV'!H446</f>
        <v>0</v>
      </c>
      <c r="H445" s="5">
        <f>'[3]M.C UNPIV'!I446</f>
        <v>0</v>
      </c>
      <c r="I445" s="7">
        <f>'[3]M.C UNPIV'!J446</f>
        <v>0</v>
      </c>
      <c r="J445" s="7">
        <f>'[3]M.C UNPIV'!K446</f>
        <v>0</v>
      </c>
      <c r="K445" s="7">
        <f>'[3]M.C UNPIV'!L446</f>
        <v>0</v>
      </c>
      <c r="L445" s="7">
        <f>'[3]M.C UNPIV'!M446</f>
        <v>0</v>
      </c>
      <c r="M445" s="6">
        <f>'[3]M.C UNPIV'!N446</f>
        <v>0</v>
      </c>
      <c r="N445" s="5">
        <f>'[3]M.C UNPIV'!O446</f>
        <v>0</v>
      </c>
      <c r="O445" s="5">
        <f>'[3]M.C UNPIV'!P446</f>
        <v>0</v>
      </c>
    </row>
    <row r="446" spans="1:15" x14ac:dyDescent="0.25">
      <c r="A446" s="4">
        <f>'[3]M.C UNPIV'!B447</f>
        <v>0</v>
      </c>
      <c r="B446" s="5">
        <f>'[3]M.C UNPIV'!C447</f>
        <v>0</v>
      </c>
      <c r="C446" s="5">
        <f>'[3]M.C UNPIV'!D447</f>
        <v>0</v>
      </c>
      <c r="D446" s="5">
        <f>'[3]M.C UNPIV'!E447</f>
        <v>0</v>
      </c>
      <c r="E446" s="5">
        <f>'[3]M.C UNPIV'!F447</f>
        <v>0</v>
      </c>
      <c r="F446" s="5">
        <f>'[3]M.C UNPIV'!G447</f>
        <v>0</v>
      </c>
      <c r="G446" s="6">
        <f>'[3]M.C UNPIV'!H447</f>
        <v>0</v>
      </c>
      <c r="H446" s="5">
        <f>'[3]M.C UNPIV'!I447</f>
        <v>0</v>
      </c>
      <c r="I446" s="7">
        <f>'[3]M.C UNPIV'!J447</f>
        <v>0</v>
      </c>
      <c r="J446" s="7">
        <f>'[3]M.C UNPIV'!K447</f>
        <v>0</v>
      </c>
      <c r="K446" s="7">
        <f>'[3]M.C UNPIV'!L447</f>
        <v>0</v>
      </c>
      <c r="L446" s="7">
        <f>'[3]M.C UNPIV'!M447</f>
        <v>0</v>
      </c>
      <c r="M446" s="6">
        <f>'[3]M.C UNPIV'!N447</f>
        <v>0</v>
      </c>
      <c r="N446" s="5">
        <f>'[3]M.C UNPIV'!O447</f>
        <v>0</v>
      </c>
      <c r="O446" s="5">
        <f>'[3]M.C UNPIV'!P447</f>
        <v>0</v>
      </c>
    </row>
    <row r="447" spans="1:15" x14ac:dyDescent="0.25">
      <c r="A447" s="4">
        <f>'[3]M.C UNPIV'!B448</f>
        <v>0</v>
      </c>
      <c r="B447" s="5">
        <f>'[3]M.C UNPIV'!C448</f>
        <v>0</v>
      </c>
      <c r="C447" s="5">
        <f>'[3]M.C UNPIV'!D448</f>
        <v>0</v>
      </c>
      <c r="D447" s="5">
        <f>'[3]M.C UNPIV'!E448</f>
        <v>0</v>
      </c>
      <c r="E447" s="5">
        <f>'[3]M.C UNPIV'!F448</f>
        <v>0</v>
      </c>
      <c r="F447" s="5">
        <f>'[3]M.C UNPIV'!G448</f>
        <v>0</v>
      </c>
      <c r="G447" s="6">
        <f>'[3]M.C UNPIV'!H448</f>
        <v>0</v>
      </c>
      <c r="H447" s="5">
        <f>'[3]M.C UNPIV'!I448</f>
        <v>0</v>
      </c>
      <c r="I447" s="7">
        <f>'[3]M.C UNPIV'!J448</f>
        <v>0</v>
      </c>
      <c r="J447" s="7">
        <f>'[3]M.C UNPIV'!K448</f>
        <v>0</v>
      </c>
      <c r="K447" s="7">
        <f>'[3]M.C UNPIV'!L448</f>
        <v>0</v>
      </c>
      <c r="L447" s="7">
        <f>'[3]M.C UNPIV'!M448</f>
        <v>0</v>
      </c>
      <c r="M447" s="6">
        <f>'[3]M.C UNPIV'!N448</f>
        <v>0</v>
      </c>
      <c r="N447" s="5">
        <f>'[3]M.C UNPIV'!O448</f>
        <v>0</v>
      </c>
      <c r="O447" s="5">
        <f>'[3]M.C UNPIV'!P448</f>
        <v>0</v>
      </c>
    </row>
    <row r="448" spans="1:15" x14ac:dyDescent="0.25">
      <c r="A448" s="4">
        <f>'[3]M.C UNPIV'!B449</f>
        <v>0</v>
      </c>
      <c r="B448" s="5">
        <f>'[3]M.C UNPIV'!C449</f>
        <v>0</v>
      </c>
      <c r="C448" s="5">
        <f>'[3]M.C UNPIV'!D449</f>
        <v>0</v>
      </c>
      <c r="D448" s="5">
        <f>'[3]M.C UNPIV'!E449</f>
        <v>0</v>
      </c>
      <c r="E448" s="5">
        <f>'[3]M.C UNPIV'!F449</f>
        <v>0</v>
      </c>
      <c r="F448" s="5">
        <f>'[3]M.C UNPIV'!G449</f>
        <v>0</v>
      </c>
      <c r="G448" s="6">
        <f>'[3]M.C UNPIV'!H449</f>
        <v>0</v>
      </c>
      <c r="H448" s="5">
        <f>'[3]M.C UNPIV'!I449</f>
        <v>0</v>
      </c>
      <c r="I448" s="7">
        <f>'[3]M.C UNPIV'!J449</f>
        <v>0</v>
      </c>
      <c r="J448" s="7">
        <f>'[3]M.C UNPIV'!K449</f>
        <v>0</v>
      </c>
      <c r="K448" s="7">
        <f>'[3]M.C UNPIV'!L449</f>
        <v>0</v>
      </c>
      <c r="L448" s="7">
        <f>'[3]M.C UNPIV'!M449</f>
        <v>0</v>
      </c>
      <c r="M448" s="6">
        <f>'[3]M.C UNPIV'!N449</f>
        <v>0</v>
      </c>
      <c r="N448" s="5">
        <f>'[3]M.C UNPIV'!O449</f>
        <v>0</v>
      </c>
      <c r="O448" s="5">
        <f>'[3]M.C UNPIV'!P449</f>
        <v>0</v>
      </c>
    </row>
    <row r="449" spans="1:15" x14ac:dyDescent="0.25">
      <c r="A449" s="4">
        <f>'[3]M.C UNPIV'!B450</f>
        <v>0</v>
      </c>
      <c r="B449" s="5">
        <f>'[3]M.C UNPIV'!C450</f>
        <v>0</v>
      </c>
      <c r="C449" s="5">
        <f>'[3]M.C UNPIV'!D450</f>
        <v>0</v>
      </c>
      <c r="D449" s="5">
        <f>'[3]M.C UNPIV'!E450</f>
        <v>0</v>
      </c>
      <c r="E449" s="5">
        <f>'[3]M.C UNPIV'!F450</f>
        <v>0</v>
      </c>
      <c r="F449" s="5">
        <f>'[3]M.C UNPIV'!G450</f>
        <v>0</v>
      </c>
      <c r="G449" s="6">
        <f>'[3]M.C UNPIV'!H450</f>
        <v>0</v>
      </c>
      <c r="H449" s="5">
        <f>'[3]M.C UNPIV'!I450</f>
        <v>0</v>
      </c>
      <c r="I449" s="7">
        <f>'[3]M.C UNPIV'!J450</f>
        <v>0</v>
      </c>
      <c r="J449" s="7">
        <f>'[3]M.C UNPIV'!K450</f>
        <v>0</v>
      </c>
      <c r="K449" s="7">
        <f>'[3]M.C UNPIV'!L450</f>
        <v>0</v>
      </c>
      <c r="L449" s="7">
        <f>'[3]M.C UNPIV'!M450</f>
        <v>0</v>
      </c>
      <c r="M449" s="6">
        <f>'[3]M.C UNPIV'!N450</f>
        <v>0</v>
      </c>
      <c r="N449" s="5">
        <f>'[3]M.C UNPIV'!O450</f>
        <v>0</v>
      </c>
      <c r="O449" s="5">
        <f>'[3]M.C UNPIV'!P450</f>
        <v>0</v>
      </c>
    </row>
    <row r="450" spans="1:15" x14ac:dyDescent="0.25">
      <c r="A450" s="4">
        <f>'[3]M.C UNPIV'!B451</f>
        <v>0</v>
      </c>
      <c r="B450" s="5">
        <f>'[3]M.C UNPIV'!C451</f>
        <v>0</v>
      </c>
      <c r="C450" s="5">
        <f>'[3]M.C UNPIV'!D451</f>
        <v>0</v>
      </c>
      <c r="D450" s="5">
        <f>'[3]M.C UNPIV'!E451</f>
        <v>0</v>
      </c>
      <c r="E450" s="5">
        <f>'[3]M.C UNPIV'!F451</f>
        <v>0</v>
      </c>
      <c r="F450" s="5">
        <f>'[3]M.C UNPIV'!G451</f>
        <v>0</v>
      </c>
      <c r="G450" s="6">
        <f>'[3]M.C UNPIV'!H451</f>
        <v>0</v>
      </c>
      <c r="H450" s="5">
        <f>'[3]M.C UNPIV'!I451</f>
        <v>0</v>
      </c>
      <c r="I450" s="7">
        <f>'[3]M.C UNPIV'!J451</f>
        <v>0</v>
      </c>
      <c r="J450" s="7">
        <f>'[3]M.C UNPIV'!K451</f>
        <v>0</v>
      </c>
      <c r="K450" s="7">
        <f>'[3]M.C UNPIV'!L451</f>
        <v>0</v>
      </c>
      <c r="L450" s="7">
        <f>'[3]M.C UNPIV'!M451</f>
        <v>0</v>
      </c>
      <c r="M450" s="6">
        <f>'[3]M.C UNPIV'!N451</f>
        <v>0</v>
      </c>
      <c r="N450" s="5">
        <f>'[3]M.C UNPIV'!O451</f>
        <v>0</v>
      </c>
      <c r="O450" s="5">
        <f>'[3]M.C UNPIV'!P451</f>
        <v>0</v>
      </c>
    </row>
    <row r="451" spans="1:15" x14ac:dyDescent="0.25">
      <c r="A451" s="4">
        <f>'[3]M.C UNPIV'!B452</f>
        <v>0</v>
      </c>
      <c r="B451" s="5">
        <f>'[3]M.C UNPIV'!C452</f>
        <v>0</v>
      </c>
      <c r="C451" s="5">
        <f>'[3]M.C UNPIV'!D452</f>
        <v>0</v>
      </c>
      <c r="D451" s="5">
        <f>'[3]M.C UNPIV'!E452</f>
        <v>0</v>
      </c>
      <c r="E451" s="5">
        <f>'[3]M.C UNPIV'!F452</f>
        <v>0</v>
      </c>
      <c r="F451" s="5">
        <f>'[3]M.C UNPIV'!G452</f>
        <v>0</v>
      </c>
      <c r="G451" s="6">
        <f>'[3]M.C UNPIV'!H452</f>
        <v>0</v>
      </c>
      <c r="H451" s="5">
        <f>'[3]M.C UNPIV'!I452</f>
        <v>0</v>
      </c>
      <c r="I451" s="7">
        <f>'[3]M.C UNPIV'!J452</f>
        <v>0</v>
      </c>
      <c r="J451" s="7">
        <f>'[3]M.C UNPIV'!K452</f>
        <v>0</v>
      </c>
      <c r="K451" s="7">
        <f>'[3]M.C UNPIV'!L452</f>
        <v>0</v>
      </c>
      <c r="L451" s="7">
        <f>'[3]M.C UNPIV'!M452</f>
        <v>0</v>
      </c>
      <c r="M451" s="6">
        <f>'[3]M.C UNPIV'!N452</f>
        <v>0</v>
      </c>
      <c r="N451" s="5">
        <f>'[3]M.C UNPIV'!O452</f>
        <v>0</v>
      </c>
      <c r="O451" s="5">
        <f>'[3]M.C UNPIV'!P452</f>
        <v>0</v>
      </c>
    </row>
    <row r="452" spans="1:15" x14ac:dyDescent="0.25">
      <c r="A452" s="4">
        <f>'[3]M.C UNPIV'!B453</f>
        <v>0</v>
      </c>
      <c r="B452" s="5">
        <f>'[3]M.C UNPIV'!C453</f>
        <v>0</v>
      </c>
      <c r="C452" s="5">
        <f>'[3]M.C UNPIV'!D453</f>
        <v>0</v>
      </c>
      <c r="D452" s="5">
        <f>'[3]M.C UNPIV'!E453</f>
        <v>0</v>
      </c>
      <c r="E452" s="5">
        <f>'[3]M.C UNPIV'!F453</f>
        <v>0</v>
      </c>
      <c r="F452" s="5">
        <f>'[3]M.C UNPIV'!G453</f>
        <v>0</v>
      </c>
      <c r="G452" s="6">
        <f>'[3]M.C UNPIV'!H453</f>
        <v>0</v>
      </c>
      <c r="H452" s="5">
        <f>'[3]M.C UNPIV'!I453</f>
        <v>0</v>
      </c>
      <c r="I452" s="7">
        <f>'[3]M.C UNPIV'!J453</f>
        <v>0</v>
      </c>
      <c r="J452" s="7">
        <f>'[3]M.C UNPIV'!K453</f>
        <v>0</v>
      </c>
      <c r="K452" s="7">
        <f>'[3]M.C UNPIV'!L453</f>
        <v>0</v>
      </c>
      <c r="L452" s="7">
        <f>'[3]M.C UNPIV'!M453</f>
        <v>0</v>
      </c>
      <c r="M452" s="6">
        <f>'[3]M.C UNPIV'!N453</f>
        <v>0</v>
      </c>
      <c r="N452" s="5">
        <f>'[3]M.C UNPIV'!O453</f>
        <v>0</v>
      </c>
      <c r="O452" s="5">
        <f>'[3]M.C UNPIV'!P453</f>
        <v>0</v>
      </c>
    </row>
    <row r="453" spans="1:15" x14ac:dyDescent="0.25">
      <c r="A453" s="4">
        <f>'[3]M.C UNPIV'!B454</f>
        <v>0</v>
      </c>
      <c r="B453" s="5">
        <f>'[3]M.C UNPIV'!C454</f>
        <v>0</v>
      </c>
      <c r="C453" s="5">
        <f>'[3]M.C UNPIV'!D454</f>
        <v>0</v>
      </c>
      <c r="D453" s="5">
        <f>'[3]M.C UNPIV'!E454</f>
        <v>0</v>
      </c>
      <c r="E453" s="5">
        <f>'[3]M.C UNPIV'!F454</f>
        <v>0</v>
      </c>
      <c r="F453" s="5">
        <f>'[3]M.C UNPIV'!G454</f>
        <v>0</v>
      </c>
      <c r="G453" s="6">
        <f>'[3]M.C UNPIV'!H454</f>
        <v>0</v>
      </c>
      <c r="H453" s="5">
        <f>'[3]M.C UNPIV'!I454</f>
        <v>0</v>
      </c>
      <c r="I453" s="7">
        <f>'[3]M.C UNPIV'!J454</f>
        <v>0</v>
      </c>
      <c r="J453" s="7">
        <f>'[3]M.C UNPIV'!K454</f>
        <v>0</v>
      </c>
      <c r="K453" s="7">
        <f>'[3]M.C UNPIV'!L454</f>
        <v>0</v>
      </c>
      <c r="L453" s="7">
        <f>'[3]M.C UNPIV'!M454</f>
        <v>0</v>
      </c>
      <c r="M453" s="6">
        <f>'[3]M.C UNPIV'!N454</f>
        <v>0</v>
      </c>
      <c r="N453" s="5">
        <f>'[3]M.C UNPIV'!O454</f>
        <v>0</v>
      </c>
      <c r="O453" s="5">
        <f>'[3]M.C UNPIV'!P454</f>
        <v>0</v>
      </c>
    </row>
    <row r="454" spans="1:15" x14ac:dyDescent="0.25">
      <c r="A454" s="4">
        <f>'[3]M.C UNPIV'!B455</f>
        <v>0</v>
      </c>
      <c r="B454" s="5">
        <f>'[3]M.C UNPIV'!C455</f>
        <v>0</v>
      </c>
      <c r="C454" s="5">
        <f>'[3]M.C UNPIV'!D455</f>
        <v>0</v>
      </c>
      <c r="D454" s="5">
        <f>'[3]M.C UNPIV'!E455</f>
        <v>0</v>
      </c>
      <c r="E454" s="5">
        <f>'[3]M.C UNPIV'!F455</f>
        <v>0</v>
      </c>
      <c r="F454" s="5">
        <f>'[3]M.C UNPIV'!G455</f>
        <v>0</v>
      </c>
      <c r="G454" s="6">
        <f>'[3]M.C UNPIV'!H455</f>
        <v>0</v>
      </c>
      <c r="H454" s="5">
        <f>'[3]M.C UNPIV'!I455</f>
        <v>0</v>
      </c>
      <c r="I454" s="7">
        <f>'[3]M.C UNPIV'!J455</f>
        <v>0</v>
      </c>
      <c r="J454" s="7">
        <f>'[3]M.C UNPIV'!K455</f>
        <v>0</v>
      </c>
      <c r="K454" s="7">
        <f>'[3]M.C UNPIV'!L455</f>
        <v>0</v>
      </c>
      <c r="L454" s="7">
        <f>'[3]M.C UNPIV'!M455</f>
        <v>0</v>
      </c>
      <c r="M454" s="6">
        <f>'[3]M.C UNPIV'!N455</f>
        <v>0</v>
      </c>
      <c r="N454" s="5">
        <f>'[3]M.C UNPIV'!O455</f>
        <v>0</v>
      </c>
      <c r="O454" s="5">
        <f>'[3]M.C UNPIV'!P455</f>
        <v>0</v>
      </c>
    </row>
    <row r="455" spans="1:15" x14ac:dyDescent="0.25">
      <c r="A455" s="4">
        <f>'[3]M.C UNPIV'!B456</f>
        <v>0</v>
      </c>
      <c r="B455" s="5">
        <f>'[3]M.C UNPIV'!C456</f>
        <v>0</v>
      </c>
      <c r="C455" s="5">
        <f>'[3]M.C UNPIV'!D456</f>
        <v>0</v>
      </c>
      <c r="D455" s="5">
        <f>'[3]M.C UNPIV'!E456</f>
        <v>0</v>
      </c>
      <c r="E455" s="5">
        <f>'[3]M.C UNPIV'!F456</f>
        <v>0</v>
      </c>
      <c r="F455" s="5">
        <f>'[3]M.C UNPIV'!G456</f>
        <v>0</v>
      </c>
      <c r="G455" s="6">
        <f>'[3]M.C UNPIV'!H456</f>
        <v>0</v>
      </c>
      <c r="H455" s="5">
        <f>'[3]M.C UNPIV'!I456</f>
        <v>0</v>
      </c>
      <c r="I455" s="7">
        <f>'[3]M.C UNPIV'!J456</f>
        <v>0</v>
      </c>
      <c r="J455" s="7">
        <f>'[3]M.C UNPIV'!K456</f>
        <v>0</v>
      </c>
      <c r="K455" s="7">
        <f>'[3]M.C UNPIV'!L456</f>
        <v>0</v>
      </c>
      <c r="L455" s="7">
        <f>'[3]M.C UNPIV'!M456</f>
        <v>0</v>
      </c>
      <c r="M455" s="6">
        <f>'[3]M.C UNPIV'!N456</f>
        <v>0</v>
      </c>
      <c r="N455" s="5">
        <f>'[3]M.C UNPIV'!O456</f>
        <v>0</v>
      </c>
      <c r="O455" s="5">
        <f>'[3]M.C UNPIV'!P456</f>
        <v>0</v>
      </c>
    </row>
    <row r="456" spans="1:15" x14ac:dyDescent="0.25">
      <c r="A456" s="4">
        <f>'[3]M.C UNPIV'!B457</f>
        <v>0</v>
      </c>
      <c r="B456" s="5">
        <f>'[3]M.C UNPIV'!C457</f>
        <v>0</v>
      </c>
      <c r="C456" s="5">
        <f>'[3]M.C UNPIV'!D457</f>
        <v>0</v>
      </c>
      <c r="D456" s="5">
        <f>'[3]M.C UNPIV'!E457</f>
        <v>0</v>
      </c>
      <c r="E456" s="5">
        <f>'[3]M.C UNPIV'!F457</f>
        <v>0</v>
      </c>
      <c r="F456" s="5">
        <f>'[3]M.C UNPIV'!G457</f>
        <v>0</v>
      </c>
      <c r="G456" s="6">
        <f>'[3]M.C UNPIV'!H457</f>
        <v>0</v>
      </c>
      <c r="H456" s="5">
        <f>'[3]M.C UNPIV'!I457</f>
        <v>0</v>
      </c>
      <c r="I456" s="7">
        <f>'[3]M.C UNPIV'!J457</f>
        <v>0</v>
      </c>
      <c r="J456" s="7">
        <f>'[3]M.C UNPIV'!K457</f>
        <v>0</v>
      </c>
      <c r="K456" s="7">
        <f>'[3]M.C UNPIV'!L457</f>
        <v>0</v>
      </c>
      <c r="L456" s="7">
        <f>'[3]M.C UNPIV'!M457</f>
        <v>0</v>
      </c>
      <c r="M456" s="6">
        <f>'[3]M.C UNPIV'!N457</f>
        <v>0</v>
      </c>
      <c r="N456" s="5">
        <f>'[3]M.C UNPIV'!O457</f>
        <v>0</v>
      </c>
      <c r="O456" s="5">
        <f>'[3]M.C UNPIV'!P457</f>
        <v>0</v>
      </c>
    </row>
    <row r="457" spans="1:15" x14ac:dyDescent="0.25">
      <c r="A457" s="4">
        <f>'[3]M.C UNPIV'!B458</f>
        <v>0</v>
      </c>
      <c r="B457" s="5">
        <f>'[3]M.C UNPIV'!C458</f>
        <v>0</v>
      </c>
      <c r="C457" s="5">
        <f>'[3]M.C UNPIV'!D458</f>
        <v>0</v>
      </c>
      <c r="D457" s="5">
        <f>'[3]M.C UNPIV'!E458</f>
        <v>0</v>
      </c>
      <c r="E457" s="5">
        <f>'[3]M.C UNPIV'!F458</f>
        <v>0</v>
      </c>
      <c r="F457" s="5">
        <f>'[3]M.C UNPIV'!G458</f>
        <v>0</v>
      </c>
      <c r="G457" s="6">
        <f>'[3]M.C UNPIV'!H458</f>
        <v>0</v>
      </c>
      <c r="H457" s="5">
        <f>'[3]M.C UNPIV'!I458</f>
        <v>0</v>
      </c>
      <c r="I457" s="7">
        <f>'[3]M.C UNPIV'!J458</f>
        <v>0</v>
      </c>
      <c r="J457" s="7">
        <f>'[3]M.C UNPIV'!K458</f>
        <v>0</v>
      </c>
      <c r="K457" s="7">
        <f>'[3]M.C UNPIV'!L458</f>
        <v>0</v>
      </c>
      <c r="L457" s="7">
        <f>'[3]M.C UNPIV'!M458</f>
        <v>0</v>
      </c>
      <c r="M457" s="6">
        <f>'[3]M.C UNPIV'!N458</f>
        <v>0</v>
      </c>
      <c r="N457" s="5">
        <f>'[3]M.C UNPIV'!O458</f>
        <v>0</v>
      </c>
      <c r="O457" s="5">
        <f>'[3]M.C UNPIV'!P458</f>
        <v>0</v>
      </c>
    </row>
    <row r="458" spans="1:15" x14ac:dyDescent="0.25">
      <c r="A458" s="4">
        <f>'[3]M.C UNPIV'!B459</f>
        <v>0</v>
      </c>
      <c r="B458" s="5">
        <f>'[3]M.C UNPIV'!C459</f>
        <v>0</v>
      </c>
      <c r="C458" s="5">
        <f>'[3]M.C UNPIV'!D459</f>
        <v>0</v>
      </c>
      <c r="D458" s="5">
        <f>'[3]M.C UNPIV'!E459</f>
        <v>0</v>
      </c>
      <c r="E458" s="5">
        <f>'[3]M.C UNPIV'!F459</f>
        <v>0</v>
      </c>
      <c r="F458" s="5">
        <f>'[3]M.C UNPIV'!G459</f>
        <v>0</v>
      </c>
      <c r="G458" s="6">
        <f>'[3]M.C UNPIV'!H459</f>
        <v>0</v>
      </c>
      <c r="H458" s="5">
        <f>'[3]M.C UNPIV'!I459</f>
        <v>0</v>
      </c>
      <c r="I458" s="7">
        <f>'[3]M.C UNPIV'!J459</f>
        <v>0</v>
      </c>
      <c r="J458" s="7">
        <f>'[3]M.C UNPIV'!K459</f>
        <v>0</v>
      </c>
      <c r="K458" s="7">
        <f>'[3]M.C UNPIV'!L459</f>
        <v>0</v>
      </c>
      <c r="L458" s="7">
        <f>'[3]M.C UNPIV'!M459</f>
        <v>0</v>
      </c>
      <c r="M458" s="6">
        <f>'[3]M.C UNPIV'!N459</f>
        <v>0</v>
      </c>
      <c r="N458" s="5">
        <f>'[3]M.C UNPIV'!O459</f>
        <v>0</v>
      </c>
      <c r="O458" s="5">
        <f>'[3]M.C UNPIV'!P459</f>
        <v>0</v>
      </c>
    </row>
    <row r="459" spans="1:15" x14ac:dyDescent="0.25">
      <c r="A459" s="4">
        <f>'[3]M.C UNPIV'!B460</f>
        <v>0</v>
      </c>
      <c r="B459" s="5">
        <f>'[3]M.C UNPIV'!C460</f>
        <v>0</v>
      </c>
      <c r="C459" s="5">
        <f>'[3]M.C UNPIV'!D460</f>
        <v>0</v>
      </c>
      <c r="D459" s="5">
        <f>'[3]M.C UNPIV'!E460</f>
        <v>0</v>
      </c>
      <c r="E459" s="5">
        <f>'[3]M.C UNPIV'!F460</f>
        <v>0</v>
      </c>
      <c r="F459" s="5">
        <f>'[3]M.C UNPIV'!G460</f>
        <v>0</v>
      </c>
      <c r="G459" s="6">
        <f>'[3]M.C UNPIV'!H460</f>
        <v>0</v>
      </c>
      <c r="H459" s="5">
        <f>'[3]M.C UNPIV'!I460</f>
        <v>0</v>
      </c>
      <c r="I459" s="7">
        <f>'[3]M.C UNPIV'!J460</f>
        <v>0</v>
      </c>
      <c r="J459" s="7">
        <f>'[3]M.C UNPIV'!K460</f>
        <v>0</v>
      </c>
      <c r="K459" s="7">
        <f>'[3]M.C UNPIV'!L460</f>
        <v>0</v>
      </c>
      <c r="L459" s="7">
        <f>'[3]M.C UNPIV'!M460</f>
        <v>0</v>
      </c>
      <c r="M459" s="6">
        <f>'[3]M.C UNPIV'!N460</f>
        <v>0</v>
      </c>
      <c r="N459" s="5">
        <f>'[3]M.C UNPIV'!O460</f>
        <v>0</v>
      </c>
      <c r="O459" s="5">
        <f>'[3]M.C UNPIV'!P460</f>
        <v>0</v>
      </c>
    </row>
    <row r="460" spans="1:15" x14ac:dyDescent="0.25">
      <c r="A460" s="4">
        <f>'[3]M.C UNPIV'!B461</f>
        <v>0</v>
      </c>
      <c r="B460" s="5">
        <f>'[3]M.C UNPIV'!C461</f>
        <v>0</v>
      </c>
      <c r="C460" s="5">
        <f>'[3]M.C UNPIV'!D461</f>
        <v>0</v>
      </c>
      <c r="D460" s="5">
        <f>'[3]M.C UNPIV'!E461</f>
        <v>0</v>
      </c>
      <c r="E460" s="5">
        <f>'[3]M.C UNPIV'!F461</f>
        <v>0</v>
      </c>
      <c r="F460" s="5">
        <f>'[3]M.C UNPIV'!G461</f>
        <v>0</v>
      </c>
      <c r="G460" s="6">
        <f>'[3]M.C UNPIV'!H461</f>
        <v>0</v>
      </c>
      <c r="H460" s="5">
        <f>'[3]M.C UNPIV'!I461</f>
        <v>0</v>
      </c>
      <c r="I460" s="7">
        <f>'[3]M.C UNPIV'!J461</f>
        <v>0</v>
      </c>
      <c r="J460" s="7">
        <f>'[3]M.C UNPIV'!K461</f>
        <v>0</v>
      </c>
      <c r="K460" s="7">
        <f>'[3]M.C UNPIV'!L461</f>
        <v>0</v>
      </c>
      <c r="L460" s="7">
        <f>'[3]M.C UNPIV'!M461</f>
        <v>0</v>
      </c>
      <c r="M460" s="6">
        <f>'[3]M.C UNPIV'!N461</f>
        <v>0</v>
      </c>
      <c r="N460" s="5">
        <f>'[3]M.C UNPIV'!O461</f>
        <v>0</v>
      </c>
      <c r="O460" s="5">
        <f>'[3]M.C UNPIV'!P461</f>
        <v>0</v>
      </c>
    </row>
    <row r="461" spans="1:15" x14ac:dyDescent="0.25">
      <c r="A461" s="4">
        <f>'[3]M.C UNPIV'!B462</f>
        <v>0</v>
      </c>
      <c r="B461" s="5">
        <f>'[3]M.C UNPIV'!C462</f>
        <v>0</v>
      </c>
      <c r="C461" s="5">
        <f>'[3]M.C UNPIV'!D462</f>
        <v>0</v>
      </c>
      <c r="D461" s="5">
        <f>'[3]M.C UNPIV'!E462</f>
        <v>0</v>
      </c>
      <c r="E461" s="5">
        <f>'[3]M.C UNPIV'!F462</f>
        <v>0</v>
      </c>
      <c r="F461" s="5">
        <f>'[3]M.C UNPIV'!G462</f>
        <v>0</v>
      </c>
      <c r="G461" s="6">
        <f>'[3]M.C UNPIV'!H462</f>
        <v>0</v>
      </c>
      <c r="H461" s="5">
        <f>'[3]M.C UNPIV'!I462</f>
        <v>0</v>
      </c>
      <c r="I461" s="7">
        <f>'[3]M.C UNPIV'!J462</f>
        <v>0</v>
      </c>
      <c r="J461" s="7">
        <f>'[3]M.C UNPIV'!K462</f>
        <v>0</v>
      </c>
      <c r="K461" s="7">
        <f>'[3]M.C UNPIV'!L462</f>
        <v>0</v>
      </c>
      <c r="L461" s="7">
        <f>'[3]M.C UNPIV'!M462</f>
        <v>0</v>
      </c>
      <c r="M461" s="6">
        <f>'[3]M.C UNPIV'!N462</f>
        <v>0</v>
      </c>
      <c r="N461" s="5">
        <f>'[3]M.C UNPIV'!O462</f>
        <v>0</v>
      </c>
      <c r="O461" s="5">
        <f>'[3]M.C UNPIV'!P462</f>
        <v>0</v>
      </c>
    </row>
    <row r="462" spans="1:15" x14ac:dyDescent="0.25">
      <c r="A462" s="4">
        <f>'[3]M.C UNPIV'!B463</f>
        <v>0</v>
      </c>
      <c r="B462" s="5">
        <f>'[3]M.C UNPIV'!C463</f>
        <v>0</v>
      </c>
      <c r="C462" s="5">
        <f>'[3]M.C UNPIV'!D463</f>
        <v>0</v>
      </c>
      <c r="D462" s="5">
        <f>'[3]M.C UNPIV'!E463</f>
        <v>0</v>
      </c>
      <c r="E462" s="5">
        <f>'[3]M.C UNPIV'!F463</f>
        <v>0</v>
      </c>
      <c r="F462" s="5">
        <f>'[3]M.C UNPIV'!G463</f>
        <v>0</v>
      </c>
      <c r="G462" s="6">
        <f>'[3]M.C UNPIV'!H463</f>
        <v>0</v>
      </c>
      <c r="H462" s="5">
        <f>'[3]M.C UNPIV'!I463</f>
        <v>0</v>
      </c>
      <c r="I462" s="7">
        <f>'[3]M.C UNPIV'!J463</f>
        <v>0</v>
      </c>
      <c r="J462" s="7">
        <f>'[3]M.C UNPIV'!K463</f>
        <v>0</v>
      </c>
      <c r="K462" s="7">
        <f>'[3]M.C UNPIV'!L463</f>
        <v>0</v>
      </c>
      <c r="L462" s="7">
        <f>'[3]M.C UNPIV'!M463</f>
        <v>0</v>
      </c>
      <c r="M462" s="6">
        <f>'[3]M.C UNPIV'!N463</f>
        <v>0</v>
      </c>
      <c r="N462" s="5">
        <f>'[3]M.C UNPIV'!O463</f>
        <v>0</v>
      </c>
      <c r="O462" s="5">
        <f>'[3]M.C UNPIV'!P463</f>
        <v>0</v>
      </c>
    </row>
    <row r="463" spans="1:15" x14ac:dyDescent="0.25">
      <c r="A463" s="4">
        <f>'[3]M.C UNPIV'!B464</f>
        <v>0</v>
      </c>
      <c r="B463" s="5">
        <f>'[3]M.C UNPIV'!C464</f>
        <v>0</v>
      </c>
      <c r="C463" s="5">
        <f>'[3]M.C UNPIV'!D464</f>
        <v>0</v>
      </c>
      <c r="D463" s="5">
        <f>'[3]M.C UNPIV'!E464</f>
        <v>0</v>
      </c>
      <c r="E463" s="5">
        <f>'[3]M.C UNPIV'!F464</f>
        <v>0</v>
      </c>
      <c r="F463" s="5">
        <f>'[3]M.C UNPIV'!G464</f>
        <v>0</v>
      </c>
      <c r="G463" s="6">
        <f>'[3]M.C UNPIV'!H464</f>
        <v>0</v>
      </c>
      <c r="H463" s="5">
        <f>'[3]M.C UNPIV'!I464</f>
        <v>0</v>
      </c>
      <c r="I463" s="7">
        <f>'[3]M.C UNPIV'!J464</f>
        <v>0</v>
      </c>
      <c r="J463" s="7">
        <f>'[3]M.C UNPIV'!K464</f>
        <v>0</v>
      </c>
      <c r="K463" s="7">
        <f>'[3]M.C UNPIV'!L464</f>
        <v>0</v>
      </c>
      <c r="L463" s="7">
        <f>'[3]M.C UNPIV'!M464</f>
        <v>0</v>
      </c>
      <c r="M463" s="6">
        <f>'[3]M.C UNPIV'!N464</f>
        <v>0</v>
      </c>
      <c r="N463" s="5">
        <f>'[3]M.C UNPIV'!O464</f>
        <v>0</v>
      </c>
      <c r="O463" s="5">
        <f>'[3]M.C UNPIV'!P464</f>
        <v>0</v>
      </c>
    </row>
    <row r="464" spans="1:15" x14ac:dyDescent="0.25">
      <c r="A464" s="4">
        <f>'[3]M.C UNPIV'!B465</f>
        <v>0</v>
      </c>
      <c r="B464" s="5">
        <f>'[3]M.C UNPIV'!C465</f>
        <v>0</v>
      </c>
      <c r="C464" s="5">
        <f>'[3]M.C UNPIV'!D465</f>
        <v>0</v>
      </c>
      <c r="D464" s="5">
        <f>'[3]M.C UNPIV'!E465</f>
        <v>0</v>
      </c>
      <c r="E464" s="5">
        <f>'[3]M.C UNPIV'!F465</f>
        <v>0</v>
      </c>
      <c r="F464" s="5">
        <f>'[3]M.C UNPIV'!G465</f>
        <v>0</v>
      </c>
      <c r="G464" s="6">
        <f>'[3]M.C UNPIV'!H465</f>
        <v>0</v>
      </c>
      <c r="H464" s="5">
        <f>'[3]M.C UNPIV'!I465</f>
        <v>0</v>
      </c>
      <c r="I464" s="7">
        <f>'[3]M.C UNPIV'!J465</f>
        <v>0</v>
      </c>
      <c r="J464" s="7">
        <f>'[3]M.C UNPIV'!K465</f>
        <v>0</v>
      </c>
      <c r="K464" s="7">
        <f>'[3]M.C UNPIV'!L465</f>
        <v>0</v>
      </c>
      <c r="L464" s="7">
        <f>'[3]M.C UNPIV'!M465</f>
        <v>0</v>
      </c>
      <c r="M464" s="6">
        <f>'[3]M.C UNPIV'!N465</f>
        <v>0</v>
      </c>
      <c r="N464" s="5">
        <f>'[3]M.C UNPIV'!O465</f>
        <v>0</v>
      </c>
      <c r="O464" s="5">
        <f>'[3]M.C UNPIV'!P465</f>
        <v>0</v>
      </c>
    </row>
    <row r="465" spans="1:15" x14ac:dyDescent="0.25">
      <c r="A465" s="4">
        <f>'[3]M.C UNPIV'!B466</f>
        <v>0</v>
      </c>
      <c r="B465" s="5">
        <f>'[3]M.C UNPIV'!C466</f>
        <v>0</v>
      </c>
      <c r="C465" s="5">
        <f>'[3]M.C UNPIV'!D466</f>
        <v>0</v>
      </c>
      <c r="D465" s="5">
        <f>'[3]M.C UNPIV'!E466</f>
        <v>0</v>
      </c>
      <c r="E465" s="5">
        <f>'[3]M.C UNPIV'!F466</f>
        <v>0</v>
      </c>
      <c r="F465" s="5">
        <f>'[3]M.C UNPIV'!G466</f>
        <v>0</v>
      </c>
      <c r="G465" s="6">
        <f>'[3]M.C UNPIV'!H466</f>
        <v>0</v>
      </c>
      <c r="H465" s="5">
        <f>'[3]M.C UNPIV'!I466</f>
        <v>0</v>
      </c>
      <c r="I465" s="7">
        <f>'[3]M.C UNPIV'!J466</f>
        <v>0</v>
      </c>
      <c r="J465" s="7">
        <f>'[3]M.C UNPIV'!K466</f>
        <v>0</v>
      </c>
      <c r="K465" s="7">
        <f>'[3]M.C UNPIV'!L466</f>
        <v>0</v>
      </c>
      <c r="L465" s="7">
        <f>'[3]M.C UNPIV'!M466</f>
        <v>0</v>
      </c>
      <c r="M465" s="6">
        <f>'[3]M.C UNPIV'!N466</f>
        <v>0</v>
      </c>
      <c r="N465" s="5">
        <f>'[3]M.C UNPIV'!O466</f>
        <v>0</v>
      </c>
      <c r="O465" s="5">
        <f>'[3]M.C UNPIV'!P466</f>
        <v>0</v>
      </c>
    </row>
    <row r="466" spans="1:15" x14ac:dyDescent="0.25">
      <c r="A466" s="4">
        <f>'[3]M.C UNPIV'!B467</f>
        <v>0</v>
      </c>
      <c r="B466" s="5">
        <f>'[3]M.C UNPIV'!C467</f>
        <v>0</v>
      </c>
      <c r="C466" s="5">
        <f>'[3]M.C UNPIV'!D467</f>
        <v>0</v>
      </c>
      <c r="D466" s="5">
        <f>'[3]M.C UNPIV'!E467</f>
        <v>0</v>
      </c>
      <c r="E466" s="5">
        <f>'[3]M.C UNPIV'!F467</f>
        <v>0</v>
      </c>
      <c r="F466" s="5">
        <f>'[3]M.C UNPIV'!G467</f>
        <v>0</v>
      </c>
      <c r="G466" s="6">
        <f>'[3]M.C UNPIV'!H467</f>
        <v>0</v>
      </c>
      <c r="H466" s="5">
        <f>'[3]M.C UNPIV'!I467</f>
        <v>0</v>
      </c>
      <c r="I466" s="7">
        <f>'[3]M.C UNPIV'!J467</f>
        <v>0</v>
      </c>
      <c r="J466" s="7">
        <f>'[3]M.C UNPIV'!K467</f>
        <v>0</v>
      </c>
      <c r="K466" s="7">
        <f>'[3]M.C UNPIV'!L467</f>
        <v>0</v>
      </c>
      <c r="L466" s="7">
        <f>'[3]M.C UNPIV'!M467</f>
        <v>0</v>
      </c>
      <c r="M466" s="6">
        <f>'[3]M.C UNPIV'!N467</f>
        <v>0</v>
      </c>
      <c r="N466" s="5">
        <f>'[3]M.C UNPIV'!O467</f>
        <v>0</v>
      </c>
      <c r="O466" s="5">
        <f>'[3]M.C UNPIV'!P467</f>
        <v>0</v>
      </c>
    </row>
    <row r="467" spans="1:15" x14ac:dyDescent="0.25">
      <c r="A467" s="4">
        <f>'[3]M.C UNPIV'!B468</f>
        <v>0</v>
      </c>
      <c r="B467" s="5">
        <f>'[3]M.C UNPIV'!C468</f>
        <v>0</v>
      </c>
      <c r="C467" s="5">
        <f>'[3]M.C UNPIV'!D468</f>
        <v>0</v>
      </c>
      <c r="D467" s="5">
        <f>'[3]M.C UNPIV'!E468</f>
        <v>0</v>
      </c>
      <c r="E467" s="5">
        <f>'[3]M.C UNPIV'!F468</f>
        <v>0</v>
      </c>
      <c r="F467" s="5">
        <f>'[3]M.C UNPIV'!G468</f>
        <v>0</v>
      </c>
      <c r="G467" s="6">
        <f>'[3]M.C UNPIV'!H468</f>
        <v>0</v>
      </c>
      <c r="H467" s="5">
        <f>'[3]M.C UNPIV'!I468</f>
        <v>0</v>
      </c>
      <c r="I467" s="7">
        <f>'[3]M.C UNPIV'!J468</f>
        <v>0</v>
      </c>
      <c r="J467" s="7">
        <f>'[3]M.C UNPIV'!K468</f>
        <v>0</v>
      </c>
      <c r="K467" s="7">
        <f>'[3]M.C UNPIV'!L468</f>
        <v>0</v>
      </c>
      <c r="L467" s="7">
        <f>'[3]M.C UNPIV'!M468</f>
        <v>0</v>
      </c>
      <c r="M467" s="6">
        <f>'[3]M.C UNPIV'!N468</f>
        <v>0</v>
      </c>
      <c r="N467" s="5">
        <f>'[3]M.C UNPIV'!O468</f>
        <v>0</v>
      </c>
      <c r="O467" s="5">
        <f>'[3]M.C UNPIV'!P468</f>
        <v>0</v>
      </c>
    </row>
    <row r="468" spans="1:15" x14ac:dyDescent="0.25">
      <c r="A468" s="4">
        <f>'[3]M.C UNPIV'!B469</f>
        <v>0</v>
      </c>
      <c r="B468" s="5">
        <f>'[3]M.C UNPIV'!C469</f>
        <v>0</v>
      </c>
      <c r="C468" s="5">
        <f>'[3]M.C UNPIV'!D469</f>
        <v>0</v>
      </c>
      <c r="D468" s="5">
        <f>'[3]M.C UNPIV'!E469</f>
        <v>0</v>
      </c>
      <c r="E468" s="5">
        <f>'[3]M.C UNPIV'!F469</f>
        <v>0</v>
      </c>
      <c r="F468" s="5">
        <f>'[3]M.C UNPIV'!G469</f>
        <v>0</v>
      </c>
      <c r="G468" s="6">
        <f>'[3]M.C UNPIV'!H469</f>
        <v>0</v>
      </c>
      <c r="H468" s="5">
        <f>'[3]M.C UNPIV'!I469</f>
        <v>0</v>
      </c>
      <c r="I468" s="7">
        <f>'[3]M.C UNPIV'!J469</f>
        <v>0</v>
      </c>
      <c r="J468" s="7">
        <f>'[3]M.C UNPIV'!K469</f>
        <v>0</v>
      </c>
      <c r="K468" s="7">
        <f>'[3]M.C UNPIV'!L469</f>
        <v>0</v>
      </c>
      <c r="L468" s="7">
        <f>'[3]M.C UNPIV'!M469</f>
        <v>0</v>
      </c>
      <c r="M468" s="6">
        <f>'[3]M.C UNPIV'!N469</f>
        <v>0</v>
      </c>
      <c r="N468" s="5">
        <f>'[3]M.C UNPIV'!O469</f>
        <v>0</v>
      </c>
      <c r="O468" s="5">
        <f>'[3]M.C UNPIV'!P469</f>
        <v>0</v>
      </c>
    </row>
    <row r="469" spans="1:15" x14ac:dyDescent="0.25">
      <c r="A469" s="4">
        <f>'[3]M.C UNPIV'!B470</f>
        <v>0</v>
      </c>
      <c r="B469" s="5">
        <f>'[3]M.C UNPIV'!C470</f>
        <v>0</v>
      </c>
      <c r="C469" s="5">
        <f>'[3]M.C UNPIV'!D470</f>
        <v>0</v>
      </c>
      <c r="D469" s="5">
        <f>'[3]M.C UNPIV'!E470</f>
        <v>0</v>
      </c>
      <c r="E469" s="5">
        <f>'[3]M.C UNPIV'!F470</f>
        <v>0</v>
      </c>
      <c r="F469" s="5">
        <f>'[3]M.C UNPIV'!G470</f>
        <v>0</v>
      </c>
      <c r="G469" s="6">
        <f>'[3]M.C UNPIV'!H470</f>
        <v>0</v>
      </c>
      <c r="H469" s="5">
        <f>'[3]M.C UNPIV'!I470</f>
        <v>0</v>
      </c>
      <c r="I469" s="7">
        <f>'[3]M.C UNPIV'!J470</f>
        <v>0</v>
      </c>
      <c r="J469" s="7">
        <f>'[3]M.C UNPIV'!K470</f>
        <v>0</v>
      </c>
      <c r="K469" s="7">
        <f>'[3]M.C UNPIV'!L470</f>
        <v>0</v>
      </c>
      <c r="L469" s="7">
        <f>'[3]M.C UNPIV'!M470</f>
        <v>0</v>
      </c>
      <c r="M469" s="6">
        <f>'[3]M.C UNPIV'!N470</f>
        <v>0</v>
      </c>
      <c r="N469" s="5">
        <f>'[3]M.C UNPIV'!O470</f>
        <v>0</v>
      </c>
      <c r="O469" s="5">
        <f>'[3]M.C UNPIV'!P470</f>
        <v>0</v>
      </c>
    </row>
    <row r="470" spans="1:15" x14ac:dyDescent="0.25">
      <c r="A470" s="4">
        <f>'[3]M.C UNPIV'!B471</f>
        <v>0</v>
      </c>
      <c r="B470" s="5">
        <f>'[3]M.C UNPIV'!C471</f>
        <v>0</v>
      </c>
      <c r="C470" s="5">
        <f>'[3]M.C UNPIV'!D471</f>
        <v>0</v>
      </c>
      <c r="D470" s="5">
        <f>'[3]M.C UNPIV'!E471</f>
        <v>0</v>
      </c>
      <c r="E470" s="5">
        <f>'[3]M.C UNPIV'!F471</f>
        <v>0</v>
      </c>
      <c r="F470" s="5">
        <f>'[3]M.C UNPIV'!G471</f>
        <v>0</v>
      </c>
      <c r="G470" s="6">
        <f>'[3]M.C UNPIV'!H471</f>
        <v>0</v>
      </c>
      <c r="H470" s="5">
        <f>'[3]M.C UNPIV'!I471</f>
        <v>0</v>
      </c>
      <c r="I470" s="7">
        <f>'[3]M.C UNPIV'!J471</f>
        <v>0</v>
      </c>
      <c r="J470" s="7">
        <f>'[3]M.C UNPIV'!K471</f>
        <v>0</v>
      </c>
      <c r="K470" s="7">
        <f>'[3]M.C UNPIV'!L471</f>
        <v>0</v>
      </c>
      <c r="L470" s="7">
        <f>'[3]M.C UNPIV'!M471</f>
        <v>0</v>
      </c>
      <c r="M470" s="6">
        <f>'[3]M.C UNPIV'!N471</f>
        <v>0</v>
      </c>
      <c r="N470" s="5">
        <f>'[3]M.C UNPIV'!O471</f>
        <v>0</v>
      </c>
      <c r="O470" s="5">
        <f>'[3]M.C UNPIV'!P471</f>
        <v>0</v>
      </c>
    </row>
    <row r="471" spans="1:15" x14ac:dyDescent="0.25">
      <c r="A471" s="4">
        <f>'[3]M.C UNPIV'!B472</f>
        <v>0</v>
      </c>
      <c r="B471" s="5">
        <f>'[3]M.C UNPIV'!C472</f>
        <v>0</v>
      </c>
      <c r="C471" s="5">
        <f>'[3]M.C UNPIV'!D472</f>
        <v>0</v>
      </c>
      <c r="D471" s="5">
        <f>'[3]M.C UNPIV'!E472</f>
        <v>0</v>
      </c>
      <c r="E471" s="5">
        <f>'[3]M.C UNPIV'!F472</f>
        <v>0</v>
      </c>
      <c r="F471" s="5">
        <f>'[3]M.C UNPIV'!G472</f>
        <v>0</v>
      </c>
      <c r="G471" s="6">
        <f>'[3]M.C UNPIV'!H472</f>
        <v>0</v>
      </c>
      <c r="H471" s="5">
        <f>'[3]M.C UNPIV'!I472</f>
        <v>0</v>
      </c>
      <c r="I471" s="7">
        <f>'[3]M.C UNPIV'!J472</f>
        <v>0</v>
      </c>
      <c r="J471" s="7">
        <f>'[3]M.C UNPIV'!K472</f>
        <v>0</v>
      </c>
      <c r="K471" s="7">
        <f>'[3]M.C UNPIV'!L472</f>
        <v>0</v>
      </c>
      <c r="L471" s="7">
        <f>'[3]M.C UNPIV'!M472</f>
        <v>0</v>
      </c>
      <c r="M471" s="6">
        <f>'[3]M.C UNPIV'!N472</f>
        <v>0</v>
      </c>
      <c r="N471" s="5">
        <f>'[3]M.C UNPIV'!O472</f>
        <v>0</v>
      </c>
      <c r="O471" s="5">
        <f>'[3]M.C UNPIV'!P472</f>
        <v>0</v>
      </c>
    </row>
    <row r="472" spans="1:15" x14ac:dyDescent="0.25">
      <c r="A472" s="4">
        <f>'[3]M.C UNPIV'!B473</f>
        <v>0</v>
      </c>
      <c r="B472" s="5">
        <f>'[3]M.C UNPIV'!C473</f>
        <v>0</v>
      </c>
      <c r="C472" s="5">
        <f>'[3]M.C UNPIV'!D473</f>
        <v>0</v>
      </c>
      <c r="D472" s="5">
        <f>'[3]M.C UNPIV'!E473</f>
        <v>0</v>
      </c>
      <c r="E472" s="5">
        <f>'[3]M.C UNPIV'!F473</f>
        <v>0</v>
      </c>
      <c r="F472" s="5">
        <f>'[3]M.C UNPIV'!G473</f>
        <v>0</v>
      </c>
      <c r="G472" s="6">
        <f>'[3]M.C UNPIV'!H473</f>
        <v>0</v>
      </c>
      <c r="H472" s="5">
        <f>'[3]M.C UNPIV'!I473</f>
        <v>0</v>
      </c>
      <c r="I472" s="7">
        <f>'[3]M.C UNPIV'!J473</f>
        <v>0</v>
      </c>
      <c r="J472" s="7">
        <f>'[3]M.C UNPIV'!K473</f>
        <v>0</v>
      </c>
      <c r="K472" s="7">
        <f>'[3]M.C UNPIV'!L473</f>
        <v>0</v>
      </c>
      <c r="L472" s="7">
        <f>'[3]M.C UNPIV'!M473</f>
        <v>0</v>
      </c>
      <c r="M472" s="6">
        <f>'[3]M.C UNPIV'!N473</f>
        <v>0</v>
      </c>
      <c r="N472" s="5">
        <f>'[3]M.C UNPIV'!O473</f>
        <v>0</v>
      </c>
      <c r="O472" s="5">
        <f>'[3]M.C UNPIV'!P473</f>
        <v>0</v>
      </c>
    </row>
    <row r="473" spans="1:15" x14ac:dyDescent="0.25">
      <c r="A473" s="4">
        <f>'[3]M.C UNPIV'!B474</f>
        <v>0</v>
      </c>
      <c r="B473" s="5">
        <f>'[3]M.C UNPIV'!C474</f>
        <v>0</v>
      </c>
      <c r="C473" s="5">
        <f>'[3]M.C UNPIV'!D474</f>
        <v>0</v>
      </c>
      <c r="D473" s="5">
        <f>'[3]M.C UNPIV'!E474</f>
        <v>0</v>
      </c>
      <c r="E473" s="5">
        <f>'[3]M.C UNPIV'!F474</f>
        <v>0</v>
      </c>
      <c r="F473" s="5">
        <f>'[3]M.C UNPIV'!G474</f>
        <v>0</v>
      </c>
      <c r="G473" s="6">
        <f>'[3]M.C UNPIV'!H474</f>
        <v>0</v>
      </c>
      <c r="H473" s="5">
        <f>'[3]M.C UNPIV'!I474</f>
        <v>0</v>
      </c>
      <c r="I473" s="7">
        <f>'[3]M.C UNPIV'!J474</f>
        <v>0</v>
      </c>
      <c r="J473" s="7">
        <f>'[3]M.C UNPIV'!K474</f>
        <v>0</v>
      </c>
      <c r="K473" s="7">
        <f>'[3]M.C UNPIV'!L474</f>
        <v>0</v>
      </c>
      <c r="L473" s="7">
        <f>'[3]M.C UNPIV'!M474</f>
        <v>0</v>
      </c>
      <c r="M473" s="6">
        <f>'[3]M.C UNPIV'!N474</f>
        <v>0</v>
      </c>
      <c r="N473" s="5">
        <f>'[3]M.C UNPIV'!O474</f>
        <v>0</v>
      </c>
      <c r="O473" s="5">
        <f>'[3]M.C UNPIV'!P474</f>
        <v>0</v>
      </c>
    </row>
    <row r="474" spans="1:15" x14ac:dyDescent="0.25">
      <c r="A474" s="4">
        <f>'[3]M.C UNPIV'!B475</f>
        <v>0</v>
      </c>
      <c r="B474" s="5">
        <f>'[3]M.C UNPIV'!C475</f>
        <v>0</v>
      </c>
      <c r="C474" s="5">
        <f>'[3]M.C UNPIV'!D475</f>
        <v>0</v>
      </c>
      <c r="D474" s="5">
        <f>'[3]M.C UNPIV'!E475</f>
        <v>0</v>
      </c>
      <c r="E474" s="5">
        <f>'[3]M.C UNPIV'!F475</f>
        <v>0</v>
      </c>
      <c r="F474" s="5">
        <f>'[3]M.C UNPIV'!G475</f>
        <v>0</v>
      </c>
      <c r="G474" s="6">
        <f>'[3]M.C UNPIV'!H475</f>
        <v>0</v>
      </c>
      <c r="H474" s="5">
        <f>'[3]M.C UNPIV'!I475</f>
        <v>0</v>
      </c>
      <c r="I474" s="7">
        <f>'[3]M.C UNPIV'!J475</f>
        <v>0</v>
      </c>
      <c r="J474" s="7">
        <f>'[3]M.C UNPIV'!K475</f>
        <v>0</v>
      </c>
      <c r="K474" s="7">
        <f>'[3]M.C UNPIV'!L475</f>
        <v>0</v>
      </c>
      <c r="L474" s="7">
        <f>'[3]M.C UNPIV'!M475</f>
        <v>0</v>
      </c>
      <c r="M474" s="6">
        <f>'[3]M.C UNPIV'!N475</f>
        <v>0</v>
      </c>
      <c r="N474" s="5">
        <f>'[3]M.C UNPIV'!O475</f>
        <v>0</v>
      </c>
      <c r="O474" s="5">
        <f>'[3]M.C UNPIV'!P475</f>
        <v>0</v>
      </c>
    </row>
    <row r="475" spans="1:15" x14ac:dyDescent="0.25">
      <c r="A475" s="4">
        <f>'[3]M.C UNPIV'!B476</f>
        <v>0</v>
      </c>
      <c r="B475" s="5">
        <f>'[3]M.C UNPIV'!C476</f>
        <v>0</v>
      </c>
      <c r="C475" s="5">
        <f>'[3]M.C UNPIV'!D476</f>
        <v>0</v>
      </c>
      <c r="D475" s="5">
        <f>'[3]M.C UNPIV'!E476</f>
        <v>0</v>
      </c>
      <c r="E475" s="5">
        <f>'[3]M.C UNPIV'!F476</f>
        <v>0</v>
      </c>
      <c r="F475" s="5">
        <f>'[3]M.C UNPIV'!G476</f>
        <v>0</v>
      </c>
      <c r="G475" s="6">
        <f>'[3]M.C UNPIV'!H476</f>
        <v>0</v>
      </c>
      <c r="H475" s="5">
        <f>'[3]M.C UNPIV'!I476</f>
        <v>0</v>
      </c>
      <c r="I475" s="7">
        <f>'[3]M.C UNPIV'!J476</f>
        <v>0</v>
      </c>
      <c r="J475" s="7">
        <f>'[3]M.C UNPIV'!K476</f>
        <v>0</v>
      </c>
      <c r="K475" s="7">
        <f>'[3]M.C UNPIV'!L476</f>
        <v>0</v>
      </c>
      <c r="L475" s="7">
        <f>'[3]M.C UNPIV'!M476</f>
        <v>0</v>
      </c>
      <c r="M475" s="6">
        <f>'[3]M.C UNPIV'!N476</f>
        <v>0</v>
      </c>
      <c r="N475" s="5">
        <f>'[3]M.C UNPIV'!O476</f>
        <v>0</v>
      </c>
      <c r="O475" s="5">
        <f>'[3]M.C UNPIV'!P476</f>
        <v>0</v>
      </c>
    </row>
    <row r="476" spans="1:15" x14ac:dyDescent="0.25">
      <c r="A476" s="4">
        <f>'[3]M.C UNPIV'!B477</f>
        <v>0</v>
      </c>
      <c r="B476" s="5">
        <f>'[3]M.C UNPIV'!C477</f>
        <v>0</v>
      </c>
      <c r="C476" s="5">
        <f>'[3]M.C UNPIV'!D477</f>
        <v>0</v>
      </c>
      <c r="D476" s="5">
        <f>'[3]M.C UNPIV'!E477</f>
        <v>0</v>
      </c>
      <c r="E476" s="5">
        <f>'[3]M.C UNPIV'!F477</f>
        <v>0</v>
      </c>
      <c r="F476" s="5">
        <f>'[3]M.C UNPIV'!G477</f>
        <v>0</v>
      </c>
      <c r="G476" s="6">
        <f>'[3]M.C UNPIV'!H477</f>
        <v>0</v>
      </c>
      <c r="H476" s="5">
        <f>'[3]M.C UNPIV'!I477</f>
        <v>0</v>
      </c>
      <c r="I476" s="7">
        <f>'[3]M.C UNPIV'!J477</f>
        <v>0</v>
      </c>
      <c r="J476" s="7">
        <f>'[3]M.C UNPIV'!K477</f>
        <v>0</v>
      </c>
      <c r="K476" s="7">
        <f>'[3]M.C UNPIV'!L477</f>
        <v>0</v>
      </c>
      <c r="L476" s="7">
        <f>'[3]M.C UNPIV'!M477</f>
        <v>0</v>
      </c>
      <c r="M476" s="6">
        <f>'[3]M.C UNPIV'!N477</f>
        <v>0</v>
      </c>
      <c r="N476" s="5">
        <f>'[3]M.C UNPIV'!O477</f>
        <v>0</v>
      </c>
      <c r="O476" s="5">
        <f>'[3]M.C UNPIV'!P477</f>
        <v>0</v>
      </c>
    </row>
    <row r="477" spans="1:15" x14ac:dyDescent="0.25">
      <c r="A477" s="4">
        <f>'[3]M.C UNPIV'!B478</f>
        <v>0</v>
      </c>
      <c r="B477" s="5">
        <f>'[3]M.C UNPIV'!C478</f>
        <v>0</v>
      </c>
      <c r="C477" s="5">
        <f>'[3]M.C UNPIV'!D478</f>
        <v>0</v>
      </c>
      <c r="D477" s="5">
        <f>'[3]M.C UNPIV'!E478</f>
        <v>0</v>
      </c>
      <c r="E477" s="5">
        <f>'[3]M.C UNPIV'!F478</f>
        <v>0</v>
      </c>
      <c r="F477" s="5">
        <f>'[3]M.C UNPIV'!G478</f>
        <v>0</v>
      </c>
      <c r="G477" s="6">
        <f>'[3]M.C UNPIV'!H478</f>
        <v>0</v>
      </c>
      <c r="H477" s="5">
        <f>'[3]M.C UNPIV'!I478</f>
        <v>0</v>
      </c>
      <c r="I477" s="7">
        <f>'[3]M.C UNPIV'!J478</f>
        <v>0</v>
      </c>
      <c r="J477" s="7">
        <f>'[3]M.C UNPIV'!K478</f>
        <v>0</v>
      </c>
      <c r="K477" s="7">
        <f>'[3]M.C UNPIV'!L478</f>
        <v>0</v>
      </c>
      <c r="L477" s="7">
        <f>'[3]M.C UNPIV'!M478</f>
        <v>0</v>
      </c>
      <c r="M477" s="6">
        <f>'[3]M.C UNPIV'!N478</f>
        <v>0</v>
      </c>
      <c r="N477" s="5">
        <f>'[3]M.C UNPIV'!O478</f>
        <v>0</v>
      </c>
      <c r="O477" s="5">
        <f>'[3]M.C UNPIV'!P478</f>
        <v>0</v>
      </c>
    </row>
    <row r="478" spans="1:15" x14ac:dyDescent="0.25">
      <c r="A478" s="4">
        <f>'[3]M.C UNPIV'!B479</f>
        <v>0</v>
      </c>
      <c r="B478" s="5">
        <f>'[3]M.C UNPIV'!C479</f>
        <v>0</v>
      </c>
      <c r="C478" s="5">
        <f>'[3]M.C UNPIV'!D479</f>
        <v>0</v>
      </c>
      <c r="D478" s="5">
        <f>'[3]M.C UNPIV'!E479</f>
        <v>0</v>
      </c>
      <c r="E478" s="5">
        <f>'[3]M.C UNPIV'!F479</f>
        <v>0</v>
      </c>
      <c r="F478" s="5">
        <f>'[3]M.C UNPIV'!G479</f>
        <v>0</v>
      </c>
      <c r="G478" s="6">
        <f>'[3]M.C UNPIV'!H479</f>
        <v>0</v>
      </c>
      <c r="H478" s="5">
        <f>'[3]M.C UNPIV'!I479</f>
        <v>0</v>
      </c>
      <c r="I478" s="7">
        <f>'[3]M.C UNPIV'!J479</f>
        <v>0</v>
      </c>
      <c r="J478" s="7">
        <f>'[3]M.C UNPIV'!K479</f>
        <v>0</v>
      </c>
      <c r="K478" s="7">
        <f>'[3]M.C UNPIV'!L479</f>
        <v>0</v>
      </c>
      <c r="L478" s="7">
        <f>'[3]M.C UNPIV'!M479</f>
        <v>0</v>
      </c>
      <c r="M478" s="6">
        <f>'[3]M.C UNPIV'!N479</f>
        <v>0</v>
      </c>
      <c r="N478" s="5">
        <f>'[3]M.C UNPIV'!O479</f>
        <v>0</v>
      </c>
      <c r="O478" s="5">
        <f>'[3]M.C UNPIV'!P479</f>
        <v>0</v>
      </c>
    </row>
    <row r="479" spans="1:15" x14ac:dyDescent="0.25">
      <c r="A479" s="4">
        <f>'[3]M.C UNPIV'!B480</f>
        <v>0</v>
      </c>
      <c r="B479" s="5">
        <f>'[3]M.C UNPIV'!C480</f>
        <v>0</v>
      </c>
      <c r="C479" s="5">
        <f>'[3]M.C UNPIV'!D480</f>
        <v>0</v>
      </c>
      <c r="D479" s="5">
        <f>'[3]M.C UNPIV'!E480</f>
        <v>0</v>
      </c>
      <c r="E479" s="5">
        <f>'[3]M.C UNPIV'!F480</f>
        <v>0</v>
      </c>
      <c r="F479" s="5">
        <f>'[3]M.C UNPIV'!G480</f>
        <v>0</v>
      </c>
      <c r="G479" s="6">
        <f>'[3]M.C UNPIV'!H480</f>
        <v>0</v>
      </c>
      <c r="H479" s="5">
        <f>'[3]M.C UNPIV'!I480</f>
        <v>0</v>
      </c>
      <c r="I479" s="7">
        <f>'[3]M.C UNPIV'!J480</f>
        <v>0</v>
      </c>
      <c r="J479" s="7">
        <f>'[3]M.C UNPIV'!K480</f>
        <v>0</v>
      </c>
      <c r="K479" s="7">
        <f>'[3]M.C UNPIV'!L480</f>
        <v>0</v>
      </c>
      <c r="L479" s="7">
        <f>'[3]M.C UNPIV'!M480</f>
        <v>0</v>
      </c>
      <c r="M479" s="6">
        <f>'[3]M.C UNPIV'!N480</f>
        <v>0</v>
      </c>
      <c r="N479" s="5">
        <f>'[3]M.C UNPIV'!O480</f>
        <v>0</v>
      </c>
      <c r="O479" s="5">
        <f>'[3]M.C UNPIV'!P480</f>
        <v>0</v>
      </c>
    </row>
    <row r="480" spans="1:15" x14ac:dyDescent="0.25">
      <c r="A480" s="4">
        <f>'[3]M.C UNPIV'!B481</f>
        <v>0</v>
      </c>
      <c r="B480" s="5">
        <f>'[3]M.C UNPIV'!C481</f>
        <v>0</v>
      </c>
      <c r="C480" s="5">
        <f>'[3]M.C UNPIV'!D481</f>
        <v>0</v>
      </c>
      <c r="D480" s="5">
        <f>'[3]M.C UNPIV'!E481</f>
        <v>0</v>
      </c>
      <c r="E480" s="5">
        <f>'[3]M.C UNPIV'!F481</f>
        <v>0</v>
      </c>
      <c r="F480" s="5">
        <f>'[3]M.C UNPIV'!G481</f>
        <v>0</v>
      </c>
      <c r="G480" s="6">
        <f>'[3]M.C UNPIV'!H481</f>
        <v>0</v>
      </c>
      <c r="H480" s="5">
        <f>'[3]M.C UNPIV'!I481</f>
        <v>0</v>
      </c>
      <c r="I480" s="7">
        <f>'[3]M.C UNPIV'!J481</f>
        <v>0</v>
      </c>
      <c r="J480" s="7">
        <f>'[3]M.C UNPIV'!K481</f>
        <v>0</v>
      </c>
      <c r="K480" s="7">
        <f>'[3]M.C UNPIV'!L481</f>
        <v>0</v>
      </c>
      <c r="L480" s="7">
        <f>'[3]M.C UNPIV'!M481</f>
        <v>0</v>
      </c>
      <c r="M480" s="6">
        <f>'[3]M.C UNPIV'!N481</f>
        <v>0</v>
      </c>
      <c r="N480" s="5">
        <f>'[3]M.C UNPIV'!O481</f>
        <v>0</v>
      </c>
      <c r="O480" s="5">
        <f>'[3]M.C UNPIV'!P481</f>
        <v>0</v>
      </c>
    </row>
    <row r="481" spans="1:15" x14ac:dyDescent="0.25">
      <c r="A481" s="4">
        <f>'[3]M.C UNPIV'!B482</f>
        <v>0</v>
      </c>
      <c r="B481" s="5">
        <f>'[3]M.C UNPIV'!C482</f>
        <v>0</v>
      </c>
      <c r="C481" s="5">
        <f>'[3]M.C UNPIV'!D482</f>
        <v>0</v>
      </c>
      <c r="D481" s="5">
        <f>'[3]M.C UNPIV'!E482</f>
        <v>0</v>
      </c>
      <c r="E481" s="5">
        <f>'[3]M.C UNPIV'!F482</f>
        <v>0</v>
      </c>
      <c r="F481" s="5">
        <f>'[3]M.C UNPIV'!G482</f>
        <v>0</v>
      </c>
      <c r="G481" s="6">
        <f>'[3]M.C UNPIV'!H482</f>
        <v>0</v>
      </c>
      <c r="H481" s="5">
        <f>'[3]M.C UNPIV'!I482</f>
        <v>0</v>
      </c>
      <c r="I481" s="7">
        <f>'[3]M.C UNPIV'!J482</f>
        <v>0</v>
      </c>
      <c r="J481" s="7">
        <f>'[3]M.C UNPIV'!K482</f>
        <v>0</v>
      </c>
      <c r="K481" s="7">
        <f>'[3]M.C UNPIV'!L482</f>
        <v>0</v>
      </c>
      <c r="L481" s="7">
        <f>'[3]M.C UNPIV'!M482</f>
        <v>0</v>
      </c>
      <c r="M481" s="6">
        <f>'[3]M.C UNPIV'!N482</f>
        <v>0</v>
      </c>
      <c r="N481" s="5">
        <f>'[3]M.C UNPIV'!O482</f>
        <v>0</v>
      </c>
      <c r="O481" s="5">
        <f>'[3]M.C UNPIV'!P482</f>
        <v>0</v>
      </c>
    </row>
    <row r="482" spans="1:15" x14ac:dyDescent="0.25">
      <c r="A482" s="4">
        <f>'[3]M.C UNPIV'!B483</f>
        <v>0</v>
      </c>
      <c r="B482" s="5">
        <f>'[3]M.C UNPIV'!C483</f>
        <v>0</v>
      </c>
      <c r="C482" s="5">
        <f>'[3]M.C UNPIV'!D483</f>
        <v>0</v>
      </c>
      <c r="D482" s="5">
        <f>'[3]M.C UNPIV'!E483</f>
        <v>0</v>
      </c>
      <c r="E482" s="5">
        <f>'[3]M.C UNPIV'!F483</f>
        <v>0</v>
      </c>
      <c r="F482" s="5">
        <f>'[3]M.C UNPIV'!G483</f>
        <v>0</v>
      </c>
      <c r="G482" s="6">
        <f>'[3]M.C UNPIV'!H483</f>
        <v>0</v>
      </c>
      <c r="H482" s="5">
        <f>'[3]M.C UNPIV'!I483</f>
        <v>0</v>
      </c>
      <c r="I482" s="7">
        <f>'[3]M.C UNPIV'!J483</f>
        <v>0</v>
      </c>
      <c r="J482" s="7">
        <f>'[3]M.C UNPIV'!K483</f>
        <v>0</v>
      </c>
      <c r="K482" s="7">
        <f>'[3]M.C UNPIV'!L483</f>
        <v>0</v>
      </c>
      <c r="L482" s="7">
        <f>'[3]M.C UNPIV'!M483</f>
        <v>0</v>
      </c>
      <c r="M482" s="6">
        <f>'[3]M.C UNPIV'!N483</f>
        <v>0</v>
      </c>
      <c r="N482" s="5">
        <f>'[3]M.C UNPIV'!O483</f>
        <v>0</v>
      </c>
      <c r="O482" s="5">
        <f>'[3]M.C UNPIV'!P483</f>
        <v>0</v>
      </c>
    </row>
    <row r="483" spans="1:15" x14ac:dyDescent="0.25">
      <c r="A483" s="4">
        <f>'[3]M.C UNPIV'!B484</f>
        <v>0</v>
      </c>
      <c r="B483" s="5">
        <f>'[3]M.C UNPIV'!C484</f>
        <v>0</v>
      </c>
      <c r="C483" s="5">
        <f>'[3]M.C UNPIV'!D484</f>
        <v>0</v>
      </c>
      <c r="D483" s="5">
        <f>'[3]M.C UNPIV'!E484</f>
        <v>0</v>
      </c>
      <c r="E483" s="5">
        <f>'[3]M.C UNPIV'!F484</f>
        <v>0</v>
      </c>
      <c r="F483" s="5">
        <f>'[3]M.C UNPIV'!G484</f>
        <v>0</v>
      </c>
      <c r="G483" s="6">
        <f>'[3]M.C UNPIV'!H484</f>
        <v>0</v>
      </c>
      <c r="H483" s="5">
        <f>'[3]M.C UNPIV'!I484</f>
        <v>0</v>
      </c>
      <c r="I483" s="7">
        <f>'[3]M.C UNPIV'!J484</f>
        <v>0</v>
      </c>
      <c r="J483" s="7">
        <f>'[3]M.C UNPIV'!K484</f>
        <v>0</v>
      </c>
      <c r="K483" s="7">
        <f>'[3]M.C UNPIV'!L484</f>
        <v>0</v>
      </c>
      <c r="L483" s="7">
        <f>'[3]M.C UNPIV'!M484</f>
        <v>0</v>
      </c>
      <c r="M483" s="6">
        <f>'[3]M.C UNPIV'!N484</f>
        <v>0</v>
      </c>
      <c r="N483" s="5">
        <f>'[3]M.C UNPIV'!O484</f>
        <v>0</v>
      </c>
      <c r="O483" s="5">
        <f>'[3]M.C UNPIV'!P484</f>
        <v>0</v>
      </c>
    </row>
    <row r="484" spans="1:15" x14ac:dyDescent="0.25">
      <c r="A484" s="4">
        <f>'[3]M.C UNPIV'!B485</f>
        <v>0</v>
      </c>
      <c r="B484" s="5">
        <f>'[3]M.C UNPIV'!C485</f>
        <v>0</v>
      </c>
      <c r="C484" s="5">
        <f>'[3]M.C UNPIV'!D485</f>
        <v>0</v>
      </c>
      <c r="D484" s="5">
        <f>'[3]M.C UNPIV'!E485</f>
        <v>0</v>
      </c>
      <c r="E484" s="5">
        <f>'[3]M.C UNPIV'!F485</f>
        <v>0</v>
      </c>
      <c r="F484" s="5">
        <f>'[3]M.C UNPIV'!G485</f>
        <v>0</v>
      </c>
      <c r="G484" s="6">
        <f>'[3]M.C UNPIV'!H485</f>
        <v>0</v>
      </c>
      <c r="H484" s="5">
        <f>'[3]M.C UNPIV'!I485</f>
        <v>0</v>
      </c>
      <c r="I484" s="7">
        <f>'[3]M.C UNPIV'!J485</f>
        <v>0</v>
      </c>
      <c r="J484" s="7">
        <f>'[3]M.C UNPIV'!K485</f>
        <v>0</v>
      </c>
      <c r="K484" s="7">
        <f>'[3]M.C UNPIV'!L485</f>
        <v>0</v>
      </c>
      <c r="L484" s="7">
        <f>'[3]M.C UNPIV'!M485</f>
        <v>0</v>
      </c>
      <c r="M484" s="6">
        <f>'[3]M.C UNPIV'!N485</f>
        <v>0</v>
      </c>
      <c r="N484" s="5">
        <f>'[3]M.C UNPIV'!O485</f>
        <v>0</v>
      </c>
      <c r="O484" s="5">
        <f>'[3]M.C UNPIV'!P485</f>
        <v>0</v>
      </c>
    </row>
    <row r="485" spans="1:15" x14ac:dyDescent="0.25">
      <c r="A485" s="4">
        <f>'[3]M.C UNPIV'!B486</f>
        <v>0</v>
      </c>
      <c r="B485" s="5">
        <f>'[3]M.C UNPIV'!C486</f>
        <v>0</v>
      </c>
      <c r="C485" s="5">
        <f>'[3]M.C UNPIV'!D486</f>
        <v>0</v>
      </c>
      <c r="D485" s="5">
        <f>'[3]M.C UNPIV'!E486</f>
        <v>0</v>
      </c>
      <c r="E485" s="5">
        <f>'[3]M.C UNPIV'!F486</f>
        <v>0</v>
      </c>
      <c r="F485" s="5">
        <f>'[3]M.C UNPIV'!G486</f>
        <v>0</v>
      </c>
      <c r="G485" s="6">
        <f>'[3]M.C UNPIV'!H486</f>
        <v>0</v>
      </c>
      <c r="H485" s="5">
        <f>'[3]M.C UNPIV'!I486</f>
        <v>0</v>
      </c>
      <c r="I485" s="7">
        <f>'[3]M.C UNPIV'!J486</f>
        <v>0</v>
      </c>
      <c r="J485" s="7">
        <f>'[3]M.C UNPIV'!K486</f>
        <v>0</v>
      </c>
      <c r="K485" s="7">
        <f>'[3]M.C UNPIV'!L486</f>
        <v>0</v>
      </c>
      <c r="L485" s="7">
        <f>'[3]M.C UNPIV'!M486</f>
        <v>0</v>
      </c>
      <c r="M485" s="6">
        <f>'[3]M.C UNPIV'!N486</f>
        <v>0</v>
      </c>
      <c r="N485" s="5">
        <f>'[3]M.C UNPIV'!O486</f>
        <v>0</v>
      </c>
      <c r="O485" s="5">
        <f>'[3]M.C UNPIV'!P486</f>
        <v>0</v>
      </c>
    </row>
    <row r="486" spans="1:15" x14ac:dyDescent="0.25">
      <c r="A486" s="4">
        <f>'[3]M.C UNPIV'!B487</f>
        <v>0</v>
      </c>
      <c r="B486" s="5">
        <f>'[3]M.C UNPIV'!C487</f>
        <v>0</v>
      </c>
      <c r="C486" s="5">
        <f>'[3]M.C UNPIV'!D487</f>
        <v>0</v>
      </c>
      <c r="D486" s="5">
        <f>'[3]M.C UNPIV'!E487</f>
        <v>0</v>
      </c>
      <c r="E486" s="5">
        <f>'[3]M.C UNPIV'!F487</f>
        <v>0</v>
      </c>
      <c r="F486" s="5">
        <f>'[3]M.C UNPIV'!G487</f>
        <v>0</v>
      </c>
      <c r="G486" s="6">
        <f>'[3]M.C UNPIV'!H487</f>
        <v>0</v>
      </c>
      <c r="H486" s="5">
        <f>'[3]M.C UNPIV'!I487</f>
        <v>0</v>
      </c>
      <c r="I486" s="7">
        <f>'[3]M.C UNPIV'!J487</f>
        <v>0</v>
      </c>
      <c r="J486" s="7">
        <f>'[3]M.C UNPIV'!K487</f>
        <v>0</v>
      </c>
      <c r="K486" s="7">
        <f>'[3]M.C UNPIV'!L487</f>
        <v>0</v>
      </c>
      <c r="L486" s="7">
        <f>'[3]M.C UNPIV'!M487</f>
        <v>0</v>
      </c>
      <c r="M486" s="6">
        <f>'[3]M.C UNPIV'!N487</f>
        <v>0</v>
      </c>
      <c r="N486" s="5">
        <f>'[3]M.C UNPIV'!O487</f>
        <v>0</v>
      </c>
      <c r="O486" s="5">
        <f>'[3]M.C UNPIV'!P487</f>
        <v>0</v>
      </c>
    </row>
    <row r="487" spans="1:15" x14ac:dyDescent="0.25">
      <c r="A487" s="4">
        <f>'[3]M.C UNPIV'!B488</f>
        <v>0</v>
      </c>
      <c r="B487" s="5">
        <f>'[3]M.C UNPIV'!C488</f>
        <v>0</v>
      </c>
      <c r="C487" s="5">
        <f>'[3]M.C UNPIV'!D488</f>
        <v>0</v>
      </c>
      <c r="D487" s="5">
        <f>'[3]M.C UNPIV'!E488</f>
        <v>0</v>
      </c>
      <c r="E487" s="5">
        <f>'[3]M.C UNPIV'!F488</f>
        <v>0</v>
      </c>
      <c r="F487" s="5">
        <f>'[3]M.C UNPIV'!G488</f>
        <v>0</v>
      </c>
      <c r="G487" s="6">
        <f>'[3]M.C UNPIV'!H488</f>
        <v>0</v>
      </c>
      <c r="H487" s="5">
        <f>'[3]M.C UNPIV'!I488</f>
        <v>0</v>
      </c>
      <c r="I487" s="7">
        <f>'[3]M.C UNPIV'!J488</f>
        <v>0</v>
      </c>
      <c r="J487" s="7">
        <f>'[3]M.C UNPIV'!K488</f>
        <v>0</v>
      </c>
      <c r="K487" s="7">
        <f>'[3]M.C UNPIV'!L488</f>
        <v>0</v>
      </c>
      <c r="L487" s="7">
        <f>'[3]M.C UNPIV'!M488</f>
        <v>0</v>
      </c>
      <c r="M487" s="6">
        <f>'[3]M.C UNPIV'!N488</f>
        <v>0</v>
      </c>
      <c r="N487" s="5">
        <f>'[3]M.C UNPIV'!O488</f>
        <v>0</v>
      </c>
      <c r="O487" s="5">
        <f>'[3]M.C UNPIV'!P488</f>
        <v>0</v>
      </c>
    </row>
    <row r="488" spans="1:15" x14ac:dyDescent="0.25">
      <c r="A488" s="4">
        <f>'[3]M.C UNPIV'!B489</f>
        <v>0</v>
      </c>
      <c r="B488" s="5">
        <f>'[3]M.C UNPIV'!C489</f>
        <v>0</v>
      </c>
      <c r="C488" s="5">
        <f>'[3]M.C UNPIV'!D489</f>
        <v>0</v>
      </c>
      <c r="D488" s="5">
        <f>'[3]M.C UNPIV'!E489</f>
        <v>0</v>
      </c>
      <c r="E488" s="5">
        <f>'[3]M.C UNPIV'!F489</f>
        <v>0</v>
      </c>
      <c r="F488" s="5">
        <f>'[3]M.C UNPIV'!G489</f>
        <v>0</v>
      </c>
      <c r="G488" s="6">
        <f>'[3]M.C UNPIV'!H489</f>
        <v>0</v>
      </c>
      <c r="H488" s="5">
        <f>'[3]M.C UNPIV'!I489</f>
        <v>0</v>
      </c>
      <c r="I488" s="7">
        <f>'[3]M.C UNPIV'!J489</f>
        <v>0</v>
      </c>
      <c r="J488" s="7">
        <f>'[3]M.C UNPIV'!K489</f>
        <v>0</v>
      </c>
      <c r="K488" s="7">
        <f>'[3]M.C UNPIV'!L489</f>
        <v>0</v>
      </c>
      <c r="L488" s="7">
        <f>'[3]M.C UNPIV'!M489</f>
        <v>0</v>
      </c>
      <c r="M488" s="6">
        <f>'[3]M.C UNPIV'!N489</f>
        <v>0</v>
      </c>
      <c r="N488" s="5">
        <f>'[3]M.C UNPIV'!O489</f>
        <v>0</v>
      </c>
      <c r="O488" s="5">
        <f>'[3]M.C UNPIV'!P489</f>
        <v>0</v>
      </c>
    </row>
    <row r="489" spans="1:15" x14ac:dyDescent="0.25">
      <c r="A489" s="4">
        <f>'[3]M.C UNPIV'!B490</f>
        <v>0</v>
      </c>
      <c r="B489" s="5">
        <f>'[3]M.C UNPIV'!C490</f>
        <v>0</v>
      </c>
      <c r="C489" s="5">
        <f>'[3]M.C UNPIV'!D490</f>
        <v>0</v>
      </c>
      <c r="D489" s="5">
        <f>'[3]M.C UNPIV'!E490</f>
        <v>0</v>
      </c>
      <c r="E489" s="5">
        <f>'[3]M.C UNPIV'!F490</f>
        <v>0</v>
      </c>
      <c r="F489" s="5">
        <f>'[3]M.C UNPIV'!G490</f>
        <v>0</v>
      </c>
      <c r="G489" s="6">
        <f>'[3]M.C UNPIV'!H490</f>
        <v>0</v>
      </c>
      <c r="H489" s="5">
        <f>'[3]M.C UNPIV'!I490</f>
        <v>0</v>
      </c>
      <c r="I489" s="7">
        <f>'[3]M.C UNPIV'!J490</f>
        <v>0</v>
      </c>
      <c r="J489" s="7">
        <f>'[3]M.C UNPIV'!K490</f>
        <v>0</v>
      </c>
      <c r="K489" s="7">
        <f>'[3]M.C UNPIV'!L490</f>
        <v>0</v>
      </c>
      <c r="L489" s="7">
        <f>'[3]M.C UNPIV'!M490</f>
        <v>0</v>
      </c>
      <c r="M489" s="6">
        <f>'[3]M.C UNPIV'!N490</f>
        <v>0</v>
      </c>
      <c r="N489" s="5">
        <f>'[3]M.C UNPIV'!O490</f>
        <v>0</v>
      </c>
      <c r="O489" s="5">
        <f>'[3]M.C UNPIV'!P490</f>
        <v>0</v>
      </c>
    </row>
    <row r="490" spans="1:15" x14ac:dyDescent="0.25">
      <c r="A490" s="4">
        <f>'[3]M.C UNPIV'!B491</f>
        <v>0</v>
      </c>
      <c r="B490" s="5">
        <f>'[3]M.C UNPIV'!C491</f>
        <v>0</v>
      </c>
      <c r="C490" s="5">
        <f>'[3]M.C UNPIV'!D491</f>
        <v>0</v>
      </c>
      <c r="D490" s="5">
        <f>'[3]M.C UNPIV'!E491</f>
        <v>0</v>
      </c>
      <c r="E490" s="5">
        <f>'[3]M.C UNPIV'!F491</f>
        <v>0</v>
      </c>
      <c r="F490" s="5">
        <f>'[3]M.C UNPIV'!G491</f>
        <v>0</v>
      </c>
      <c r="G490" s="6">
        <f>'[3]M.C UNPIV'!H491</f>
        <v>0</v>
      </c>
      <c r="H490" s="5">
        <f>'[3]M.C UNPIV'!I491</f>
        <v>0</v>
      </c>
      <c r="I490" s="7">
        <f>'[3]M.C UNPIV'!J491</f>
        <v>0</v>
      </c>
      <c r="J490" s="7">
        <f>'[3]M.C UNPIV'!K491</f>
        <v>0</v>
      </c>
      <c r="K490" s="7">
        <f>'[3]M.C UNPIV'!L491</f>
        <v>0</v>
      </c>
      <c r="L490" s="7">
        <f>'[3]M.C UNPIV'!M491</f>
        <v>0</v>
      </c>
      <c r="M490" s="6">
        <f>'[3]M.C UNPIV'!N491</f>
        <v>0</v>
      </c>
      <c r="N490" s="5">
        <f>'[3]M.C UNPIV'!O491</f>
        <v>0</v>
      </c>
      <c r="O490" s="5">
        <f>'[3]M.C UNPIV'!P491</f>
        <v>0</v>
      </c>
    </row>
    <row r="491" spans="1:15" x14ac:dyDescent="0.25">
      <c r="A491" s="4">
        <f>'[3]M.C UNPIV'!B492</f>
        <v>0</v>
      </c>
      <c r="B491" s="5">
        <f>'[3]M.C UNPIV'!C492</f>
        <v>0</v>
      </c>
      <c r="C491" s="5">
        <f>'[3]M.C UNPIV'!D492</f>
        <v>0</v>
      </c>
      <c r="D491" s="5">
        <f>'[3]M.C UNPIV'!E492</f>
        <v>0</v>
      </c>
      <c r="E491" s="5">
        <f>'[3]M.C UNPIV'!F492</f>
        <v>0</v>
      </c>
      <c r="F491" s="5">
        <f>'[3]M.C UNPIV'!G492</f>
        <v>0</v>
      </c>
      <c r="G491" s="6">
        <f>'[3]M.C UNPIV'!H492</f>
        <v>0</v>
      </c>
      <c r="H491" s="5">
        <f>'[3]M.C UNPIV'!I492</f>
        <v>0</v>
      </c>
      <c r="I491" s="7">
        <f>'[3]M.C UNPIV'!J492</f>
        <v>0</v>
      </c>
      <c r="J491" s="7">
        <f>'[3]M.C UNPIV'!K492</f>
        <v>0</v>
      </c>
      <c r="K491" s="7">
        <f>'[3]M.C UNPIV'!L492</f>
        <v>0</v>
      </c>
      <c r="L491" s="7">
        <f>'[3]M.C UNPIV'!M492</f>
        <v>0</v>
      </c>
      <c r="M491" s="6">
        <f>'[3]M.C UNPIV'!N492</f>
        <v>0</v>
      </c>
      <c r="N491" s="5">
        <f>'[3]M.C UNPIV'!O492</f>
        <v>0</v>
      </c>
      <c r="O491" s="5">
        <f>'[3]M.C UNPIV'!P492</f>
        <v>0</v>
      </c>
    </row>
    <row r="492" spans="1:15" x14ac:dyDescent="0.25">
      <c r="A492" s="4">
        <f>'[3]M.C UNPIV'!B493</f>
        <v>0</v>
      </c>
      <c r="B492" s="5">
        <f>'[3]M.C UNPIV'!C493</f>
        <v>0</v>
      </c>
      <c r="C492" s="5">
        <f>'[3]M.C UNPIV'!D493</f>
        <v>0</v>
      </c>
      <c r="D492" s="5">
        <f>'[3]M.C UNPIV'!E493</f>
        <v>0</v>
      </c>
      <c r="E492" s="5">
        <f>'[3]M.C UNPIV'!F493</f>
        <v>0</v>
      </c>
      <c r="F492" s="5">
        <f>'[3]M.C UNPIV'!G493</f>
        <v>0</v>
      </c>
      <c r="G492" s="6">
        <f>'[3]M.C UNPIV'!H493</f>
        <v>0</v>
      </c>
      <c r="H492" s="5">
        <f>'[3]M.C UNPIV'!I493</f>
        <v>0</v>
      </c>
      <c r="I492" s="7">
        <f>'[3]M.C UNPIV'!J493</f>
        <v>0</v>
      </c>
      <c r="J492" s="7">
        <f>'[3]M.C UNPIV'!K493</f>
        <v>0</v>
      </c>
      <c r="K492" s="7">
        <f>'[3]M.C UNPIV'!L493</f>
        <v>0</v>
      </c>
      <c r="L492" s="7">
        <f>'[3]M.C UNPIV'!M493</f>
        <v>0</v>
      </c>
      <c r="M492" s="6">
        <f>'[3]M.C UNPIV'!N493</f>
        <v>0</v>
      </c>
      <c r="N492" s="5">
        <f>'[3]M.C UNPIV'!O493</f>
        <v>0</v>
      </c>
      <c r="O492" s="5">
        <f>'[3]M.C UNPIV'!P493</f>
        <v>0</v>
      </c>
    </row>
    <row r="493" spans="1:15" x14ac:dyDescent="0.25">
      <c r="A493" s="4">
        <f>'[3]M.C UNPIV'!B494</f>
        <v>0</v>
      </c>
      <c r="B493" s="5">
        <f>'[3]M.C UNPIV'!C494</f>
        <v>0</v>
      </c>
      <c r="C493" s="5">
        <f>'[3]M.C UNPIV'!D494</f>
        <v>0</v>
      </c>
      <c r="D493" s="5">
        <f>'[3]M.C UNPIV'!E494</f>
        <v>0</v>
      </c>
      <c r="E493" s="5">
        <f>'[3]M.C UNPIV'!F494</f>
        <v>0</v>
      </c>
      <c r="F493" s="5">
        <f>'[3]M.C UNPIV'!G494</f>
        <v>0</v>
      </c>
      <c r="G493" s="6">
        <f>'[3]M.C UNPIV'!H494</f>
        <v>0</v>
      </c>
      <c r="H493" s="5">
        <f>'[3]M.C UNPIV'!I494</f>
        <v>0</v>
      </c>
      <c r="I493" s="7">
        <f>'[3]M.C UNPIV'!J494</f>
        <v>0</v>
      </c>
      <c r="J493" s="7">
        <f>'[3]M.C UNPIV'!K494</f>
        <v>0</v>
      </c>
      <c r="K493" s="7">
        <f>'[3]M.C UNPIV'!L494</f>
        <v>0</v>
      </c>
      <c r="L493" s="7">
        <f>'[3]M.C UNPIV'!M494</f>
        <v>0</v>
      </c>
      <c r="M493" s="6">
        <f>'[3]M.C UNPIV'!N494</f>
        <v>0</v>
      </c>
      <c r="N493" s="5">
        <f>'[3]M.C UNPIV'!O494</f>
        <v>0</v>
      </c>
      <c r="O493" s="5">
        <f>'[3]M.C UNPIV'!P494</f>
        <v>0</v>
      </c>
    </row>
    <row r="494" spans="1:15" x14ac:dyDescent="0.25">
      <c r="A494" s="4">
        <f>'[3]M.C UNPIV'!B495</f>
        <v>0</v>
      </c>
      <c r="B494" s="5">
        <f>'[3]M.C UNPIV'!C495</f>
        <v>0</v>
      </c>
      <c r="C494" s="5">
        <f>'[3]M.C UNPIV'!D495</f>
        <v>0</v>
      </c>
      <c r="D494" s="5">
        <f>'[3]M.C UNPIV'!E495</f>
        <v>0</v>
      </c>
      <c r="E494" s="5">
        <f>'[3]M.C UNPIV'!F495</f>
        <v>0</v>
      </c>
      <c r="F494" s="5">
        <f>'[3]M.C UNPIV'!G495</f>
        <v>0</v>
      </c>
      <c r="G494" s="6">
        <f>'[3]M.C UNPIV'!H495</f>
        <v>0</v>
      </c>
      <c r="H494" s="5">
        <f>'[3]M.C UNPIV'!I495</f>
        <v>0</v>
      </c>
      <c r="I494" s="7">
        <f>'[3]M.C UNPIV'!J495</f>
        <v>0</v>
      </c>
      <c r="J494" s="7">
        <f>'[3]M.C UNPIV'!K495</f>
        <v>0</v>
      </c>
      <c r="K494" s="7">
        <f>'[3]M.C UNPIV'!L495</f>
        <v>0</v>
      </c>
      <c r="L494" s="7">
        <f>'[3]M.C UNPIV'!M495</f>
        <v>0</v>
      </c>
      <c r="M494" s="6">
        <f>'[3]M.C UNPIV'!N495</f>
        <v>0</v>
      </c>
      <c r="N494" s="5">
        <f>'[3]M.C UNPIV'!O495</f>
        <v>0</v>
      </c>
      <c r="O494" s="5">
        <f>'[3]M.C UNPIV'!P495</f>
        <v>0</v>
      </c>
    </row>
    <row r="495" spans="1:15" x14ac:dyDescent="0.25">
      <c r="A495" s="4">
        <f>'[3]M.C UNPIV'!B496</f>
        <v>0</v>
      </c>
      <c r="B495" s="5">
        <f>'[3]M.C UNPIV'!C496</f>
        <v>0</v>
      </c>
      <c r="C495" s="5">
        <f>'[3]M.C UNPIV'!D496</f>
        <v>0</v>
      </c>
      <c r="D495" s="5">
        <f>'[3]M.C UNPIV'!E496</f>
        <v>0</v>
      </c>
      <c r="E495" s="5">
        <f>'[3]M.C UNPIV'!F496</f>
        <v>0</v>
      </c>
      <c r="F495" s="5">
        <f>'[3]M.C UNPIV'!G496</f>
        <v>0</v>
      </c>
      <c r="G495" s="6">
        <f>'[3]M.C UNPIV'!H496</f>
        <v>0</v>
      </c>
      <c r="H495" s="5">
        <f>'[3]M.C UNPIV'!I496</f>
        <v>0</v>
      </c>
      <c r="I495" s="7">
        <f>'[3]M.C UNPIV'!J496</f>
        <v>0</v>
      </c>
      <c r="J495" s="7">
        <f>'[3]M.C UNPIV'!K496</f>
        <v>0</v>
      </c>
      <c r="K495" s="7">
        <f>'[3]M.C UNPIV'!L496</f>
        <v>0</v>
      </c>
      <c r="L495" s="7">
        <f>'[3]M.C UNPIV'!M496</f>
        <v>0</v>
      </c>
      <c r="M495" s="6">
        <f>'[3]M.C UNPIV'!N496</f>
        <v>0</v>
      </c>
      <c r="N495" s="5">
        <f>'[3]M.C UNPIV'!O496</f>
        <v>0</v>
      </c>
      <c r="O495" s="5">
        <f>'[3]M.C UNPIV'!P496</f>
        <v>0</v>
      </c>
    </row>
    <row r="496" spans="1:15" x14ac:dyDescent="0.25">
      <c r="A496" s="4">
        <f>'[3]M.C UNPIV'!B497</f>
        <v>0</v>
      </c>
      <c r="B496" s="5">
        <f>'[3]M.C UNPIV'!C497</f>
        <v>0</v>
      </c>
      <c r="C496" s="5">
        <f>'[3]M.C UNPIV'!D497</f>
        <v>0</v>
      </c>
      <c r="D496" s="5">
        <f>'[3]M.C UNPIV'!E497</f>
        <v>0</v>
      </c>
      <c r="E496" s="5">
        <f>'[3]M.C UNPIV'!F497</f>
        <v>0</v>
      </c>
      <c r="F496" s="5">
        <f>'[3]M.C UNPIV'!G497</f>
        <v>0</v>
      </c>
      <c r="G496" s="6">
        <f>'[3]M.C UNPIV'!H497</f>
        <v>0</v>
      </c>
      <c r="H496" s="5">
        <f>'[3]M.C UNPIV'!I497</f>
        <v>0</v>
      </c>
      <c r="I496" s="7">
        <f>'[3]M.C UNPIV'!J497</f>
        <v>0</v>
      </c>
      <c r="J496" s="7">
        <f>'[3]M.C UNPIV'!K497</f>
        <v>0</v>
      </c>
      <c r="K496" s="7">
        <f>'[3]M.C UNPIV'!L497</f>
        <v>0</v>
      </c>
      <c r="L496" s="7">
        <f>'[3]M.C UNPIV'!M497</f>
        <v>0</v>
      </c>
      <c r="M496" s="6">
        <f>'[3]M.C UNPIV'!N497</f>
        <v>0</v>
      </c>
      <c r="N496" s="5">
        <f>'[3]M.C UNPIV'!O497</f>
        <v>0</v>
      </c>
      <c r="O496" s="5">
        <f>'[3]M.C UNPIV'!P497</f>
        <v>0</v>
      </c>
    </row>
    <row r="497" spans="1:15" x14ac:dyDescent="0.25">
      <c r="A497" s="4">
        <f>'[3]M.C UNPIV'!B498</f>
        <v>0</v>
      </c>
      <c r="B497" s="5">
        <f>'[3]M.C UNPIV'!C498</f>
        <v>0</v>
      </c>
      <c r="C497" s="5">
        <f>'[3]M.C UNPIV'!D498</f>
        <v>0</v>
      </c>
      <c r="D497" s="5">
        <f>'[3]M.C UNPIV'!E498</f>
        <v>0</v>
      </c>
      <c r="E497" s="5">
        <f>'[3]M.C UNPIV'!F498</f>
        <v>0</v>
      </c>
      <c r="F497" s="5">
        <f>'[3]M.C UNPIV'!G498</f>
        <v>0</v>
      </c>
      <c r="G497" s="6">
        <f>'[3]M.C UNPIV'!H498</f>
        <v>0</v>
      </c>
      <c r="H497" s="5">
        <f>'[3]M.C UNPIV'!I498</f>
        <v>0</v>
      </c>
      <c r="I497" s="7">
        <f>'[3]M.C UNPIV'!J498</f>
        <v>0</v>
      </c>
      <c r="J497" s="7">
        <f>'[3]M.C UNPIV'!K498</f>
        <v>0</v>
      </c>
      <c r="K497" s="7">
        <f>'[3]M.C UNPIV'!L498</f>
        <v>0</v>
      </c>
      <c r="L497" s="7">
        <f>'[3]M.C UNPIV'!M498</f>
        <v>0</v>
      </c>
      <c r="M497" s="6">
        <f>'[3]M.C UNPIV'!N498</f>
        <v>0</v>
      </c>
      <c r="N497" s="5">
        <f>'[3]M.C UNPIV'!O498</f>
        <v>0</v>
      </c>
      <c r="O497" s="5">
        <f>'[3]M.C UNPIV'!P498</f>
        <v>0</v>
      </c>
    </row>
    <row r="498" spans="1:15" x14ac:dyDescent="0.25">
      <c r="A498" s="4">
        <f>'[3]M.C UNPIV'!B499</f>
        <v>0</v>
      </c>
      <c r="B498" s="5">
        <f>'[3]M.C UNPIV'!C499</f>
        <v>0</v>
      </c>
      <c r="C498" s="5">
        <f>'[3]M.C UNPIV'!D499</f>
        <v>0</v>
      </c>
      <c r="D498" s="5">
        <f>'[3]M.C UNPIV'!E499</f>
        <v>0</v>
      </c>
      <c r="E498" s="5">
        <f>'[3]M.C UNPIV'!F499</f>
        <v>0</v>
      </c>
      <c r="F498" s="5">
        <f>'[3]M.C UNPIV'!G499</f>
        <v>0</v>
      </c>
      <c r="G498" s="6">
        <f>'[3]M.C UNPIV'!H499</f>
        <v>0</v>
      </c>
      <c r="H498" s="5">
        <f>'[3]M.C UNPIV'!I499</f>
        <v>0</v>
      </c>
      <c r="I498" s="7">
        <f>'[3]M.C UNPIV'!J499</f>
        <v>0</v>
      </c>
      <c r="J498" s="7">
        <f>'[3]M.C UNPIV'!K499</f>
        <v>0</v>
      </c>
      <c r="K498" s="7">
        <f>'[3]M.C UNPIV'!L499</f>
        <v>0</v>
      </c>
      <c r="L498" s="7">
        <f>'[3]M.C UNPIV'!M499</f>
        <v>0</v>
      </c>
      <c r="M498" s="6">
        <f>'[3]M.C UNPIV'!N499</f>
        <v>0</v>
      </c>
      <c r="N498" s="5">
        <f>'[3]M.C UNPIV'!O499</f>
        <v>0</v>
      </c>
      <c r="O498" s="5">
        <f>'[3]M.C UNPIV'!P499</f>
        <v>0</v>
      </c>
    </row>
    <row r="499" spans="1:15" x14ac:dyDescent="0.25">
      <c r="A499" s="4">
        <f>'[3]M.C UNPIV'!B500</f>
        <v>0</v>
      </c>
      <c r="B499" s="5">
        <f>'[3]M.C UNPIV'!C500</f>
        <v>0</v>
      </c>
      <c r="C499" s="5">
        <f>'[3]M.C UNPIV'!D500</f>
        <v>0</v>
      </c>
      <c r="D499" s="5">
        <f>'[3]M.C UNPIV'!E500</f>
        <v>0</v>
      </c>
      <c r="E499" s="5">
        <f>'[3]M.C UNPIV'!F500</f>
        <v>0</v>
      </c>
      <c r="F499" s="5">
        <f>'[3]M.C UNPIV'!G500</f>
        <v>0</v>
      </c>
      <c r="G499" s="6">
        <f>'[3]M.C UNPIV'!H500</f>
        <v>0</v>
      </c>
      <c r="H499" s="5">
        <f>'[3]M.C UNPIV'!I500</f>
        <v>0</v>
      </c>
      <c r="I499" s="7">
        <f>'[3]M.C UNPIV'!J500</f>
        <v>0</v>
      </c>
      <c r="J499" s="7">
        <f>'[3]M.C UNPIV'!K500</f>
        <v>0</v>
      </c>
      <c r="K499" s="7">
        <f>'[3]M.C UNPIV'!L500</f>
        <v>0</v>
      </c>
      <c r="L499" s="7">
        <f>'[3]M.C UNPIV'!M500</f>
        <v>0</v>
      </c>
      <c r="M499" s="6">
        <f>'[3]M.C UNPIV'!N500</f>
        <v>0</v>
      </c>
      <c r="N499" s="5">
        <f>'[3]M.C UNPIV'!O500</f>
        <v>0</v>
      </c>
      <c r="O499" s="5">
        <f>'[3]M.C UNPIV'!P500</f>
        <v>0</v>
      </c>
    </row>
    <row r="500" spans="1:15" x14ac:dyDescent="0.25">
      <c r="A500" s="4">
        <f>'[3]M.C UNPIV'!B501</f>
        <v>0</v>
      </c>
      <c r="B500" s="5">
        <f>'[3]M.C UNPIV'!C501</f>
        <v>0</v>
      </c>
      <c r="C500" s="5">
        <f>'[3]M.C UNPIV'!D501</f>
        <v>0</v>
      </c>
      <c r="D500" s="5">
        <f>'[3]M.C UNPIV'!E501</f>
        <v>0</v>
      </c>
      <c r="E500" s="5">
        <f>'[3]M.C UNPIV'!F501</f>
        <v>0</v>
      </c>
      <c r="F500" s="5">
        <f>'[3]M.C UNPIV'!G501</f>
        <v>0</v>
      </c>
      <c r="G500" s="6">
        <f>'[3]M.C UNPIV'!H501</f>
        <v>0</v>
      </c>
      <c r="H500" s="5">
        <f>'[3]M.C UNPIV'!I501</f>
        <v>0</v>
      </c>
      <c r="I500" s="7">
        <f>'[3]M.C UNPIV'!J501</f>
        <v>0</v>
      </c>
      <c r="J500" s="7">
        <f>'[3]M.C UNPIV'!K501</f>
        <v>0</v>
      </c>
      <c r="K500" s="7">
        <f>'[3]M.C UNPIV'!L501</f>
        <v>0</v>
      </c>
      <c r="L500" s="7">
        <f>'[3]M.C UNPIV'!M501</f>
        <v>0</v>
      </c>
      <c r="M500" s="6">
        <f>'[3]M.C UNPIV'!N501</f>
        <v>0</v>
      </c>
      <c r="N500" s="5">
        <f>'[3]M.C UNPIV'!O501</f>
        <v>0</v>
      </c>
      <c r="O500" s="5">
        <f>'[3]M.C UNPIV'!P501</f>
        <v>0</v>
      </c>
    </row>
    <row r="501" spans="1:15" x14ac:dyDescent="0.25">
      <c r="A501" s="4">
        <f>'[3]M.C UNPIV'!B502</f>
        <v>0</v>
      </c>
      <c r="B501" s="5">
        <f>'[3]M.C UNPIV'!C502</f>
        <v>0</v>
      </c>
      <c r="C501" s="5">
        <f>'[3]M.C UNPIV'!D502</f>
        <v>0</v>
      </c>
      <c r="D501" s="5">
        <f>'[3]M.C UNPIV'!E502</f>
        <v>0</v>
      </c>
      <c r="E501" s="5">
        <f>'[3]M.C UNPIV'!F502</f>
        <v>0</v>
      </c>
      <c r="F501" s="5">
        <f>'[3]M.C UNPIV'!G502</f>
        <v>0</v>
      </c>
      <c r="G501" s="6">
        <f>'[3]M.C UNPIV'!H502</f>
        <v>0</v>
      </c>
      <c r="H501" s="5">
        <f>'[3]M.C UNPIV'!I502</f>
        <v>0</v>
      </c>
      <c r="I501" s="7">
        <f>'[3]M.C UNPIV'!J502</f>
        <v>0</v>
      </c>
      <c r="J501" s="7">
        <f>'[3]M.C UNPIV'!K502</f>
        <v>0</v>
      </c>
      <c r="K501" s="7">
        <f>'[3]M.C UNPIV'!L502</f>
        <v>0</v>
      </c>
      <c r="L501" s="7">
        <f>'[3]M.C UNPIV'!M502</f>
        <v>0</v>
      </c>
      <c r="M501" s="6">
        <f>'[3]M.C UNPIV'!N502</f>
        <v>0</v>
      </c>
      <c r="N501" s="5">
        <f>'[3]M.C UNPIV'!O502</f>
        <v>0</v>
      </c>
      <c r="O501" s="5">
        <f>'[3]M.C UNPIV'!P502</f>
        <v>0</v>
      </c>
    </row>
    <row r="502" spans="1:15" x14ac:dyDescent="0.25">
      <c r="A502" s="4">
        <f>'[3]M.C UNPIV'!B503</f>
        <v>0</v>
      </c>
      <c r="B502" s="5">
        <f>'[3]M.C UNPIV'!C503</f>
        <v>0</v>
      </c>
      <c r="C502" s="5">
        <f>'[3]M.C UNPIV'!D503</f>
        <v>0</v>
      </c>
      <c r="D502" s="5">
        <f>'[3]M.C UNPIV'!E503</f>
        <v>0</v>
      </c>
      <c r="E502" s="5">
        <f>'[3]M.C UNPIV'!F503</f>
        <v>0</v>
      </c>
      <c r="F502" s="5">
        <f>'[3]M.C UNPIV'!G503</f>
        <v>0</v>
      </c>
      <c r="G502" s="6">
        <f>'[3]M.C UNPIV'!H503</f>
        <v>0</v>
      </c>
      <c r="H502" s="5">
        <f>'[3]M.C UNPIV'!I503</f>
        <v>0</v>
      </c>
      <c r="I502" s="7">
        <f>'[3]M.C UNPIV'!J503</f>
        <v>0</v>
      </c>
      <c r="J502" s="7">
        <f>'[3]M.C UNPIV'!K503</f>
        <v>0</v>
      </c>
      <c r="K502" s="7">
        <f>'[3]M.C UNPIV'!L503</f>
        <v>0</v>
      </c>
      <c r="L502" s="7">
        <f>'[3]M.C UNPIV'!M503</f>
        <v>0</v>
      </c>
      <c r="M502" s="6">
        <f>'[3]M.C UNPIV'!N503</f>
        <v>0</v>
      </c>
      <c r="N502" s="5">
        <f>'[3]M.C UNPIV'!O503</f>
        <v>0</v>
      </c>
      <c r="O502" s="5">
        <f>'[3]M.C UNPIV'!P503</f>
        <v>0</v>
      </c>
    </row>
    <row r="503" spans="1:15" x14ac:dyDescent="0.25">
      <c r="A503" s="4">
        <f>'[3]M.C UNPIV'!B504</f>
        <v>0</v>
      </c>
      <c r="B503" s="5">
        <f>'[3]M.C UNPIV'!C504</f>
        <v>0</v>
      </c>
      <c r="C503" s="5">
        <f>'[3]M.C UNPIV'!D504</f>
        <v>0</v>
      </c>
      <c r="D503" s="5">
        <f>'[3]M.C UNPIV'!E504</f>
        <v>0</v>
      </c>
      <c r="E503" s="5">
        <f>'[3]M.C UNPIV'!F504</f>
        <v>0</v>
      </c>
      <c r="F503" s="5">
        <f>'[3]M.C UNPIV'!G504</f>
        <v>0</v>
      </c>
      <c r="G503" s="6">
        <f>'[3]M.C UNPIV'!H504</f>
        <v>0</v>
      </c>
      <c r="H503" s="5">
        <f>'[3]M.C UNPIV'!I504</f>
        <v>0</v>
      </c>
      <c r="I503" s="7">
        <f>'[3]M.C UNPIV'!J504</f>
        <v>0</v>
      </c>
      <c r="J503" s="7">
        <f>'[3]M.C UNPIV'!K504</f>
        <v>0</v>
      </c>
      <c r="K503" s="7">
        <f>'[3]M.C UNPIV'!L504</f>
        <v>0</v>
      </c>
      <c r="L503" s="7">
        <f>'[3]M.C UNPIV'!M504</f>
        <v>0</v>
      </c>
      <c r="M503" s="6">
        <f>'[3]M.C UNPIV'!N504</f>
        <v>0</v>
      </c>
      <c r="N503" s="5">
        <f>'[3]M.C UNPIV'!O504</f>
        <v>0</v>
      </c>
      <c r="O503" s="5">
        <f>'[3]M.C UNPIV'!P504</f>
        <v>0</v>
      </c>
    </row>
    <row r="504" spans="1:15" x14ac:dyDescent="0.25">
      <c r="A504" s="4">
        <f>'[3]M.C UNPIV'!B505</f>
        <v>0</v>
      </c>
      <c r="B504" s="5">
        <f>'[3]M.C UNPIV'!C505</f>
        <v>0</v>
      </c>
      <c r="C504" s="5">
        <f>'[3]M.C UNPIV'!D505</f>
        <v>0</v>
      </c>
      <c r="D504" s="5">
        <f>'[3]M.C UNPIV'!E505</f>
        <v>0</v>
      </c>
      <c r="E504" s="5">
        <f>'[3]M.C UNPIV'!F505</f>
        <v>0</v>
      </c>
      <c r="F504" s="5">
        <f>'[3]M.C UNPIV'!G505</f>
        <v>0</v>
      </c>
      <c r="G504" s="6">
        <f>'[3]M.C UNPIV'!H505</f>
        <v>0</v>
      </c>
      <c r="H504" s="5">
        <f>'[3]M.C UNPIV'!I505</f>
        <v>0</v>
      </c>
      <c r="I504" s="7">
        <f>'[3]M.C UNPIV'!J505</f>
        <v>0</v>
      </c>
      <c r="J504" s="7">
        <f>'[3]M.C UNPIV'!K505</f>
        <v>0</v>
      </c>
      <c r="K504" s="7">
        <f>'[3]M.C UNPIV'!L505</f>
        <v>0</v>
      </c>
      <c r="L504" s="7">
        <f>'[3]M.C UNPIV'!M505</f>
        <v>0</v>
      </c>
      <c r="M504" s="6">
        <f>'[3]M.C UNPIV'!N505</f>
        <v>0</v>
      </c>
      <c r="N504" s="5">
        <f>'[3]M.C UNPIV'!O505</f>
        <v>0</v>
      </c>
      <c r="O504" s="5">
        <f>'[3]M.C UNPIV'!P505</f>
        <v>0</v>
      </c>
    </row>
    <row r="505" spans="1:15" x14ac:dyDescent="0.25">
      <c r="A505" s="4">
        <f>'[3]M.C UNPIV'!B506</f>
        <v>0</v>
      </c>
      <c r="B505" s="5">
        <f>'[3]M.C UNPIV'!C506</f>
        <v>0</v>
      </c>
      <c r="C505" s="5">
        <f>'[3]M.C UNPIV'!D506</f>
        <v>0</v>
      </c>
      <c r="D505" s="5">
        <f>'[3]M.C UNPIV'!E506</f>
        <v>0</v>
      </c>
      <c r="E505" s="5">
        <f>'[3]M.C UNPIV'!F506</f>
        <v>0</v>
      </c>
      <c r="F505" s="5">
        <f>'[3]M.C UNPIV'!G506</f>
        <v>0</v>
      </c>
      <c r="G505" s="6">
        <f>'[3]M.C UNPIV'!H506</f>
        <v>0</v>
      </c>
      <c r="H505" s="5">
        <f>'[3]M.C UNPIV'!I506</f>
        <v>0</v>
      </c>
      <c r="I505" s="7">
        <f>'[3]M.C UNPIV'!J506</f>
        <v>0</v>
      </c>
      <c r="J505" s="7">
        <f>'[3]M.C UNPIV'!K506</f>
        <v>0</v>
      </c>
      <c r="K505" s="7">
        <f>'[3]M.C UNPIV'!L506</f>
        <v>0</v>
      </c>
      <c r="L505" s="7">
        <f>'[3]M.C UNPIV'!M506</f>
        <v>0</v>
      </c>
      <c r="M505" s="6">
        <f>'[3]M.C UNPIV'!N506</f>
        <v>0</v>
      </c>
      <c r="N505" s="5">
        <f>'[3]M.C UNPIV'!O506</f>
        <v>0</v>
      </c>
      <c r="O505" s="5">
        <f>'[3]M.C UNPIV'!P506</f>
        <v>0</v>
      </c>
    </row>
    <row r="506" spans="1:15" x14ac:dyDescent="0.25">
      <c r="A506" s="4">
        <f>'[3]M.C UNPIV'!B507</f>
        <v>0</v>
      </c>
      <c r="B506" s="5">
        <f>'[3]M.C UNPIV'!C507</f>
        <v>0</v>
      </c>
      <c r="C506" s="5">
        <f>'[3]M.C UNPIV'!D507</f>
        <v>0</v>
      </c>
      <c r="D506" s="5">
        <f>'[3]M.C UNPIV'!E507</f>
        <v>0</v>
      </c>
      <c r="E506" s="5">
        <f>'[3]M.C UNPIV'!F507</f>
        <v>0</v>
      </c>
      <c r="F506" s="5">
        <f>'[3]M.C UNPIV'!G507</f>
        <v>0</v>
      </c>
      <c r="G506" s="6">
        <f>'[3]M.C UNPIV'!H507</f>
        <v>0</v>
      </c>
      <c r="H506" s="5">
        <f>'[3]M.C UNPIV'!I507</f>
        <v>0</v>
      </c>
      <c r="I506" s="7">
        <f>'[3]M.C UNPIV'!J507</f>
        <v>0</v>
      </c>
      <c r="J506" s="7">
        <f>'[3]M.C UNPIV'!K507</f>
        <v>0</v>
      </c>
      <c r="K506" s="7">
        <f>'[3]M.C UNPIV'!L507</f>
        <v>0</v>
      </c>
      <c r="L506" s="7">
        <f>'[3]M.C UNPIV'!M507</f>
        <v>0</v>
      </c>
      <c r="M506" s="6">
        <f>'[3]M.C UNPIV'!N507</f>
        <v>0</v>
      </c>
      <c r="N506" s="5">
        <f>'[3]M.C UNPIV'!O507</f>
        <v>0</v>
      </c>
      <c r="O506" s="5">
        <f>'[3]M.C UNPIV'!P507</f>
        <v>0</v>
      </c>
    </row>
    <row r="507" spans="1:15" x14ac:dyDescent="0.25">
      <c r="A507" s="4">
        <f>'[3]M.C UNPIV'!B508</f>
        <v>0</v>
      </c>
      <c r="B507" s="5">
        <f>'[3]M.C UNPIV'!C508</f>
        <v>0</v>
      </c>
      <c r="C507" s="5">
        <f>'[3]M.C UNPIV'!D508</f>
        <v>0</v>
      </c>
      <c r="D507" s="5">
        <f>'[3]M.C UNPIV'!E508</f>
        <v>0</v>
      </c>
      <c r="E507" s="5">
        <f>'[3]M.C UNPIV'!F508</f>
        <v>0</v>
      </c>
      <c r="F507" s="5">
        <f>'[3]M.C UNPIV'!G508</f>
        <v>0</v>
      </c>
      <c r="G507" s="6">
        <f>'[3]M.C UNPIV'!H508</f>
        <v>0</v>
      </c>
      <c r="H507" s="5">
        <f>'[3]M.C UNPIV'!I508</f>
        <v>0</v>
      </c>
      <c r="I507" s="7">
        <f>'[3]M.C UNPIV'!J508</f>
        <v>0</v>
      </c>
      <c r="J507" s="7">
        <f>'[3]M.C UNPIV'!K508</f>
        <v>0</v>
      </c>
      <c r="K507" s="7">
        <f>'[3]M.C UNPIV'!L508</f>
        <v>0</v>
      </c>
      <c r="L507" s="7">
        <f>'[3]M.C UNPIV'!M508</f>
        <v>0</v>
      </c>
      <c r="M507" s="6">
        <f>'[3]M.C UNPIV'!N508</f>
        <v>0</v>
      </c>
      <c r="N507" s="5">
        <f>'[3]M.C UNPIV'!O508</f>
        <v>0</v>
      </c>
      <c r="O507" s="5">
        <f>'[3]M.C UNPIV'!P508</f>
        <v>0</v>
      </c>
    </row>
    <row r="508" spans="1:15" x14ac:dyDescent="0.25">
      <c r="A508" s="4">
        <f>'[3]M.C UNPIV'!B509</f>
        <v>0</v>
      </c>
      <c r="B508" s="5">
        <f>'[3]M.C UNPIV'!C509</f>
        <v>0</v>
      </c>
      <c r="C508" s="5">
        <f>'[3]M.C UNPIV'!D509</f>
        <v>0</v>
      </c>
      <c r="D508" s="5">
        <f>'[3]M.C UNPIV'!E509</f>
        <v>0</v>
      </c>
      <c r="E508" s="5">
        <f>'[3]M.C UNPIV'!F509</f>
        <v>0</v>
      </c>
      <c r="F508" s="5">
        <f>'[3]M.C UNPIV'!G509</f>
        <v>0</v>
      </c>
      <c r="G508" s="6">
        <f>'[3]M.C UNPIV'!H509</f>
        <v>0</v>
      </c>
      <c r="H508" s="5">
        <f>'[3]M.C UNPIV'!I509</f>
        <v>0</v>
      </c>
      <c r="I508" s="7">
        <f>'[3]M.C UNPIV'!J509</f>
        <v>0</v>
      </c>
      <c r="J508" s="7">
        <f>'[3]M.C UNPIV'!K509</f>
        <v>0</v>
      </c>
      <c r="K508" s="7">
        <f>'[3]M.C UNPIV'!L509</f>
        <v>0</v>
      </c>
      <c r="L508" s="7">
        <f>'[3]M.C UNPIV'!M509</f>
        <v>0</v>
      </c>
      <c r="M508" s="6">
        <f>'[3]M.C UNPIV'!N509</f>
        <v>0</v>
      </c>
      <c r="N508" s="5">
        <f>'[3]M.C UNPIV'!O509</f>
        <v>0</v>
      </c>
      <c r="O508" s="5">
        <f>'[3]M.C UNPIV'!P509</f>
        <v>0</v>
      </c>
    </row>
    <row r="509" spans="1:15" x14ac:dyDescent="0.25">
      <c r="A509" s="4">
        <f>'[3]M.C UNPIV'!B510</f>
        <v>0</v>
      </c>
      <c r="B509" s="5">
        <f>'[3]M.C UNPIV'!C510</f>
        <v>0</v>
      </c>
      <c r="C509" s="5">
        <f>'[3]M.C UNPIV'!D510</f>
        <v>0</v>
      </c>
      <c r="D509" s="5">
        <f>'[3]M.C UNPIV'!E510</f>
        <v>0</v>
      </c>
      <c r="E509" s="5">
        <f>'[3]M.C UNPIV'!F510</f>
        <v>0</v>
      </c>
      <c r="F509" s="5">
        <f>'[3]M.C UNPIV'!G510</f>
        <v>0</v>
      </c>
      <c r="G509" s="6">
        <f>'[3]M.C UNPIV'!H510</f>
        <v>0</v>
      </c>
      <c r="H509" s="5">
        <f>'[3]M.C UNPIV'!I510</f>
        <v>0</v>
      </c>
      <c r="I509" s="7">
        <f>'[3]M.C UNPIV'!J510</f>
        <v>0</v>
      </c>
      <c r="J509" s="7">
        <f>'[3]M.C UNPIV'!K510</f>
        <v>0</v>
      </c>
      <c r="K509" s="7">
        <f>'[3]M.C UNPIV'!L510</f>
        <v>0</v>
      </c>
      <c r="L509" s="7">
        <f>'[3]M.C UNPIV'!M510</f>
        <v>0</v>
      </c>
      <c r="M509" s="6">
        <f>'[3]M.C UNPIV'!N510</f>
        <v>0</v>
      </c>
      <c r="N509" s="5">
        <f>'[3]M.C UNPIV'!O510</f>
        <v>0</v>
      </c>
      <c r="O509" s="5">
        <f>'[3]M.C UNPIV'!P510</f>
        <v>0</v>
      </c>
    </row>
    <row r="510" spans="1:15" x14ac:dyDescent="0.25">
      <c r="A510" s="4">
        <f>'[3]M.C UNPIV'!B511</f>
        <v>0</v>
      </c>
      <c r="B510" s="5">
        <f>'[3]M.C UNPIV'!C511</f>
        <v>0</v>
      </c>
      <c r="C510" s="5">
        <f>'[3]M.C UNPIV'!D511</f>
        <v>0</v>
      </c>
      <c r="D510" s="5">
        <f>'[3]M.C UNPIV'!E511</f>
        <v>0</v>
      </c>
      <c r="E510" s="5">
        <f>'[3]M.C UNPIV'!F511</f>
        <v>0</v>
      </c>
      <c r="F510" s="5">
        <f>'[3]M.C UNPIV'!G511</f>
        <v>0</v>
      </c>
      <c r="G510" s="6">
        <f>'[3]M.C UNPIV'!H511</f>
        <v>0</v>
      </c>
      <c r="H510" s="5">
        <f>'[3]M.C UNPIV'!I511</f>
        <v>0</v>
      </c>
      <c r="I510" s="7">
        <f>'[3]M.C UNPIV'!J511</f>
        <v>0</v>
      </c>
      <c r="J510" s="7">
        <f>'[3]M.C UNPIV'!K511</f>
        <v>0</v>
      </c>
      <c r="K510" s="7">
        <f>'[3]M.C UNPIV'!L511</f>
        <v>0</v>
      </c>
      <c r="L510" s="7">
        <f>'[3]M.C UNPIV'!M511</f>
        <v>0</v>
      </c>
      <c r="M510" s="6">
        <f>'[3]M.C UNPIV'!N511</f>
        <v>0</v>
      </c>
      <c r="N510" s="5">
        <f>'[3]M.C UNPIV'!O511</f>
        <v>0</v>
      </c>
      <c r="O510" s="5">
        <f>'[3]M.C UNPIV'!P511</f>
        <v>0</v>
      </c>
    </row>
    <row r="511" spans="1:15" x14ac:dyDescent="0.25">
      <c r="A511" s="4">
        <f>'[3]M.C UNPIV'!B512</f>
        <v>0</v>
      </c>
      <c r="B511" s="5">
        <f>'[3]M.C UNPIV'!C512</f>
        <v>0</v>
      </c>
      <c r="C511" s="5">
        <f>'[3]M.C UNPIV'!D512</f>
        <v>0</v>
      </c>
      <c r="D511" s="5">
        <f>'[3]M.C UNPIV'!E512</f>
        <v>0</v>
      </c>
      <c r="E511" s="5">
        <f>'[3]M.C UNPIV'!F512</f>
        <v>0</v>
      </c>
      <c r="F511" s="5">
        <f>'[3]M.C UNPIV'!G512</f>
        <v>0</v>
      </c>
      <c r="G511" s="6">
        <f>'[3]M.C UNPIV'!H512</f>
        <v>0</v>
      </c>
      <c r="H511" s="5">
        <f>'[3]M.C UNPIV'!I512</f>
        <v>0</v>
      </c>
      <c r="I511" s="7">
        <f>'[3]M.C UNPIV'!J512</f>
        <v>0</v>
      </c>
      <c r="J511" s="7">
        <f>'[3]M.C UNPIV'!K512</f>
        <v>0</v>
      </c>
      <c r="K511" s="7">
        <f>'[3]M.C UNPIV'!L512</f>
        <v>0</v>
      </c>
      <c r="L511" s="7">
        <f>'[3]M.C UNPIV'!M512</f>
        <v>0</v>
      </c>
      <c r="M511" s="6">
        <f>'[3]M.C UNPIV'!N512</f>
        <v>0</v>
      </c>
      <c r="N511" s="5">
        <f>'[3]M.C UNPIV'!O512</f>
        <v>0</v>
      </c>
      <c r="O511" s="5">
        <f>'[3]M.C UNPIV'!P512</f>
        <v>0</v>
      </c>
    </row>
    <row r="512" spans="1:15" x14ac:dyDescent="0.25">
      <c r="A512" s="4">
        <f>'[3]M.C UNPIV'!B513</f>
        <v>0</v>
      </c>
      <c r="B512" s="5">
        <f>'[3]M.C UNPIV'!C513</f>
        <v>0</v>
      </c>
      <c r="C512" s="5">
        <f>'[3]M.C UNPIV'!D513</f>
        <v>0</v>
      </c>
      <c r="D512" s="5">
        <f>'[3]M.C UNPIV'!E513</f>
        <v>0</v>
      </c>
      <c r="E512" s="5">
        <f>'[3]M.C UNPIV'!F513</f>
        <v>0</v>
      </c>
      <c r="F512" s="5">
        <f>'[3]M.C UNPIV'!G513</f>
        <v>0</v>
      </c>
      <c r="G512" s="6">
        <f>'[3]M.C UNPIV'!H513</f>
        <v>0</v>
      </c>
      <c r="H512" s="5">
        <f>'[3]M.C UNPIV'!I513</f>
        <v>0</v>
      </c>
      <c r="I512" s="7">
        <f>'[3]M.C UNPIV'!J513</f>
        <v>0</v>
      </c>
      <c r="J512" s="7">
        <f>'[3]M.C UNPIV'!K513</f>
        <v>0</v>
      </c>
      <c r="K512" s="7">
        <f>'[3]M.C UNPIV'!L513</f>
        <v>0</v>
      </c>
      <c r="L512" s="7">
        <f>'[3]M.C UNPIV'!M513</f>
        <v>0</v>
      </c>
      <c r="M512" s="6">
        <f>'[3]M.C UNPIV'!N513</f>
        <v>0</v>
      </c>
      <c r="N512" s="5">
        <f>'[3]M.C UNPIV'!O513</f>
        <v>0</v>
      </c>
      <c r="O512" s="5">
        <f>'[3]M.C UNPIV'!P513</f>
        <v>0</v>
      </c>
    </row>
    <row r="513" spans="1:15" x14ac:dyDescent="0.25">
      <c r="A513" s="4">
        <f>'[3]M.C UNPIV'!B514</f>
        <v>0</v>
      </c>
      <c r="B513" s="5">
        <f>'[3]M.C UNPIV'!C514</f>
        <v>0</v>
      </c>
      <c r="C513" s="5">
        <f>'[3]M.C UNPIV'!D514</f>
        <v>0</v>
      </c>
      <c r="D513" s="5">
        <f>'[3]M.C UNPIV'!E514</f>
        <v>0</v>
      </c>
      <c r="E513" s="5">
        <f>'[3]M.C UNPIV'!F514</f>
        <v>0</v>
      </c>
      <c r="F513" s="5">
        <f>'[3]M.C UNPIV'!G514</f>
        <v>0</v>
      </c>
      <c r="G513" s="6">
        <f>'[3]M.C UNPIV'!H514</f>
        <v>0</v>
      </c>
      <c r="H513" s="5">
        <f>'[3]M.C UNPIV'!I514</f>
        <v>0</v>
      </c>
      <c r="I513" s="7">
        <f>'[3]M.C UNPIV'!J514</f>
        <v>0</v>
      </c>
      <c r="J513" s="7">
        <f>'[3]M.C UNPIV'!K514</f>
        <v>0</v>
      </c>
      <c r="K513" s="7">
        <f>'[3]M.C UNPIV'!L514</f>
        <v>0</v>
      </c>
      <c r="L513" s="7">
        <f>'[3]M.C UNPIV'!M514</f>
        <v>0</v>
      </c>
      <c r="M513" s="6">
        <f>'[3]M.C UNPIV'!N514</f>
        <v>0</v>
      </c>
      <c r="N513" s="5">
        <f>'[3]M.C UNPIV'!O514</f>
        <v>0</v>
      </c>
      <c r="O513" s="5">
        <f>'[3]M.C UNPIV'!P514</f>
        <v>0</v>
      </c>
    </row>
    <row r="514" spans="1:15" x14ac:dyDescent="0.25">
      <c r="A514" s="4">
        <f>'[3]M.C UNPIV'!B515</f>
        <v>0</v>
      </c>
      <c r="B514" s="5">
        <f>'[3]M.C UNPIV'!C515</f>
        <v>0</v>
      </c>
      <c r="C514" s="5">
        <f>'[3]M.C UNPIV'!D515</f>
        <v>0</v>
      </c>
      <c r="D514" s="5">
        <f>'[3]M.C UNPIV'!E515</f>
        <v>0</v>
      </c>
      <c r="E514" s="5">
        <f>'[3]M.C UNPIV'!F515</f>
        <v>0</v>
      </c>
      <c r="F514" s="5">
        <f>'[3]M.C UNPIV'!G515</f>
        <v>0</v>
      </c>
      <c r="G514" s="6">
        <f>'[3]M.C UNPIV'!H515</f>
        <v>0</v>
      </c>
      <c r="H514" s="5">
        <f>'[3]M.C UNPIV'!I515</f>
        <v>0</v>
      </c>
      <c r="I514" s="7">
        <f>'[3]M.C UNPIV'!J515</f>
        <v>0</v>
      </c>
      <c r="J514" s="7">
        <f>'[3]M.C UNPIV'!K515</f>
        <v>0</v>
      </c>
      <c r="K514" s="7">
        <f>'[3]M.C UNPIV'!L515</f>
        <v>0</v>
      </c>
      <c r="L514" s="7">
        <f>'[3]M.C UNPIV'!M515</f>
        <v>0</v>
      </c>
      <c r="M514" s="6">
        <f>'[3]M.C UNPIV'!N515</f>
        <v>0</v>
      </c>
      <c r="N514" s="5">
        <f>'[3]M.C UNPIV'!O515</f>
        <v>0</v>
      </c>
      <c r="O514" s="5">
        <f>'[3]M.C UNPIV'!P515</f>
        <v>0</v>
      </c>
    </row>
    <row r="515" spans="1:15" x14ac:dyDescent="0.25">
      <c r="A515" s="4">
        <f>'[3]M.C UNPIV'!B516</f>
        <v>0</v>
      </c>
      <c r="B515" s="5">
        <f>'[3]M.C UNPIV'!C516</f>
        <v>0</v>
      </c>
      <c r="C515" s="5">
        <f>'[3]M.C UNPIV'!D516</f>
        <v>0</v>
      </c>
      <c r="D515" s="5">
        <f>'[3]M.C UNPIV'!E516</f>
        <v>0</v>
      </c>
      <c r="E515" s="5">
        <f>'[3]M.C UNPIV'!F516</f>
        <v>0</v>
      </c>
      <c r="F515" s="5">
        <f>'[3]M.C UNPIV'!G516</f>
        <v>0</v>
      </c>
      <c r="G515" s="6">
        <f>'[3]M.C UNPIV'!H516</f>
        <v>0</v>
      </c>
      <c r="H515" s="5">
        <f>'[3]M.C UNPIV'!I516</f>
        <v>0</v>
      </c>
      <c r="I515" s="7">
        <f>'[3]M.C UNPIV'!J516</f>
        <v>0</v>
      </c>
      <c r="J515" s="7">
        <f>'[3]M.C UNPIV'!K516</f>
        <v>0</v>
      </c>
      <c r="K515" s="7">
        <f>'[3]M.C UNPIV'!L516</f>
        <v>0</v>
      </c>
      <c r="L515" s="7">
        <f>'[3]M.C UNPIV'!M516</f>
        <v>0</v>
      </c>
      <c r="M515" s="6">
        <f>'[3]M.C UNPIV'!N516</f>
        <v>0</v>
      </c>
      <c r="N515" s="5">
        <f>'[3]M.C UNPIV'!O516</f>
        <v>0</v>
      </c>
      <c r="O515" s="5">
        <f>'[3]M.C UNPIV'!P516</f>
        <v>0</v>
      </c>
    </row>
    <row r="516" spans="1:15" x14ac:dyDescent="0.25">
      <c r="A516" s="4">
        <f>'[3]M.C UNPIV'!B517</f>
        <v>0</v>
      </c>
      <c r="B516" s="5">
        <f>'[3]M.C UNPIV'!C517</f>
        <v>0</v>
      </c>
      <c r="C516" s="5">
        <f>'[3]M.C UNPIV'!D517</f>
        <v>0</v>
      </c>
      <c r="D516" s="5">
        <f>'[3]M.C UNPIV'!E517</f>
        <v>0</v>
      </c>
      <c r="E516" s="5">
        <f>'[3]M.C UNPIV'!F517</f>
        <v>0</v>
      </c>
      <c r="F516" s="5">
        <f>'[3]M.C UNPIV'!G517</f>
        <v>0</v>
      </c>
      <c r="G516" s="6">
        <f>'[3]M.C UNPIV'!H517</f>
        <v>0</v>
      </c>
      <c r="H516" s="5">
        <f>'[3]M.C UNPIV'!I517</f>
        <v>0</v>
      </c>
      <c r="I516" s="7">
        <f>'[3]M.C UNPIV'!J517</f>
        <v>0</v>
      </c>
      <c r="J516" s="7">
        <f>'[3]M.C UNPIV'!K517</f>
        <v>0</v>
      </c>
      <c r="K516" s="7">
        <f>'[3]M.C UNPIV'!L517</f>
        <v>0</v>
      </c>
      <c r="L516" s="7">
        <f>'[3]M.C UNPIV'!M517</f>
        <v>0</v>
      </c>
      <c r="M516" s="6">
        <f>'[3]M.C UNPIV'!N517</f>
        <v>0</v>
      </c>
      <c r="N516" s="5">
        <f>'[3]M.C UNPIV'!O517</f>
        <v>0</v>
      </c>
      <c r="O516" s="5">
        <f>'[3]M.C UNPIV'!P517</f>
        <v>0</v>
      </c>
    </row>
    <row r="517" spans="1:15" x14ac:dyDescent="0.25">
      <c r="A517" s="4">
        <f>'[3]M.C UNPIV'!B518</f>
        <v>0</v>
      </c>
      <c r="B517" s="5">
        <f>'[3]M.C UNPIV'!C518</f>
        <v>0</v>
      </c>
      <c r="C517" s="5">
        <f>'[3]M.C UNPIV'!D518</f>
        <v>0</v>
      </c>
      <c r="D517" s="5">
        <f>'[3]M.C UNPIV'!E518</f>
        <v>0</v>
      </c>
      <c r="E517" s="5">
        <f>'[3]M.C UNPIV'!F518</f>
        <v>0</v>
      </c>
      <c r="F517" s="5">
        <f>'[3]M.C UNPIV'!G518</f>
        <v>0</v>
      </c>
      <c r="G517" s="6">
        <f>'[3]M.C UNPIV'!H518</f>
        <v>0</v>
      </c>
      <c r="H517" s="5">
        <f>'[3]M.C UNPIV'!I518</f>
        <v>0</v>
      </c>
      <c r="I517" s="7">
        <f>'[3]M.C UNPIV'!J518</f>
        <v>0</v>
      </c>
      <c r="J517" s="7">
        <f>'[3]M.C UNPIV'!K518</f>
        <v>0</v>
      </c>
      <c r="K517" s="7">
        <f>'[3]M.C UNPIV'!L518</f>
        <v>0</v>
      </c>
      <c r="L517" s="7">
        <f>'[3]M.C UNPIV'!M518</f>
        <v>0</v>
      </c>
      <c r="M517" s="6">
        <f>'[3]M.C UNPIV'!N518</f>
        <v>0</v>
      </c>
      <c r="N517" s="5">
        <f>'[3]M.C UNPIV'!O518</f>
        <v>0</v>
      </c>
      <c r="O517" s="5">
        <f>'[3]M.C UNPIV'!P518</f>
        <v>0</v>
      </c>
    </row>
    <row r="518" spans="1:15" x14ac:dyDescent="0.25">
      <c r="A518" s="4">
        <f>'[3]M.C UNPIV'!B519</f>
        <v>0</v>
      </c>
      <c r="B518" s="5">
        <f>'[3]M.C UNPIV'!C519</f>
        <v>0</v>
      </c>
      <c r="C518" s="5">
        <f>'[3]M.C UNPIV'!D519</f>
        <v>0</v>
      </c>
      <c r="D518" s="5">
        <f>'[3]M.C UNPIV'!E519</f>
        <v>0</v>
      </c>
      <c r="E518" s="5">
        <f>'[3]M.C UNPIV'!F519</f>
        <v>0</v>
      </c>
      <c r="F518" s="5">
        <f>'[3]M.C UNPIV'!G519</f>
        <v>0</v>
      </c>
      <c r="G518" s="6">
        <f>'[3]M.C UNPIV'!H519</f>
        <v>0</v>
      </c>
      <c r="H518" s="5">
        <f>'[3]M.C UNPIV'!I519</f>
        <v>0</v>
      </c>
      <c r="I518" s="7">
        <f>'[3]M.C UNPIV'!J519</f>
        <v>0</v>
      </c>
      <c r="J518" s="7">
        <f>'[3]M.C UNPIV'!K519</f>
        <v>0</v>
      </c>
      <c r="K518" s="7">
        <f>'[3]M.C UNPIV'!L519</f>
        <v>0</v>
      </c>
      <c r="L518" s="7">
        <f>'[3]M.C UNPIV'!M519</f>
        <v>0</v>
      </c>
      <c r="M518" s="6">
        <f>'[3]M.C UNPIV'!N519</f>
        <v>0</v>
      </c>
      <c r="N518" s="5">
        <f>'[3]M.C UNPIV'!O519</f>
        <v>0</v>
      </c>
      <c r="O518" s="5">
        <f>'[3]M.C UNPIV'!P519</f>
        <v>0</v>
      </c>
    </row>
    <row r="519" spans="1:15" x14ac:dyDescent="0.25">
      <c r="A519" s="4">
        <f>'[3]M.C UNPIV'!B520</f>
        <v>0</v>
      </c>
      <c r="B519" s="5">
        <f>'[3]M.C UNPIV'!C520</f>
        <v>0</v>
      </c>
      <c r="C519" s="5">
        <f>'[3]M.C UNPIV'!D520</f>
        <v>0</v>
      </c>
      <c r="D519" s="5">
        <f>'[3]M.C UNPIV'!E520</f>
        <v>0</v>
      </c>
      <c r="E519" s="5">
        <f>'[3]M.C UNPIV'!F520</f>
        <v>0</v>
      </c>
      <c r="F519" s="5">
        <f>'[3]M.C UNPIV'!G520</f>
        <v>0</v>
      </c>
      <c r="G519" s="6">
        <f>'[3]M.C UNPIV'!H520</f>
        <v>0</v>
      </c>
      <c r="H519" s="5">
        <f>'[3]M.C UNPIV'!I520</f>
        <v>0</v>
      </c>
      <c r="I519" s="7">
        <f>'[3]M.C UNPIV'!J520</f>
        <v>0</v>
      </c>
      <c r="J519" s="7">
        <f>'[3]M.C UNPIV'!K520</f>
        <v>0</v>
      </c>
      <c r="K519" s="7">
        <f>'[3]M.C UNPIV'!L520</f>
        <v>0</v>
      </c>
      <c r="L519" s="7">
        <f>'[3]M.C UNPIV'!M520</f>
        <v>0</v>
      </c>
      <c r="M519" s="6">
        <f>'[3]M.C UNPIV'!N520</f>
        <v>0</v>
      </c>
      <c r="N519" s="5">
        <f>'[3]M.C UNPIV'!O520</f>
        <v>0</v>
      </c>
      <c r="O519" s="5">
        <f>'[3]M.C UNPIV'!P520</f>
        <v>0</v>
      </c>
    </row>
    <row r="520" spans="1:15" x14ac:dyDescent="0.25">
      <c r="A520" s="4">
        <f>'[3]M.C UNPIV'!B521</f>
        <v>0</v>
      </c>
      <c r="B520" s="5">
        <f>'[3]M.C UNPIV'!C521</f>
        <v>0</v>
      </c>
      <c r="C520" s="5">
        <f>'[3]M.C UNPIV'!D521</f>
        <v>0</v>
      </c>
      <c r="D520" s="5">
        <f>'[3]M.C UNPIV'!E521</f>
        <v>0</v>
      </c>
      <c r="E520" s="5">
        <f>'[3]M.C UNPIV'!F521</f>
        <v>0</v>
      </c>
      <c r="F520" s="5">
        <f>'[3]M.C UNPIV'!G521</f>
        <v>0</v>
      </c>
      <c r="G520" s="6">
        <f>'[3]M.C UNPIV'!H521</f>
        <v>0</v>
      </c>
      <c r="H520" s="5">
        <f>'[3]M.C UNPIV'!I521</f>
        <v>0</v>
      </c>
      <c r="I520" s="7">
        <f>'[3]M.C UNPIV'!J521</f>
        <v>0</v>
      </c>
      <c r="J520" s="7">
        <f>'[3]M.C UNPIV'!K521</f>
        <v>0</v>
      </c>
      <c r="K520" s="7">
        <f>'[3]M.C UNPIV'!L521</f>
        <v>0</v>
      </c>
      <c r="L520" s="7">
        <f>'[3]M.C UNPIV'!M521</f>
        <v>0</v>
      </c>
      <c r="M520" s="6">
        <f>'[3]M.C UNPIV'!N521</f>
        <v>0</v>
      </c>
      <c r="N520" s="5">
        <f>'[3]M.C UNPIV'!O521</f>
        <v>0</v>
      </c>
      <c r="O520" s="5">
        <f>'[3]M.C UNPIV'!P521</f>
        <v>0</v>
      </c>
    </row>
    <row r="521" spans="1:15" x14ac:dyDescent="0.25">
      <c r="A521" s="4">
        <f>'[3]M.C UNPIV'!B522</f>
        <v>0</v>
      </c>
      <c r="B521" s="5">
        <f>'[3]M.C UNPIV'!C522</f>
        <v>0</v>
      </c>
      <c r="C521" s="5">
        <f>'[3]M.C UNPIV'!D522</f>
        <v>0</v>
      </c>
      <c r="D521" s="5">
        <f>'[3]M.C UNPIV'!E522</f>
        <v>0</v>
      </c>
      <c r="E521" s="5">
        <f>'[3]M.C UNPIV'!F522</f>
        <v>0</v>
      </c>
      <c r="F521" s="5">
        <f>'[3]M.C UNPIV'!G522</f>
        <v>0</v>
      </c>
      <c r="G521" s="6">
        <f>'[3]M.C UNPIV'!H522</f>
        <v>0</v>
      </c>
      <c r="H521" s="5">
        <f>'[3]M.C UNPIV'!I522</f>
        <v>0</v>
      </c>
      <c r="I521" s="7">
        <f>'[3]M.C UNPIV'!J522</f>
        <v>0</v>
      </c>
      <c r="J521" s="7">
        <f>'[3]M.C UNPIV'!K522</f>
        <v>0</v>
      </c>
      <c r="K521" s="7">
        <f>'[3]M.C UNPIV'!L522</f>
        <v>0</v>
      </c>
      <c r="L521" s="7">
        <f>'[3]M.C UNPIV'!M522</f>
        <v>0</v>
      </c>
      <c r="M521" s="6">
        <f>'[3]M.C UNPIV'!N522</f>
        <v>0</v>
      </c>
      <c r="N521" s="5">
        <f>'[3]M.C UNPIV'!O522</f>
        <v>0</v>
      </c>
      <c r="O521" s="5">
        <f>'[3]M.C UNPIV'!P522</f>
        <v>0</v>
      </c>
    </row>
    <row r="522" spans="1:15" x14ac:dyDescent="0.25">
      <c r="A522" s="4">
        <f>'[3]M.C UNPIV'!B523</f>
        <v>0</v>
      </c>
      <c r="B522" s="5">
        <f>'[3]M.C UNPIV'!C523</f>
        <v>0</v>
      </c>
      <c r="C522" s="5">
        <f>'[3]M.C UNPIV'!D523</f>
        <v>0</v>
      </c>
      <c r="D522" s="5">
        <f>'[3]M.C UNPIV'!E523</f>
        <v>0</v>
      </c>
      <c r="E522" s="5">
        <f>'[3]M.C UNPIV'!F523</f>
        <v>0</v>
      </c>
      <c r="F522" s="5">
        <f>'[3]M.C UNPIV'!G523</f>
        <v>0</v>
      </c>
      <c r="G522" s="6">
        <f>'[3]M.C UNPIV'!H523</f>
        <v>0</v>
      </c>
      <c r="H522" s="5">
        <f>'[3]M.C UNPIV'!I523</f>
        <v>0</v>
      </c>
      <c r="I522" s="7">
        <f>'[3]M.C UNPIV'!J523</f>
        <v>0</v>
      </c>
      <c r="J522" s="7">
        <f>'[3]M.C UNPIV'!K523</f>
        <v>0</v>
      </c>
      <c r="K522" s="7">
        <f>'[3]M.C UNPIV'!L523</f>
        <v>0</v>
      </c>
      <c r="L522" s="7">
        <f>'[3]M.C UNPIV'!M523</f>
        <v>0</v>
      </c>
      <c r="M522" s="6">
        <f>'[3]M.C UNPIV'!N523</f>
        <v>0</v>
      </c>
      <c r="N522" s="5">
        <f>'[3]M.C UNPIV'!O523</f>
        <v>0</v>
      </c>
      <c r="O522" s="5">
        <f>'[3]M.C UNPIV'!P523</f>
        <v>0</v>
      </c>
    </row>
    <row r="523" spans="1:15" x14ac:dyDescent="0.25">
      <c r="A523" s="4">
        <f>'[3]M.C UNPIV'!B524</f>
        <v>0</v>
      </c>
      <c r="B523" s="5">
        <f>'[3]M.C UNPIV'!C524</f>
        <v>0</v>
      </c>
      <c r="C523" s="5">
        <f>'[3]M.C UNPIV'!D524</f>
        <v>0</v>
      </c>
      <c r="D523" s="5">
        <f>'[3]M.C UNPIV'!E524</f>
        <v>0</v>
      </c>
      <c r="E523" s="5">
        <f>'[3]M.C UNPIV'!F524</f>
        <v>0</v>
      </c>
      <c r="F523" s="5">
        <f>'[3]M.C UNPIV'!G524</f>
        <v>0</v>
      </c>
      <c r="G523" s="6">
        <f>'[3]M.C UNPIV'!H524</f>
        <v>0</v>
      </c>
      <c r="H523" s="5">
        <f>'[3]M.C UNPIV'!I524</f>
        <v>0</v>
      </c>
      <c r="I523" s="7">
        <f>'[3]M.C UNPIV'!J524</f>
        <v>0</v>
      </c>
      <c r="J523" s="7">
        <f>'[3]M.C UNPIV'!K524</f>
        <v>0</v>
      </c>
      <c r="K523" s="7">
        <f>'[3]M.C UNPIV'!L524</f>
        <v>0</v>
      </c>
      <c r="L523" s="7">
        <f>'[3]M.C UNPIV'!M524</f>
        <v>0</v>
      </c>
      <c r="M523" s="6">
        <f>'[3]M.C UNPIV'!N524</f>
        <v>0</v>
      </c>
      <c r="N523" s="5">
        <f>'[3]M.C UNPIV'!O524</f>
        <v>0</v>
      </c>
      <c r="O523" s="5">
        <f>'[3]M.C UNPIV'!P524</f>
        <v>0</v>
      </c>
    </row>
    <row r="524" spans="1:15" x14ac:dyDescent="0.25">
      <c r="A524" s="4">
        <f>'[3]M.C UNPIV'!B525</f>
        <v>0</v>
      </c>
      <c r="B524" s="5">
        <f>'[3]M.C UNPIV'!C525</f>
        <v>0</v>
      </c>
      <c r="C524" s="5">
        <f>'[3]M.C UNPIV'!D525</f>
        <v>0</v>
      </c>
      <c r="D524" s="5">
        <f>'[3]M.C UNPIV'!E525</f>
        <v>0</v>
      </c>
      <c r="E524" s="5">
        <f>'[3]M.C UNPIV'!F525</f>
        <v>0</v>
      </c>
      <c r="F524" s="5">
        <f>'[3]M.C UNPIV'!G525</f>
        <v>0</v>
      </c>
      <c r="G524" s="6">
        <f>'[3]M.C UNPIV'!H525</f>
        <v>0</v>
      </c>
      <c r="H524" s="5">
        <f>'[3]M.C UNPIV'!I525</f>
        <v>0</v>
      </c>
      <c r="I524" s="7">
        <f>'[3]M.C UNPIV'!J525</f>
        <v>0</v>
      </c>
      <c r="J524" s="7">
        <f>'[3]M.C UNPIV'!K525</f>
        <v>0</v>
      </c>
      <c r="K524" s="7">
        <f>'[3]M.C UNPIV'!L525</f>
        <v>0</v>
      </c>
      <c r="L524" s="7">
        <f>'[3]M.C UNPIV'!M525</f>
        <v>0</v>
      </c>
      <c r="M524" s="6">
        <f>'[3]M.C UNPIV'!N525</f>
        <v>0</v>
      </c>
      <c r="N524" s="5">
        <f>'[3]M.C UNPIV'!O525</f>
        <v>0</v>
      </c>
      <c r="O524" s="5">
        <f>'[3]M.C UNPIV'!P525</f>
        <v>0</v>
      </c>
    </row>
    <row r="525" spans="1:15" x14ac:dyDescent="0.25">
      <c r="A525" s="4">
        <f>'[3]M.C UNPIV'!B526</f>
        <v>0</v>
      </c>
      <c r="B525" s="5">
        <f>'[3]M.C UNPIV'!C526</f>
        <v>0</v>
      </c>
      <c r="C525" s="5">
        <f>'[3]M.C UNPIV'!D526</f>
        <v>0</v>
      </c>
      <c r="D525" s="5">
        <f>'[3]M.C UNPIV'!E526</f>
        <v>0</v>
      </c>
      <c r="E525" s="5">
        <f>'[3]M.C UNPIV'!F526</f>
        <v>0</v>
      </c>
      <c r="F525" s="5">
        <f>'[3]M.C UNPIV'!G526</f>
        <v>0</v>
      </c>
      <c r="G525" s="6">
        <f>'[3]M.C UNPIV'!H526</f>
        <v>0</v>
      </c>
      <c r="H525" s="5">
        <f>'[3]M.C UNPIV'!I526</f>
        <v>0</v>
      </c>
      <c r="I525" s="7">
        <f>'[3]M.C UNPIV'!J526</f>
        <v>0</v>
      </c>
      <c r="J525" s="7">
        <f>'[3]M.C UNPIV'!K526</f>
        <v>0</v>
      </c>
      <c r="K525" s="7">
        <f>'[3]M.C UNPIV'!L526</f>
        <v>0</v>
      </c>
      <c r="L525" s="7">
        <f>'[3]M.C UNPIV'!M526</f>
        <v>0</v>
      </c>
      <c r="M525" s="6">
        <f>'[3]M.C UNPIV'!N526</f>
        <v>0</v>
      </c>
      <c r="N525" s="5">
        <f>'[3]M.C UNPIV'!O526</f>
        <v>0</v>
      </c>
      <c r="O525" s="5">
        <f>'[3]M.C UNPIV'!P526</f>
        <v>0</v>
      </c>
    </row>
    <row r="526" spans="1:15" x14ac:dyDescent="0.25">
      <c r="A526" s="4">
        <f>'[3]M.C UNPIV'!B527</f>
        <v>0</v>
      </c>
      <c r="B526" s="5">
        <f>'[3]M.C UNPIV'!C527</f>
        <v>0</v>
      </c>
      <c r="C526" s="5">
        <f>'[3]M.C UNPIV'!D527</f>
        <v>0</v>
      </c>
      <c r="D526" s="5">
        <f>'[3]M.C UNPIV'!E527</f>
        <v>0</v>
      </c>
      <c r="E526" s="5">
        <f>'[3]M.C UNPIV'!F527</f>
        <v>0</v>
      </c>
      <c r="F526" s="5">
        <f>'[3]M.C UNPIV'!G527</f>
        <v>0</v>
      </c>
      <c r="G526" s="6">
        <f>'[3]M.C UNPIV'!H527</f>
        <v>0</v>
      </c>
      <c r="H526" s="5">
        <f>'[3]M.C UNPIV'!I527</f>
        <v>0</v>
      </c>
      <c r="I526" s="7">
        <f>'[3]M.C UNPIV'!J527</f>
        <v>0</v>
      </c>
      <c r="J526" s="7">
        <f>'[3]M.C UNPIV'!K527</f>
        <v>0</v>
      </c>
      <c r="K526" s="7">
        <f>'[3]M.C UNPIV'!L527</f>
        <v>0</v>
      </c>
      <c r="L526" s="7">
        <f>'[3]M.C UNPIV'!M527</f>
        <v>0</v>
      </c>
      <c r="M526" s="6">
        <f>'[3]M.C UNPIV'!N527</f>
        <v>0</v>
      </c>
      <c r="N526" s="5">
        <f>'[3]M.C UNPIV'!O527</f>
        <v>0</v>
      </c>
      <c r="O526" s="5">
        <f>'[3]M.C UNPIV'!P527</f>
        <v>0</v>
      </c>
    </row>
    <row r="527" spans="1:15" x14ac:dyDescent="0.25">
      <c r="A527" s="4">
        <f>'[3]M.C UNPIV'!B528</f>
        <v>0</v>
      </c>
      <c r="B527" s="5">
        <f>'[3]M.C UNPIV'!C528</f>
        <v>0</v>
      </c>
      <c r="C527" s="5">
        <f>'[3]M.C UNPIV'!D528</f>
        <v>0</v>
      </c>
      <c r="D527" s="5">
        <f>'[3]M.C UNPIV'!E528</f>
        <v>0</v>
      </c>
      <c r="E527" s="5">
        <f>'[3]M.C UNPIV'!F528</f>
        <v>0</v>
      </c>
      <c r="F527" s="5">
        <f>'[3]M.C UNPIV'!G528</f>
        <v>0</v>
      </c>
      <c r="G527" s="6">
        <f>'[3]M.C UNPIV'!H528</f>
        <v>0</v>
      </c>
      <c r="H527" s="5">
        <f>'[3]M.C UNPIV'!I528</f>
        <v>0</v>
      </c>
      <c r="I527" s="7">
        <f>'[3]M.C UNPIV'!J528</f>
        <v>0</v>
      </c>
      <c r="J527" s="7">
        <f>'[3]M.C UNPIV'!K528</f>
        <v>0</v>
      </c>
      <c r="K527" s="7">
        <f>'[3]M.C UNPIV'!L528</f>
        <v>0</v>
      </c>
      <c r="L527" s="7">
        <f>'[3]M.C UNPIV'!M528</f>
        <v>0</v>
      </c>
      <c r="M527" s="6">
        <f>'[3]M.C UNPIV'!N528</f>
        <v>0</v>
      </c>
      <c r="N527" s="5">
        <f>'[3]M.C UNPIV'!O528</f>
        <v>0</v>
      </c>
      <c r="O527" s="5">
        <f>'[3]M.C UNPIV'!P528</f>
        <v>0</v>
      </c>
    </row>
    <row r="528" spans="1:15" x14ac:dyDescent="0.25">
      <c r="A528" s="4">
        <f>'[3]M.C UNPIV'!B529</f>
        <v>0</v>
      </c>
      <c r="B528" s="5">
        <f>'[3]M.C UNPIV'!C529</f>
        <v>0</v>
      </c>
      <c r="C528" s="5">
        <f>'[3]M.C UNPIV'!D529</f>
        <v>0</v>
      </c>
      <c r="D528" s="5">
        <f>'[3]M.C UNPIV'!E529</f>
        <v>0</v>
      </c>
      <c r="E528" s="5">
        <f>'[3]M.C UNPIV'!F529</f>
        <v>0</v>
      </c>
      <c r="F528" s="5">
        <f>'[3]M.C UNPIV'!G529</f>
        <v>0</v>
      </c>
      <c r="G528" s="6">
        <f>'[3]M.C UNPIV'!H529</f>
        <v>0</v>
      </c>
      <c r="H528" s="5">
        <f>'[3]M.C UNPIV'!I529</f>
        <v>0</v>
      </c>
      <c r="I528" s="7">
        <f>'[3]M.C UNPIV'!J529</f>
        <v>0</v>
      </c>
      <c r="J528" s="7">
        <f>'[3]M.C UNPIV'!K529</f>
        <v>0</v>
      </c>
      <c r="K528" s="7">
        <f>'[3]M.C UNPIV'!L529</f>
        <v>0</v>
      </c>
      <c r="L528" s="7">
        <f>'[3]M.C UNPIV'!M529</f>
        <v>0</v>
      </c>
      <c r="M528" s="6">
        <f>'[3]M.C UNPIV'!N529</f>
        <v>0</v>
      </c>
      <c r="N528" s="5">
        <f>'[3]M.C UNPIV'!O529</f>
        <v>0</v>
      </c>
      <c r="O528" s="5">
        <f>'[3]M.C UNPIV'!P529</f>
        <v>0</v>
      </c>
    </row>
    <row r="529" spans="1:15" x14ac:dyDescent="0.25">
      <c r="A529" s="4">
        <f>'[3]M.C UNPIV'!B530</f>
        <v>0</v>
      </c>
      <c r="B529" s="5">
        <f>'[3]M.C UNPIV'!C530</f>
        <v>0</v>
      </c>
      <c r="C529" s="5">
        <f>'[3]M.C UNPIV'!D530</f>
        <v>0</v>
      </c>
      <c r="D529" s="5">
        <f>'[3]M.C UNPIV'!E530</f>
        <v>0</v>
      </c>
      <c r="E529" s="5">
        <f>'[3]M.C UNPIV'!F530</f>
        <v>0</v>
      </c>
      <c r="F529" s="5">
        <f>'[3]M.C UNPIV'!G530</f>
        <v>0</v>
      </c>
      <c r="G529" s="6">
        <f>'[3]M.C UNPIV'!H530</f>
        <v>0</v>
      </c>
      <c r="H529" s="5">
        <f>'[3]M.C UNPIV'!I530</f>
        <v>0</v>
      </c>
      <c r="I529" s="7">
        <f>'[3]M.C UNPIV'!J530</f>
        <v>0</v>
      </c>
      <c r="J529" s="7">
        <f>'[3]M.C UNPIV'!K530</f>
        <v>0</v>
      </c>
      <c r="K529" s="7">
        <f>'[3]M.C UNPIV'!L530</f>
        <v>0</v>
      </c>
      <c r="L529" s="7">
        <f>'[3]M.C UNPIV'!M530</f>
        <v>0</v>
      </c>
      <c r="M529" s="6">
        <f>'[3]M.C UNPIV'!N530</f>
        <v>0</v>
      </c>
      <c r="N529" s="5">
        <f>'[3]M.C UNPIV'!O530</f>
        <v>0</v>
      </c>
      <c r="O529" s="5">
        <f>'[3]M.C UNPIV'!P530</f>
        <v>0</v>
      </c>
    </row>
    <row r="530" spans="1:15" x14ac:dyDescent="0.25">
      <c r="A530" s="4">
        <f>'[3]M.C UNPIV'!B531</f>
        <v>0</v>
      </c>
      <c r="B530" s="5">
        <f>'[3]M.C UNPIV'!C531</f>
        <v>0</v>
      </c>
      <c r="C530" s="5">
        <f>'[3]M.C UNPIV'!D531</f>
        <v>0</v>
      </c>
      <c r="D530" s="5">
        <f>'[3]M.C UNPIV'!E531</f>
        <v>0</v>
      </c>
      <c r="E530" s="5">
        <f>'[3]M.C UNPIV'!F531</f>
        <v>0</v>
      </c>
      <c r="F530" s="5">
        <f>'[3]M.C UNPIV'!G531</f>
        <v>0</v>
      </c>
      <c r="G530" s="6">
        <f>'[3]M.C UNPIV'!H531</f>
        <v>0</v>
      </c>
      <c r="H530" s="5">
        <f>'[3]M.C UNPIV'!I531</f>
        <v>0</v>
      </c>
      <c r="I530" s="7">
        <f>'[3]M.C UNPIV'!J531</f>
        <v>0</v>
      </c>
      <c r="J530" s="7">
        <f>'[3]M.C UNPIV'!K531</f>
        <v>0</v>
      </c>
      <c r="K530" s="7">
        <f>'[3]M.C UNPIV'!L531</f>
        <v>0</v>
      </c>
      <c r="L530" s="7">
        <f>'[3]M.C UNPIV'!M531</f>
        <v>0</v>
      </c>
      <c r="M530" s="6">
        <f>'[3]M.C UNPIV'!N531</f>
        <v>0</v>
      </c>
      <c r="N530" s="5">
        <f>'[3]M.C UNPIV'!O531</f>
        <v>0</v>
      </c>
      <c r="O530" s="5">
        <f>'[3]M.C UNPIV'!P531</f>
        <v>0</v>
      </c>
    </row>
    <row r="531" spans="1:15" x14ac:dyDescent="0.25">
      <c r="A531" s="4">
        <f>'[3]M.C UNPIV'!B532</f>
        <v>0</v>
      </c>
      <c r="B531" s="5">
        <f>'[3]M.C UNPIV'!C532</f>
        <v>0</v>
      </c>
      <c r="C531" s="5">
        <f>'[3]M.C UNPIV'!D532</f>
        <v>0</v>
      </c>
      <c r="D531" s="5">
        <f>'[3]M.C UNPIV'!E532</f>
        <v>0</v>
      </c>
      <c r="E531" s="5">
        <f>'[3]M.C UNPIV'!F532</f>
        <v>0</v>
      </c>
      <c r="F531" s="5">
        <f>'[3]M.C UNPIV'!G532</f>
        <v>0</v>
      </c>
      <c r="G531" s="6">
        <f>'[3]M.C UNPIV'!H532</f>
        <v>0</v>
      </c>
      <c r="H531" s="5">
        <f>'[3]M.C UNPIV'!I532</f>
        <v>0</v>
      </c>
      <c r="I531" s="7">
        <f>'[3]M.C UNPIV'!J532</f>
        <v>0</v>
      </c>
      <c r="J531" s="7">
        <f>'[3]M.C UNPIV'!K532</f>
        <v>0</v>
      </c>
      <c r="K531" s="7">
        <f>'[3]M.C UNPIV'!L532</f>
        <v>0</v>
      </c>
      <c r="L531" s="7">
        <f>'[3]M.C UNPIV'!M532</f>
        <v>0</v>
      </c>
      <c r="M531" s="6">
        <f>'[3]M.C UNPIV'!N532</f>
        <v>0</v>
      </c>
      <c r="N531" s="5">
        <f>'[3]M.C UNPIV'!O532</f>
        <v>0</v>
      </c>
      <c r="O531" s="5">
        <f>'[3]M.C UNPIV'!P532</f>
        <v>0</v>
      </c>
    </row>
    <row r="532" spans="1:15" x14ac:dyDescent="0.25">
      <c r="A532" s="4">
        <f>'[3]M.C UNPIV'!B533</f>
        <v>0</v>
      </c>
      <c r="B532" s="5">
        <f>'[3]M.C UNPIV'!C533</f>
        <v>0</v>
      </c>
      <c r="C532" s="5">
        <f>'[3]M.C UNPIV'!D533</f>
        <v>0</v>
      </c>
      <c r="D532" s="5">
        <f>'[3]M.C UNPIV'!E533</f>
        <v>0</v>
      </c>
      <c r="E532" s="5">
        <f>'[3]M.C UNPIV'!F533</f>
        <v>0</v>
      </c>
      <c r="F532" s="5">
        <f>'[3]M.C UNPIV'!G533</f>
        <v>0</v>
      </c>
      <c r="G532" s="6">
        <f>'[3]M.C UNPIV'!H533</f>
        <v>0</v>
      </c>
      <c r="H532" s="5">
        <f>'[3]M.C UNPIV'!I533</f>
        <v>0</v>
      </c>
      <c r="I532" s="7">
        <f>'[3]M.C UNPIV'!J533</f>
        <v>0</v>
      </c>
      <c r="J532" s="7">
        <f>'[3]M.C UNPIV'!K533</f>
        <v>0</v>
      </c>
      <c r="K532" s="7">
        <f>'[3]M.C UNPIV'!L533</f>
        <v>0</v>
      </c>
      <c r="L532" s="7">
        <f>'[3]M.C UNPIV'!M533</f>
        <v>0</v>
      </c>
      <c r="M532" s="6">
        <f>'[3]M.C UNPIV'!N533</f>
        <v>0</v>
      </c>
      <c r="N532" s="5">
        <f>'[3]M.C UNPIV'!O533</f>
        <v>0</v>
      </c>
      <c r="O532" s="5">
        <f>'[3]M.C UNPIV'!P533</f>
        <v>0</v>
      </c>
    </row>
    <row r="533" spans="1:15" x14ac:dyDescent="0.25">
      <c r="A533" s="4">
        <f>'[3]M.C UNPIV'!B534</f>
        <v>0</v>
      </c>
      <c r="B533" s="5">
        <f>'[3]M.C UNPIV'!C534</f>
        <v>0</v>
      </c>
      <c r="C533" s="5">
        <f>'[3]M.C UNPIV'!D534</f>
        <v>0</v>
      </c>
      <c r="D533" s="5">
        <f>'[3]M.C UNPIV'!E534</f>
        <v>0</v>
      </c>
      <c r="E533" s="5">
        <f>'[3]M.C UNPIV'!F534</f>
        <v>0</v>
      </c>
      <c r="F533" s="5">
        <f>'[3]M.C UNPIV'!G534</f>
        <v>0</v>
      </c>
      <c r="G533" s="6">
        <f>'[3]M.C UNPIV'!H534</f>
        <v>0</v>
      </c>
      <c r="H533" s="5">
        <f>'[3]M.C UNPIV'!I534</f>
        <v>0</v>
      </c>
      <c r="I533" s="7">
        <f>'[3]M.C UNPIV'!J534</f>
        <v>0</v>
      </c>
      <c r="J533" s="7">
        <f>'[3]M.C UNPIV'!K534</f>
        <v>0</v>
      </c>
      <c r="K533" s="7">
        <f>'[3]M.C UNPIV'!L534</f>
        <v>0</v>
      </c>
      <c r="L533" s="7">
        <f>'[3]M.C UNPIV'!M534</f>
        <v>0</v>
      </c>
      <c r="M533" s="6">
        <f>'[3]M.C UNPIV'!N534</f>
        <v>0</v>
      </c>
      <c r="N533" s="5">
        <f>'[3]M.C UNPIV'!O534</f>
        <v>0</v>
      </c>
      <c r="O533" s="5">
        <f>'[3]M.C UNPIV'!P534</f>
        <v>0</v>
      </c>
    </row>
    <row r="534" spans="1:15" x14ac:dyDescent="0.25">
      <c r="A534" s="4">
        <f>'[3]M.C UNPIV'!B535</f>
        <v>0</v>
      </c>
      <c r="B534" s="5">
        <f>'[3]M.C UNPIV'!C535</f>
        <v>0</v>
      </c>
      <c r="C534" s="5">
        <f>'[3]M.C UNPIV'!D535</f>
        <v>0</v>
      </c>
      <c r="D534" s="5">
        <f>'[3]M.C UNPIV'!E535</f>
        <v>0</v>
      </c>
      <c r="E534" s="5">
        <f>'[3]M.C UNPIV'!F535</f>
        <v>0</v>
      </c>
      <c r="F534" s="5">
        <f>'[3]M.C UNPIV'!G535</f>
        <v>0</v>
      </c>
      <c r="G534" s="6">
        <f>'[3]M.C UNPIV'!H535</f>
        <v>0</v>
      </c>
      <c r="H534" s="5">
        <f>'[3]M.C UNPIV'!I535</f>
        <v>0</v>
      </c>
      <c r="I534" s="7">
        <f>'[3]M.C UNPIV'!J535</f>
        <v>0</v>
      </c>
      <c r="J534" s="7">
        <f>'[3]M.C UNPIV'!K535</f>
        <v>0</v>
      </c>
      <c r="K534" s="7">
        <f>'[3]M.C UNPIV'!L535</f>
        <v>0</v>
      </c>
      <c r="L534" s="7">
        <f>'[3]M.C UNPIV'!M535</f>
        <v>0</v>
      </c>
      <c r="M534" s="6">
        <f>'[3]M.C UNPIV'!N535</f>
        <v>0</v>
      </c>
      <c r="N534" s="5">
        <f>'[3]M.C UNPIV'!O535</f>
        <v>0</v>
      </c>
      <c r="O534" s="5">
        <f>'[3]M.C UNPIV'!P535</f>
        <v>0</v>
      </c>
    </row>
    <row r="535" spans="1:15" x14ac:dyDescent="0.25">
      <c r="A535" s="4">
        <f>'[3]M.C UNPIV'!B536</f>
        <v>0</v>
      </c>
      <c r="B535" s="5">
        <f>'[3]M.C UNPIV'!C536</f>
        <v>0</v>
      </c>
      <c r="C535" s="5">
        <f>'[3]M.C UNPIV'!D536</f>
        <v>0</v>
      </c>
      <c r="D535" s="5">
        <f>'[3]M.C UNPIV'!E536</f>
        <v>0</v>
      </c>
      <c r="E535" s="5">
        <f>'[3]M.C UNPIV'!F536</f>
        <v>0</v>
      </c>
      <c r="F535" s="5">
        <f>'[3]M.C UNPIV'!G536</f>
        <v>0</v>
      </c>
      <c r="G535" s="6">
        <f>'[3]M.C UNPIV'!H536</f>
        <v>0</v>
      </c>
      <c r="H535" s="5">
        <f>'[3]M.C UNPIV'!I536</f>
        <v>0</v>
      </c>
      <c r="I535" s="7">
        <f>'[3]M.C UNPIV'!J536</f>
        <v>0</v>
      </c>
      <c r="J535" s="7">
        <f>'[3]M.C UNPIV'!K536</f>
        <v>0</v>
      </c>
      <c r="K535" s="7">
        <f>'[3]M.C UNPIV'!L536</f>
        <v>0</v>
      </c>
      <c r="L535" s="7">
        <f>'[3]M.C UNPIV'!M536</f>
        <v>0</v>
      </c>
      <c r="M535" s="6">
        <f>'[3]M.C UNPIV'!N536</f>
        <v>0</v>
      </c>
      <c r="N535" s="5">
        <f>'[3]M.C UNPIV'!O536</f>
        <v>0</v>
      </c>
      <c r="O535" s="5">
        <f>'[3]M.C UNPIV'!P536</f>
        <v>0</v>
      </c>
    </row>
    <row r="536" spans="1:15" x14ac:dyDescent="0.25">
      <c r="A536" s="4">
        <f>'[3]M.C UNPIV'!B537</f>
        <v>0</v>
      </c>
      <c r="B536" s="5">
        <f>'[3]M.C UNPIV'!C537</f>
        <v>0</v>
      </c>
      <c r="C536" s="5">
        <f>'[3]M.C UNPIV'!D537</f>
        <v>0</v>
      </c>
      <c r="D536" s="5">
        <f>'[3]M.C UNPIV'!E537</f>
        <v>0</v>
      </c>
      <c r="E536" s="5">
        <f>'[3]M.C UNPIV'!F537</f>
        <v>0</v>
      </c>
      <c r="F536" s="5">
        <f>'[3]M.C UNPIV'!G537</f>
        <v>0</v>
      </c>
      <c r="G536" s="6">
        <f>'[3]M.C UNPIV'!H537</f>
        <v>0</v>
      </c>
      <c r="H536" s="5">
        <f>'[3]M.C UNPIV'!I537</f>
        <v>0</v>
      </c>
      <c r="I536" s="7">
        <f>'[3]M.C UNPIV'!J537</f>
        <v>0</v>
      </c>
      <c r="J536" s="7">
        <f>'[3]M.C UNPIV'!K537</f>
        <v>0</v>
      </c>
      <c r="K536" s="7">
        <f>'[3]M.C UNPIV'!L537</f>
        <v>0</v>
      </c>
      <c r="L536" s="7">
        <f>'[3]M.C UNPIV'!M537</f>
        <v>0</v>
      </c>
      <c r="M536" s="6">
        <f>'[3]M.C UNPIV'!N537</f>
        <v>0</v>
      </c>
      <c r="N536" s="5">
        <f>'[3]M.C UNPIV'!O537</f>
        <v>0</v>
      </c>
      <c r="O536" s="5">
        <f>'[3]M.C UNPIV'!P537</f>
        <v>0</v>
      </c>
    </row>
    <row r="537" spans="1:15" x14ac:dyDescent="0.25">
      <c r="A537" s="4">
        <f>'[3]M.C UNPIV'!B538</f>
        <v>0</v>
      </c>
      <c r="B537" s="5">
        <f>'[3]M.C UNPIV'!C538</f>
        <v>0</v>
      </c>
      <c r="C537" s="5">
        <f>'[3]M.C UNPIV'!D538</f>
        <v>0</v>
      </c>
      <c r="D537" s="5">
        <f>'[3]M.C UNPIV'!E538</f>
        <v>0</v>
      </c>
      <c r="E537" s="5">
        <f>'[3]M.C UNPIV'!F538</f>
        <v>0</v>
      </c>
      <c r="F537" s="5">
        <f>'[3]M.C UNPIV'!G538</f>
        <v>0</v>
      </c>
      <c r="G537" s="6">
        <f>'[3]M.C UNPIV'!H538</f>
        <v>0</v>
      </c>
      <c r="H537" s="5">
        <f>'[3]M.C UNPIV'!I538</f>
        <v>0</v>
      </c>
      <c r="I537" s="7">
        <f>'[3]M.C UNPIV'!J538</f>
        <v>0</v>
      </c>
      <c r="J537" s="7">
        <f>'[3]M.C UNPIV'!K538</f>
        <v>0</v>
      </c>
      <c r="K537" s="7">
        <f>'[3]M.C UNPIV'!L538</f>
        <v>0</v>
      </c>
      <c r="L537" s="7">
        <f>'[3]M.C UNPIV'!M538</f>
        <v>0</v>
      </c>
      <c r="M537" s="6">
        <f>'[3]M.C UNPIV'!N538</f>
        <v>0</v>
      </c>
      <c r="N537" s="5">
        <f>'[3]M.C UNPIV'!O538</f>
        <v>0</v>
      </c>
      <c r="O537" s="5">
        <f>'[3]M.C UNPIV'!P538</f>
        <v>0</v>
      </c>
    </row>
    <row r="538" spans="1:15" x14ac:dyDescent="0.25">
      <c r="A538" s="4">
        <f>'[3]M.C UNPIV'!B539</f>
        <v>0</v>
      </c>
      <c r="B538" s="5">
        <f>'[3]M.C UNPIV'!C539</f>
        <v>0</v>
      </c>
      <c r="C538" s="5">
        <f>'[3]M.C UNPIV'!D539</f>
        <v>0</v>
      </c>
      <c r="D538" s="5">
        <f>'[3]M.C UNPIV'!E539</f>
        <v>0</v>
      </c>
      <c r="E538" s="5">
        <f>'[3]M.C UNPIV'!F539</f>
        <v>0</v>
      </c>
      <c r="F538" s="5">
        <f>'[3]M.C UNPIV'!G539</f>
        <v>0</v>
      </c>
      <c r="G538" s="6">
        <f>'[3]M.C UNPIV'!H539</f>
        <v>0</v>
      </c>
      <c r="H538" s="5">
        <f>'[3]M.C UNPIV'!I539</f>
        <v>0</v>
      </c>
      <c r="I538" s="7">
        <f>'[3]M.C UNPIV'!J539</f>
        <v>0</v>
      </c>
      <c r="J538" s="7">
        <f>'[3]M.C UNPIV'!K539</f>
        <v>0</v>
      </c>
      <c r="K538" s="7">
        <f>'[3]M.C UNPIV'!L539</f>
        <v>0</v>
      </c>
      <c r="L538" s="7">
        <f>'[3]M.C UNPIV'!M539</f>
        <v>0</v>
      </c>
      <c r="M538" s="6">
        <f>'[3]M.C UNPIV'!N539</f>
        <v>0</v>
      </c>
      <c r="N538" s="5">
        <f>'[3]M.C UNPIV'!O539</f>
        <v>0</v>
      </c>
      <c r="O538" s="5">
        <f>'[3]M.C UNPIV'!P539</f>
        <v>0</v>
      </c>
    </row>
    <row r="539" spans="1:15" x14ac:dyDescent="0.25">
      <c r="A539" s="4">
        <f>'[3]M.C UNPIV'!B540</f>
        <v>0</v>
      </c>
      <c r="B539" s="5">
        <f>'[3]M.C UNPIV'!C540</f>
        <v>0</v>
      </c>
      <c r="C539" s="5">
        <f>'[3]M.C UNPIV'!D540</f>
        <v>0</v>
      </c>
      <c r="D539" s="5">
        <f>'[3]M.C UNPIV'!E540</f>
        <v>0</v>
      </c>
      <c r="E539" s="5">
        <f>'[3]M.C UNPIV'!F540</f>
        <v>0</v>
      </c>
      <c r="F539" s="5">
        <f>'[3]M.C UNPIV'!G540</f>
        <v>0</v>
      </c>
      <c r="G539" s="6">
        <f>'[3]M.C UNPIV'!H540</f>
        <v>0</v>
      </c>
      <c r="H539" s="5">
        <f>'[3]M.C UNPIV'!I540</f>
        <v>0</v>
      </c>
      <c r="I539" s="7">
        <f>'[3]M.C UNPIV'!J540</f>
        <v>0</v>
      </c>
      <c r="J539" s="7">
        <f>'[3]M.C UNPIV'!K540</f>
        <v>0</v>
      </c>
      <c r="K539" s="7">
        <f>'[3]M.C UNPIV'!L540</f>
        <v>0</v>
      </c>
      <c r="L539" s="7">
        <f>'[3]M.C UNPIV'!M540</f>
        <v>0</v>
      </c>
      <c r="M539" s="6">
        <f>'[3]M.C UNPIV'!N540</f>
        <v>0</v>
      </c>
      <c r="N539" s="5">
        <f>'[3]M.C UNPIV'!O540</f>
        <v>0</v>
      </c>
      <c r="O539" s="5">
        <f>'[3]M.C UNPIV'!P540</f>
        <v>0</v>
      </c>
    </row>
    <row r="540" spans="1:15" x14ac:dyDescent="0.25">
      <c r="A540" s="4">
        <f>'[3]M.C UNPIV'!B541</f>
        <v>0</v>
      </c>
      <c r="B540" s="5">
        <f>'[3]M.C UNPIV'!C541</f>
        <v>0</v>
      </c>
      <c r="C540" s="5">
        <f>'[3]M.C UNPIV'!D541</f>
        <v>0</v>
      </c>
      <c r="D540" s="5">
        <f>'[3]M.C UNPIV'!E541</f>
        <v>0</v>
      </c>
      <c r="E540" s="5">
        <f>'[3]M.C UNPIV'!F541</f>
        <v>0</v>
      </c>
      <c r="F540" s="5">
        <f>'[3]M.C UNPIV'!G541</f>
        <v>0</v>
      </c>
      <c r="G540" s="6">
        <f>'[3]M.C UNPIV'!H541</f>
        <v>0</v>
      </c>
      <c r="H540" s="5">
        <f>'[3]M.C UNPIV'!I541</f>
        <v>0</v>
      </c>
      <c r="I540" s="7">
        <f>'[3]M.C UNPIV'!J541</f>
        <v>0</v>
      </c>
      <c r="J540" s="7">
        <f>'[3]M.C UNPIV'!K541</f>
        <v>0</v>
      </c>
      <c r="K540" s="7">
        <f>'[3]M.C UNPIV'!L541</f>
        <v>0</v>
      </c>
      <c r="L540" s="7">
        <f>'[3]M.C UNPIV'!M541</f>
        <v>0</v>
      </c>
      <c r="M540" s="6">
        <f>'[3]M.C UNPIV'!N541</f>
        <v>0</v>
      </c>
      <c r="N540" s="5">
        <f>'[3]M.C UNPIV'!O541</f>
        <v>0</v>
      </c>
      <c r="O540" s="5">
        <f>'[3]M.C UNPIV'!P541</f>
        <v>0</v>
      </c>
    </row>
    <row r="541" spans="1:15" x14ac:dyDescent="0.25">
      <c r="A541" s="4">
        <f>'[3]M.C UNPIV'!B542</f>
        <v>0</v>
      </c>
      <c r="B541" s="5">
        <f>'[3]M.C UNPIV'!C542</f>
        <v>0</v>
      </c>
      <c r="C541" s="5">
        <f>'[3]M.C UNPIV'!D542</f>
        <v>0</v>
      </c>
      <c r="D541" s="5">
        <f>'[3]M.C UNPIV'!E542</f>
        <v>0</v>
      </c>
      <c r="E541" s="5">
        <f>'[3]M.C UNPIV'!F542</f>
        <v>0</v>
      </c>
      <c r="F541" s="5">
        <f>'[3]M.C UNPIV'!G542</f>
        <v>0</v>
      </c>
      <c r="G541" s="6">
        <f>'[3]M.C UNPIV'!H542</f>
        <v>0</v>
      </c>
      <c r="H541" s="5">
        <f>'[3]M.C UNPIV'!I542</f>
        <v>0</v>
      </c>
      <c r="I541" s="7">
        <f>'[3]M.C UNPIV'!J542</f>
        <v>0</v>
      </c>
      <c r="J541" s="7">
        <f>'[3]M.C UNPIV'!K542</f>
        <v>0</v>
      </c>
      <c r="K541" s="7">
        <f>'[3]M.C UNPIV'!L542</f>
        <v>0</v>
      </c>
      <c r="L541" s="7">
        <f>'[3]M.C UNPIV'!M542</f>
        <v>0</v>
      </c>
      <c r="M541" s="6">
        <f>'[3]M.C UNPIV'!N542</f>
        <v>0</v>
      </c>
      <c r="N541" s="5">
        <f>'[3]M.C UNPIV'!O542</f>
        <v>0</v>
      </c>
      <c r="O541" s="5">
        <f>'[3]M.C UNPIV'!P542</f>
        <v>0</v>
      </c>
    </row>
    <row r="542" spans="1:15" x14ac:dyDescent="0.25">
      <c r="A542" s="4">
        <f>'[3]M.C UNPIV'!B543</f>
        <v>0</v>
      </c>
      <c r="B542" s="5">
        <f>'[3]M.C UNPIV'!C543</f>
        <v>0</v>
      </c>
      <c r="C542" s="5">
        <f>'[3]M.C UNPIV'!D543</f>
        <v>0</v>
      </c>
      <c r="D542" s="5">
        <f>'[3]M.C UNPIV'!E543</f>
        <v>0</v>
      </c>
      <c r="E542" s="5">
        <f>'[3]M.C UNPIV'!F543</f>
        <v>0</v>
      </c>
      <c r="F542" s="5">
        <f>'[3]M.C UNPIV'!G543</f>
        <v>0</v>
      </c>
      <c r="G542" s="6">
        <f>'[3]M.C UNPIV'!H543</f>
        <v>0</v>
      </c>
      <c r="H542" s="5">
        <f>'[3]M.C UNPIV'!I543</f>
        <v>0</v>
      </c>
      <c r="I542" s="7">
        <f>'[3]M.C UNPIV'!J543</f>
        <v>0</v>
      </c>
      <c r="J542" s="7">
        <f>'[3]M.C UNPIV'!K543</f>
        <v>0</v>
      </c>
      <c r="K542" s="7">
        <f>'[3]M.C UNPIV'!L543</f>
        <v>0</v>
      </c>
      <c r="L542" s="7">
        <f>'[3]M.C UNPIV'!M543</f>
        <v>0</v>
      </c>
      <c r="M542" s="6">
        <f>'[3]M.C UNPIV'!N543</f>
        <v>0</v>
      </c>
      <c r="N542" s="5">
        <f>'[3]M.C UNPIV'!O543</f>
        <v>0</v>
      </c>
      <c r="O542" s="5">
        <f>'[3]M.C UNPIV'!P543</f>
        <v>0</v>
      </c>
    </row>
    <row r="543" spans="1:15" x14ac:dyDescent="0.25">
      <c r="A543" s="4">
        <f>'[3]M.C UNPIV'!B544</f>
        <v>0</v>
      </c>
      <c r="B543" s="5">
        <f>'[3]M.C UNPIV'!C544</f>
        <v>0</v>
      </c>
      <c r="C543" s="5">
        <f>'[3]M.C UNPIV'!D544</f>
        <v>0</v>
      </c>
      <c r="D543" s="5">
        <f>'[3]M.C UNPIV'!E544</f>
        <v>0</v>
      </c>
      <c r="E543" s="5">
        <f>'[3]M.C UNPIV'!F544</f>
        <v>0</v>
      </c>
      <c r="F543" s="5">
        <f>'[3]M.C UNPIV'!G544</f>
        <v>0</v>
      </c>
      <c r="G543" s="6">
        <f>'[3]M.C UNPIV'!H544</f>
        <v>0</v>
      </c>
      <c r="H543" s="5">
        <f>'[3]M.C UNPIV'!I544</f>
        <v>0</v>
      </c>
      <c r="I543" s="7">
        <f>'[3]M.C UNPIV'!J544</f>
        <v>0</v>
      </c>
      <c r="J543" s="7">
        <f>'[3]M.C UNPIV'!K544</f>
        <v>0</v>
      </c>
      <c r="K543" s="7">
        <f>'[3]M.C UNPIV'!L544</f>
        <v>0</v>
      </c>
      <c r="L543" s="7">
        <f>'[3]M.C UNPIV'!M544</f>
        <v>0</v>
      </c>
      <c r="M543" s="6">
        <f>'[3]M.C UNPIV'!N544</f>
        <v>0</v>
      </c>
      <c r="N543" s="5">
        <f>'[3]M.C UNPIV'!O544</f>
        <v>0</v>
      </c>
      <c r="O543" s="5">
        <f>'[3]M.C UNPIV'!P544</f>
        <v>0</v>
      </c>
    </row>
    <row r="544" spans="1:15" x14ac:dyDescent="0.25">
      <c r="A544" s="4">
        <f>'[3]M.C UNPIV'!B545</f>
        <v>0</v>
      </c>
      <c r="B544" s="5">
        <f>'[3]M.C UNPIV'!C545</f>
        <v>0</v>
      </c>
      <c r="C544" s="5">
        <f>'[3]M.C UNPIV'!D545</f>
        <v>0</v>
      </c>
      <c r="D544" s="5">
        <f>'[3]M.C UNPIV'!E545</f>
        <v>0</v>
      </c>
      <c r="E544" s="5">
        <f>'[3]M.C UNPIV'!F545</f>
        <v>0</v>
      </c>
      <c r="F544" s="5">
        <f>'[3]M.C UNPIV'!G545</f>
        <v>0</v>
      </c>
      <c r="G544" s="6">
        <f>'[3]M.C UNPIV'!H545</f>
        <v>0</v>
      </c>
      <c r="H544" s="5">
        <f>'[3]M.C UNPIV'!I545</f>
        <v>0</v>
      </c>
      <c r="I544" s="7">
        <f>'[3]M.C UNPIV'!J545</f>
        <v>0</v>
      </c>
      <c r="J544" s="7">
        <f>'[3]M.C UNPIV'!K545</f>
        <v>0</v>
      </c>
      <c r="K544" s="7">
        <f>'[3]M.C UNPIV'!L545</f>
        <v>0</v>
      </c>
      <c r="L544" s="7">
        <f>'[3]M.C UNPIV'!M545</f>
        <v>0</v>
      </c>
      <c r="M544" s="6">
        <f>'[3]M.C UNPIV'!N545</f>
        <v>0</v>
      </c>
      <c r="N544" s="5">
        <f>'[3]M.C UNPIV'!O545</f>
        <v>0</v>
      </c>
      <c r="O544" s="5">
        <f>'[3]M.C UNPIV'!P545</f>
        <v>0</v>
      </c>
    </row>
    <row r="545" spans="1:15" x14ac:dyDescent="0.25">
      <c r="A545" s="4">
        <f>'[3]M.C UNPIV'!B546</f>
        <v>0</v>
      </c>
      <c r="B545" s="5">
        <f>'[3]M.C UNPIV'!C546</f>
        <v>0</v>
      </c>
      <c r="C545" s="5">
        <f>'[3]M.C UNPIV'!D546</f>
        <v>0</v>
      </c>
      <c r="D545" s="5">
        <f>'[3]M.C UNPIV'!E546</f>
        <v>0</v>
      </c>
      <c r="E545" s="5">
        <f>'[3]M.C UNPIV'!F546</f>
        <v>0</v>
      </c>
      <c r="F545" s="5">
        <f>'[3]M.C UNPIV'!G546</f>
        <v>0</v>
      </c>
      <c r="G545" s="6">
        <f>'[3]M.C UNPIV'!H546</f>
        <v>0</v>
      </c>
      <c r="H545" s="5">
        <f>'[3]M.C UNPIV'!I546</f>
        <v>0</v>
      </c>
      <c r="I545" s="7">
        <f>'[3]M.C UNPIV'!J546</f>
        <v>0</v>
      </c>
      <c r="J545" s="7">
        <f>'[3]M.C UNPIV'!K546</f>
        <v>0</v>
      </c>
      <c r="K545" s="7">
        <f>'[3]M.C UNPIV'!L546</f>
        <v>0</v>
      </c>
      <c r="L545" s="7">
        <f>'[3]M.C UNPIV'!M546</f>
        <v>0</v>
      </c>
      <c r="M545" s="6">
        <f>'[3]M.C UNPIV'!N546</f>
        <v>0</v>
      </c>
      <c r="N545" s="5">
        <f>'[3]M.C UNPIV'!O546</f>
        <v>0</v>
      </c>
      <c r="O545" s="5">
        <f>'[3]M.C UNPIV'!P546</f>
        <v>0</v>
      </c>
    </row>
    <row r="546" spans="1:15" x14ac:dyDescent="0.25">
      <c r="A546" s="4">
        <f>'[3]M.C UNPIV'!B547</f>
        <v>0</v>
      </c>
      <c r="B546" s="5">
        <f>'[3]M.C UNPIV'!C547</f>
        <v>0</v>
      </c>
      <c r="C546" s="5">
        <f>'[3]M.C UNPIV'!D547</f>
        <v>0</v>
      </c>
      <c r="D546" s="5">
        <f>'[3]M.C UNPIV'!E547</f>
        <v>0</v>
      </c>
      <c r="E546" s="5">
        <f>'[3]M.C UNPIV'!F547</f>
        <v>0</v>
      </c>
      <c r="F546" s="5">
        <f>'[3]M.C UNPIV'!G547</f>
        <v>0</v>
      </c>
      <c r="G546" s="6">
        <f>'[3]M.C UNPIV'!H547</f>
        <v>0</v>
      </c>
      <c r="H546" s="5">
        <f>'[3]M.C UNPIV'!I547</f>
        <v>0</v>
      </c>
      <c r="I546" s="7">
        <f>'[3]M.C UNPIV'!J547</f>
        <v>0</v>
      </c>
      <c r="J546" s="7">
        <f>'[3]M.C UNPIV'!K547</f>
        <v>0</v>
      </c>
      <c r="K546" s="7">
        <f>'[3]M.C UNPIV'!L547</f>
        <v>0</v>
      </c>
      <c r="L546" s="7">
        <f>'[3]M.C UNPIV'!M547</f>
        <v>0</v>
      </c>
      <c r="M546" s="6">
        <f>'[3]M.C UNPIV'!N547</f>
        <v>0</v>
      </c>
      <c r="N546" s="5">
        <f>'[3]M.C UNPIV'!O547</f>
        <v>0</v>
      </c>
      <c r="O546" s="5">
        <f>'[3]M.C UNPIV'!P547</f>
        <v>0</v>
      </c>
    </row>
    <row r="547" spans="1:15" x14ac:dyDescent="0.25">
      <c r="A547" s="4">
        <f>'[3]M.C UNPIV'!B548</f>
        <v>0</v>
      </c>
      <c r="B547" s="5">
        <f>'[3]M.C UNPIV'!C548</f>
        <v>0</v>
      </c>
      <c r="C547" s="5">
        <f>'[3]M.C UNPIV'!D548</f>
        <v>0</v>
      </c>
      <c r="D547" s="5">
        <f>'[3]M.C UNPIV'!E548</f>
        <v>0</v>
      </c>
      <c r="E547" s="5">
        <f>'[3]M.C UNPIV'!F548</f>
        <v>0</v>
      </c>
      <c r="F547" s="5">
        <f>'[3]M.C UNPIV'!G548</f>
        <v>0</v>
      </c>
      <c r="G547" s="6">
        <f>'[3]M.C UNPIV'!H548</f>
        <v>0</v>
      </c>
      <c r="H547" s="5">
        <f>'[3]M.C UNPIV'!I548</f>
        <v>0</v>
      </c>
      <c r="I547" s="7">
        <f>'[3]M.C UNPIV'!J548</f>
        <v>0</v>
      </c>
      <c r="J547" s="7">
        <f>'[3]M.C UNPIV'!K548</f>
        <v>0</v>
      </c>
      <c r="K547" s="7">
        <f>'[3]M.C UNPIV'!L548</f>
        <v>0</v>
      </c>
      <c r="L547" s="7">
        <f>'[3]M.C UNPIV'!M548</f>
        <v>0</v>
      </c>
      <c r="M547" s="6">
        <f>'[3]M.C UNPIV'!N548</f>
        <v>0</v>
      </c>
      <c r="N547" s="5">
        <f>'[3]M.C UNPIV'!O548</f>
        <v>0</v>
      </c>
      <c r="O547" s="5">
        <f>'[3]M.C UNPIV'!P548</f>
        <v>0</v>
      </c>
    </row>
    <row r="548" spans="1:15" x14ac:dyDescent="0.25">
      <c r="A548" s="4">
        <f>'[3]M.C UNPIV'!B549</f>
        <v>0</v>
      </c>
      <c r="B548" s="5">
        <f>'[3]M.C UNPIV'!C549</f>
        <v>0</v>
      </c>
      <c r="C548" s="5">
        <f>'[3]M.C UNPIV'!D549</f>
        <v>0</v>
      </c>
      <c r="D548" s="5">
        <f>'[3]M.C UNPIV'!E549</f>
        <v>0</v>
      </c>
      <c r="E548" s="5">
        <f>'[3]M.C UNPIV'!F549</f>
        <v>0</v>
      </c>
      <c r="F548" s="5">
        <f>'[3]M.C UNPIV'!G549</f>
        <v>0</v>
      </c>
      <c r="G548" s="6">
        <f>'[3]M.C UNPIV'!H549</f>
        <v>0</v>
      </c>
      <c r="H548" s="5">
        <f>'[3]M.C UNPIV'!I549</f>
        <v>0</v>
      </c>
      <c r="I548" s="7">
        <f>'[3]M.C UNPIV'!J549</f>
        <v>0</v>
      </c>
      <c r="J548" s="7">
        <f>'[3]M.C UNPIV'!K549</f>
        <v>0</v>
      </c>
      <c r="K548" s="7">
        <f>'[3]M.C UNPIV'!L549</f>
        <v>0</v>
      </c>
      <c r="L548" s="7">
        <f>'[3]M.C UNPIV'!M549</f>
        <v>0</v>
      </c>
      <c r="M548" s="6">
        <f>'[3]M.C UNPIV'!N549</f>
        <v>0</v>
      </c>
      <c r="N548" s="5">
        <f>'[3]M.C UNPIV'!O549</f>
        <v>0</v>
      </c>
      <c r="O548" s="5">
        <f>'[3]M.C UNPIV'!P549</f>
        <v>0</v>
      </c>
    </row>
    <row r="549" spans="1:15" x14ac:dyDescent="0.25">
      <c r="A549" s="4">
        <f>'[3]M.C UNPIV'!B550</f>
        <v>0</v>
      </c>
      <c r="B549" s="5">
        <f>'[3]M.C UNPIV'!C550</f>
        <v>0</v>
      </c>
      <c r="C549" s="5">
        <f>'[3]M.C UNPIV'!D550</f>
        <v>0</v>
      </c>
      <c r="D549" s="5">
        <f>'[3]M.C UNPIV'!E550</f>
        <v>0</v>
      </c>
      <c r="E549" s="5">
        <f>'[3]M.C UNPIV'!F550</f>
        <v>0</v>
      </c>
      <c r="F549" s="5">
        <f>'[3]M.C UNPIV'!G550</f>
        <v>0</v>
      </c>
      <c r="G549" s="6">
        <f>'[3]M.C UNPIV'!H550</f>
        <v>0</v>
      </c>
      <c r="H549" s="5">
        <f>'[3]M.C UNPIV'!I550</f>
        <v>0</v>
      </c>
      <c r="I549" s="7">
        <f>'[3]M.C UNPIV'!J550</f>
        <v>0</v>
      </c>
      <c r="J549" s="7">
        <f>'[3]M.C UNPIV'!K550</f>
        <v>0</v>
      </c>
      <c r="K549" s="7">
        <f>'[3]M.C UNPIV'!L550</f>
        <v>0</v>
      </c>
      <c r="L549" s="7">
        <f>'[3]M.C UNPIV'!M550</f>
        <v>0</v>
      </c>
      <c r="M549" s="6">
        <f>'[3]M.C UNPIV'!N550</f>
        <v>0</v>
      </c>
      <c r="N549" s="5">
        <f>'[3]M.C UNPIV'!O550</f>
        <v>0</v>
      </c>
      <c r="O549" s="5">
        <f>'[3]M.C UNPIV'!P550</f>
        <v>0</v>
      </c>
    </row>
    <row r="550" spans="1:15" x14ac:dyDescent="0.25">
      <c r="A550" s="4">
        <f>'[3]M.C UNPIV'!B551</f>
        <v>0</v>
      </c>
      <c r="B550" s="5">
        <f>'[3]M.C UNPIV'!C551</f>
        <v>0</v>
      </c>
      <c r="C550" s="5">
        <f>'[3]M.C UNPIV'!D551</f>
        <v>0</v>
      </c>
      <c r="D550" s="5">
        <f>'[3]M.C UNPIV'!E551</f>
        <v>0</v>
      </c>
      <c r="E550" s="5">
        <f>'[3]M.C UNPIV'!F551</f>
        <v>0</v>
      </c>
      <c r="F550" s="5">
        <f>'[3]M.C UNPIV'!G551</f>
        <v>0</v>
      </c>
      <c r="G550" s="6">
        <f>'[3]M.C UNPIV'!H551</f>
        <v>0</v>
      </c>
      <c r="H550" s="5">
        <f>'[3]M.C UNPIV'!I551</f>
        <v>0</v>
      </c>
      <c r="I550" s="7">
        <f>'[3]M.C UNPIV'!J551</f>
        <v>0</v>
      </c>
      <c r="J550" s="7">
        <f>'[3]M.C UNPIV'!K551</f>
        <v>0</v>
      </c>
      <c r="K550" s="7">
        <f>'[3]M.C UNPIV'!L551</f>
        <v>0</v>
      </c>
      <c r="L550" s="7">
        <f>'[3]M.C UNPIV'!M551</f>
        <v>0</v>
      </c>
      <c r="M550" s="6">
        <f>'[3]M.C UNPIV'!N551</f>
        <v>0</v>
      </c>
      <c r="N550" s="5">
        <f>'[3]M.C UNPIV'!O551</f>
        <v>0</v>
      </c>
      <c r="O550" s="5">
        <f>'[3]M.C UNPIV'!P551</f>
        <v>0</v>
      </c>
    </row>
    <row r="551" spans="1:15" x14ac:dyDescent="0.25">
      <c r="A551" s="4">
        <f>'[3]M.C UNPIV'!B552</f>
        <v>0</v>
      </c>
      <c r="B551" s="5">
        <f>'[3]M.C UNPIV'!C552</f>
        <v>0</v>
      </c>
      <c r="C551" s="5">
        <f>'[3]M.C UNPIV'!D552</f>
        <v>0</v>
      </c>
      <c r="D551" s="5">
        <f>'[3]M.C UNPIV'!E552</f>
        <v>0</v>
      </c>
      <c r="E551" s="5">
        <f>'[3]M.C UNPIV'!F552</f>
        <v>0</v>
      </c>
      <c r="F551" s="5">
        <f>'[3]M.C UNPIV'!G552</f>
        <v>0</v>
      </c>
      <c r="G551" s="6">
        <f>'[3]M.C UNPIV'!H552</f>
        <v>0</v>
      </c>
      <c r="H551" s="5">
        <f>'[3]M.C UNPIV'!I552</f>
        <v>0</v>
      </c>
      <c r="I551" s="7">
        <f>'[3]M.C UNPIV'!J552</f>
        <v>0</v>
      </c>
      <c r="J551" s="7">
        <f>'[3]M.C UNPIV'!K552</f>
        <v>0</v>
      </c>
      <c r="K551" s="7">
        <f>'[3]M.C UNPIV'!L552</f>
        <v>0</v>
      </c>
      <c r="L551" s="7">
        <f>'[3]M.C UNPIV'!M552</f>
        <v>0</v>
      </c>
      <c r="M551" s="6">
        <f>'[3]M.C UNPIV'!N552</f>
        <v>0</v>
      </c>
      <c r="N551" s="5">
        <f>'[3]M.C UNPIV'!O552</f>
        <v>0</v>
      </c>
      <c r="O551" s="5">
        <f>'[3]M.C UNPIV'!P552</f>
        <v>0</v>
      </c>
    </row>
    <row r="552" spans="1:15" x14ac:dyDescent="0.25">
      <c r="A552" s="4">
        <f>'[3]M.C UNPIV'!B553</f>
        <v>0</v>
      </c>
      <c r="B552" s="5">
        <f>'[3]M.C UNPIV'!C553</f>
        <v>0</v>
      </c>
      <c r="C552" s="5">
        <f>'[3]M.C UNPIV'!D553</f>
        <v>0</v>
      </c>
      <c r="D552" s="5">
        <f>'[3]M.C UNPIV'!E553</f>
        <v>0</v>
      </c>
      <c r="E552" s="5">
        <f>'[3]M.C UNPIV'!F553</f>
        <v>0</v>
      </c>
      <c r="F552" s="5">
        <f>'[3]M.C UNPIV'!G553</f>
        <v>0</v>
      </c>
      <c r="G552" s="6">
        <f>'[3]M.C UNPIV'!H553</f>
        <v>0</v>
      </c>
      <c r="H552" s="5">
        <f>'[3]M.C UNPIV'!I553</f>
        <v>0</v>
      </c>
      <c r="I552" s="7">
        <f>'[3]M.C UNPIV'!J553</f>
        <v>0</v>
      </c>
      <c r="J552" s="7">
        <f>'[3]M.C UNPIV'!K553</f>
        <v>0</v>
      </c>
      <c r="K552" s="7">
        <f>'[3]M.C UNPIV'!L553</f>
        <v>0</v>
      </c>
      <c r="L552" s="7">
        <f>'[3]M.C UNPIV'!M553</f>
        <v>0</v>
      </c>
      <c r="M552" s="6">
        <f>'[3]M.C UNPIV'!N553</f>
        <v>0</v>
      </c>
      <c r="N552" s="5">
        <f>'[3]M.C UNPIV'!O553</f>
        <v>0</v>
      </c>
      <c r="O552" s="5">
        <f>'[3]M.C UNPIV'!P553</f>
        <v>0</v>
      </c>
    </row>
    <row r="553" spans="1:15" x14ac:dyDescent="0.25">
      <c r="A553" s="4">
        <f>'[3]M.C UNPIV'!B554</f>
        <v>0</v>
      </c>
      <c r="B553" s="5">
        <f>'[3]M.C UNPIV'!C554</f>
        <v>0</v>
      </c>
      <c r="C553" s="5">
        <f>'[3]M.C UNPIV'!D554</f>
        <v>0</v>
      </c>
      <c r="D553" s="5">
        <f>'[3]M.C UNPIV'!E554</f>
        <v>0</v>
      </c>
      <c r="E553" s="5">
        <f>'[3]M.C UNPIV'!F554</f>
        <v>0</v>
      </c>
      <c r="F553" s="5">
        <f>'[3]M.C UNPIV'!G554</f>
        <v>0</v>
      </c>
      <c r="G553" s="6">
        <f>'[3]M.C UNPIV'!H554</f>
        <v>0</v>
      </c>
      <c r="H553" s="5">
        <f>'[3]M.C UNPIV'!I554</f>
        <v>0</v>
      </c>
      <c r="I553" s="7">
        <f>'[3]M.C UNPIV'!J554</f>
        <v>0</v>
      </c>
      <c r="J553" s="7">
        <f>'[3]M.C UNPIV'!K554</f>
        <v>0</v>
      </c>
      <c r="K553" s="7">
        <f>'[3]M.C UNPIV'!L554</f>
        <v>0</v>
      </c>
      <c r="L553" s="7">
        <f>'[3]M.C UNPIV'!M554</f>
        <v>0</v>
      </c>
      <c r="M553" s="6">
        <f>'[3]M.C UNPIV'!N554</f>
        <v>0</v>
      </c>
      <c r="N553" s="5">
        <f>'[3]M.C UNPIV'!O554</f>
        <v>0</v>
      </c>
      <c r="O553" s="5">
        <f>'[3]M.C UNPIV'!P554</f>
        <v>0</v>
      </c>
    </row>
    <row r="554" spans="1:15" x14ac:dyDescent="0.25">
      <c r="A554" s="4">
        <f>'[3]M.C UNPIV'!B555</f>
        <v>0</v>
      </c>
      <c r="B554" s="5">
        <f>'[3]M.C UNPIV'!C555</f>
        <v>0</v>
      </c>
      <c r="C554" s="5">
        <f>'[3]M.C UNPIV'!D555</f>
        <v>0</v>
      </c>
      <c r="D554" s="5">
        <f>'[3]M.C UNPIV'!E555</f>
        <v>0</v>
      </c>
      <c r="E554" s="5">
        <f>'[3]M.C UNPIV'!F555</f>
        <v>0</v>
      </c>
      <c r="F554" s="5">
        <f>'[3]M.C UNPIV'!G555</f>
        <v>0</v>
      </c>
      <c r="G554" s="6">
        <f>'[3]M.C UNPIV'!H555</f>
        <v>0</v>
      </c>
      <c r="H554" s="5">
        <f>'[3]M.C UNPIV'!I555</f>
        <v>0</v>
      </c>
      <c r="I554" s="7">
        <f>'[3]M.C UNPIV'!J555</f>
        <v>0</v>
      </c>
      <c r="J554" s="7">
        <f>'[3]M.C UNPIV'!K555</f>
        <v>0</v>
      </c>
      <c r="K554" s="7">
        <f>'[3]M.C UNPIV'!L555</f>
        <v>0</v>
      </c>
      <c r="L554" s="7">
        <f>'[3]M.C UNPIV'!M555</f>
        <v>0</v>
      </c>
      <c r="M554" s="6">
        <f>'[3]M.C UNPIV'!N555</f>
        <v>0</v>
      </c>
      <c r="N554" s="5">
        <f>'[3]M.C UNPIV'!O555</f>
        <v>0</v>
      </c>
      <c r="O554" s="5">
        <f>'[3]M.C UNPIV'!P555</f>
        <v>0</v>
      </c>
    </row>
    <row r="555" spans="1:15" x14ac:dyDescent="0.25">
      <c r="A555" s="4">
        <f>'[3]M.C UNPIV'!B556</f>
        <v>0</v>
      </c>
      <c r="B555" s="5">
        <f>'[3]M.C UNPIV'!C556</f>
        <v>0</v>
      </c>
      <c r="C555" s="5">
        <f>'[3]M.C UNPIV'!D556</f>
        <v>0</v>
      </c>
      <c r="D555" s="5">
        <f>'[3]M.C UNPIV'!E556</f>
        <v>0</v>
      </c>
      <c r="E555" s="5">
        <f>'[3]M.C UNPIV'!F556</f>
        <v>0</v>
      </c>
      <c r="F555" s="5">
        <f>'[3]M.C UNPIV'!G556</f>
        <v>0</v>
      </c>
      <c r="G555" s="6">
        <f>'[3]M.C UNPIV'!H556</f>
        <v>0</v>
      </c>
      <c r="H555" s="5">
        <f>'[3]M.C UNPIV'!I556</f>
        <v>0</v>
      </c>
      <c r="I555" s="7">
        <f>'[3]M.C UNPIV'!J556</f>
        <v>0</v>
      </c>
      <c r="J555" s="7">
        <f>'[3]M.C UNPIV'!K556</f>
        <v>0</v>
      </c>
      <c r="K555" s="7">
        <f>'[3]M.C UNPIV'!L556</f>
        <v>0</v>
      </c>
      <c r="L555" s="7">
        <f>'[3]M.C UNPIV'!M556</f>
        <v>0</v>
      </c>
      <c r="M555" s="6">
        <f>'[3]M.C UNPIV'!N556</f>
        <v>0</v>
      </c>
      <c r="N555" s="5">
        <f>'[3]M.C UNPIV'!O556</f>
        <v>0</v>
      </c>
      <c r="O555" s="5">
        <f>'[3]M.C UNPIV'!P556</f>
        <v>0</v>
      </c>
    </row>
    <row r="556" spans="1:15" x14ac:dyDescent="0.25">
      <c r="A556" s="4">
        <f>'[3]M.C UNPIV'!B557</f>
        <v>0</v>
      </c>
      <c r="B556" s="5">
        <f>'[3]M.C UNPIV'!C557</f>
        <v>0</v>
      </c>
      <c r="C556" s="5">
        <f>'[3]M.C UNPIV'!D557</f>
        <v>0</v>
      </c>
      <c r="D556" s="5">
        <f>'[3]M.C UNPIV'!E557</f>
        <v>0</v>
      </c>
      <c r="E556" s="5">
        <f>'[3]M.C UNPIV'!F557</f>
        <v>0</v>
      </c>
      <c r="F556" s="5">
        <f>'[3]M.C UNPIV'!G557</f>
        <v>0</v>
      </c>
      <c r="G556" s="6">
        <f>'[3]M.C UNPIV'!H557</f>
        <v>0</v>
      </c>
      <c r="H556" s="5">
        <f>'[3]M.C UNPIV'!I557</f>
        <v>0</v>
      </c>
      <c r="I556" s="7">
        <f>'[3]M.C UNPIV'!J557</f>
        <v>0</v>
      </c>
      <c r="J556" s="7">
        <f>'[3]M.C UNPIV'!K557</f>
        <v>0</v>
      </c>
      <c r="K556" s="7">
        <f>'[3]M.C UNPIV'!L557</f>
        <v>0</v>
      </c>
      <c r="L556" s="7">
        <f>'[3]M.C UNPIV'!M557</f>
        <v>0</v>
      </c>
      <c r="M556" s="6">
        <f>'[3]M.C UNPIV'!N557</f>
        <v>0</v>
      </c>
      <c r="N556" s="5">
        <f>'[3]M.C UNPIV'!O557</f>
        <v>0</v>
      </c>
      <c r="O556" s="5">
        <f>'[3]M.C UNPIV'!P557</f>
        <v>0</v>
      </c>
    </row>
    <row r="557" spans="1:15" x14ac:dyDescent="0.25">
      <c r="A557" s="4">
        <f>'[3]M.C UNPIV'!B558</f>
        <v>0</v>
      </c>
      <c r="B557" s="5">
        <f>'[3]M.C UNPIV'!C558</f>
        <v>0</v>
      </c>
      <c r="C557" s="5">
        <f>'[3]M.C UNPIV'!D558</f>
        <v>0</v>
      </c>
      <c r="D557" s="5">
        <f>'[3]M.C UNPIV'!E558</f>
        <v>0</v>
      </c>
      <c r="E557" s="5">
        <f>'[3]M.C UNPIV'!F558</f>
        <v>0</v>
      </c>
      <c r="F557" s="5">
        <f>'[3]M.C UNPIV'!G558</f>
        <v>0</v>
      </c>
      <c r="G557" s="6">
        <f>'[3]M.C UNPIV'!H558</f>
        <v>0</v>
      </c>
      <c r="H557" s="5">
        <f>'[3]M.C UNPIV'!I558</f>
        <v>0</v>
      </c>
      <c r="I557" s="7">
        <f>'[3]M.C UNPIV'!J558</f>
        <v>0</v>
      </c>
      <c r="J557" s="7">
        <f>'[3]M.C UNPIV'!K558</f>
        <v>0</v>
      </c>
      <c r="K557" s="7">
        <f>'[3]M.C UNPIV'!L558</f>
        <v>0</v>
      </c>
      <c r="L557" s="7">
        <f>'[3]M.C UNPIV'!M558</f>
        <v>0</v>
      </c>
      <c r="M557" s="6">
        <f>'[3]M.C UNPIV'!N558</f>
        <v>0</v>
      </c>
      <c r="N557" s="5">
        <f>'[3]M.C UNPIV'!O558</f>
        <v>0</v>
      </c>
      <c r="O557" s="5">
        <f>'[3]M.C UNPIV'!P558</f>
        <v>0</v>
      </c>
    </row>
    <row r="558" spans="1:15" x14ac:dyDescent="0.25">
      <c r="A558" s="4">
        <f>'[3]M.C UNPIV'!B559</f>
        <v>0</v>
      </c>
      <c r="B558" s="5">
        <f>'[3]M.C UNPIV'!C559</f>
        <v>0</v>
      </c>
      <c r="C558" s="5">
        <f>'[3]M.C UNPIV'!D559</f>
        <v>0</v>
      </c>
      <c r="D558" s="5">
        <f>'[3]M.C UNPIV'!E559</f>
        <v>0</v>
      </c>
      <c r="E558" s="5">
        <f>'[3]M.C UNPIV'!F559</f>
        <v>0</v>
      </c>
      <c r="F558" s="5">
        <f>'[3]M.C UNPIV'!G559</f>
        <v>0</v>
      </c>
      <c r="G558" s="6">
        <f>'[3]M.C UNPIV'!H559</f>
        <v>0</v>
      </c>
      <c r="H558" s="5">
        <f>'[3]M.C UNPIV'!I559</f>
        <v>0</v>
      </c>
      <c r="I558" s="7">
        <f>'[3]M.C UNPIV'!J559</f>
        <v>0</v>
      </c>
      <c r="J558" s="7">
        <f>'[3]M.C UNPIV'!K559</f>
        <v>0</v>
      </c>
      <c r="K558" s="7">
        <f>'[3]M.C UNPIV'!L559</f>
        <v>0</v>
      </c>
      <c r="L558" s="7">
        <f>'[3]M.C UNPIV'!M559</f>
        <v>0</v>
      </c>
      <c r="M558" s="6">
        <f>'[3]M.C UNPIV'!N559</f>
        <v>0</v>
      </c>
      <c r="N558" s="5">
        <f>'[3]M.C UNPIV'!O559</f>
        <v>0</v>
      </c>
      <c r="O558" s="5">
        <f>'[3]M.C UNPIV'!P559</f>
        <v>0</v>
      </c>
    </row>
    <row r="559" spans="1:15" x14ac:dyDescent="0.25">
      <c r="A559" s="4">
        <f>'[3]M.C UNPIV'!B560</f>
        <v>0</v>
      </c>
      <c r="B559" s="5">
        <f>'[3]M.C UNPIV'!C560</f>
        <v>0</v>
      </c>
      <c r="C559" s="5">
        <f>'[3]M.C UNPIV'!D560</f>
        <v>0</v>
      </c>
      <c r="D559" s="5">
        <f>'[3]M.C UNPIV'!E560</f>
        <v>0</v>
      </c>
      <c r="E559" s="5">
        <f>'[3]M.C UNPIV'!F560</f>
        <v>0</v>
      </c>
      <c r="F559" s="5">
        <f>'[3]M.C UNPIV'!G560</f>
        <v>0</v>
      </c>
      <c r="G559" s="6">
        <f>'[3]M.C UNPIV'!H560</f>
        <v>0</v>
      </c>
      <c r="H559" s="5">
        <f>'[3]M.C UNPIV'!I560</f>
        <v>0</v>
      </c>
      <c r="I559" s="7">
        <f>'[3]M.C UNPIV'!J560</f>
        <v>0</v>
      </c>
      <c r="J559" s="7">
        <f>'[3]M.C UNPIV'!K560</f>
        <v>0</v>
      </c>
      <c r="K559" s="7">
        <f>'[3]M.C UNPIV'!L560</f>
        <v>0</v>
      </c>
      <c r="L559" s="7">
        <f>'[3]M.C UNPIV'!M560</f>
        <v>0</v>
      </c>
      <c r="M559" s="6">
        <f>'[3]M.C UNPIV'!N560</f>
        <v>0</v>
      </c>
      <c r="N559" s="5">
        <f>'[3]M.C UNPIV'!O560</f>
        <v>0</v>
      </c>
      <c r="O559" s="5">
        <f>'[3]M.C UNPIV'!P560</f>
        <v>0</v>
      </c>
    </row>
    <row r="560" spans="1:15" x14ac:dyDescent="0.25">
      <c r="A560" s="4">
        <f>'[3]M.C UNPIV'!B561</f>
        <v>0</v>
      </c>
      <c r="B560" s="5">
        <f>'[3]M.C UNPIV'!C561</f>
        <v>0</v>
      </c>
      <c r="C560" s="5">
        <f>'[3]M.C UNPIV'!D561</f>
        <v>0</v>
      </c>
      <c r="D560" s="5">
        <f>'[3]M.C UNPIV'!E561</f>
        <v>0</v>
      </c>
      <c r="E560" s="5">
        <f>'[3]M.C UNPIV'!F561</f>
        <v>0</v>
      </c>
      <c r="F560" s="5">
        <f>'[3]M.C UNPIV'!G561</f>
        <v>0</v>
      </c>
      <c r="G560" s="6">
        <f>'[3]M.C UNPIV'!H561</f>
        <v>0</v>
      </c>
      <c r="H560" s="5">
        <f>'[3]M.C UNPIV'!I561</f>
        <v>0</v>
      </c>
      <c r="I560" s="7">
        <f>'[3]M.C UNPIV'!J561</f>
        <v>0</v>
      </c>
      <c r="J560" s="7">
        <f>'[3]M.C UNPIV'!K561</f>
        <v>0</v>
      </c>
      <c r="K560" s="7">
        <f>'[3]M.C UNPIV'!L561</f>
        <v>0</v>
      </c>
      <c r="L560" s="7">
        <f>'[3]M.C UNPIV'!M561</f>
        <v>0</v>
      </c>
      <c r="M560" s="6">
        <f>'[3]M.C UNPIV'!N561</f>
        <v>0</v>
      </c>
      <c r="N560" s="5">
        <f>'[3]M.C UNPIV'!O561</f>
        <v>0</v>
      </c>
      <c r="O560" s="5">
        <f>'[3]M.C UNPIV'!P561</f>
        <v>0</v>
      </c>
    </row>
    <row r="561" spans="1:15" x14ac:dyDescent="0.25">
      <c r="A561" s="4">
        <f>'[3]M.C UNPIV'!B562</f>
        <v>0</v>
      </c>
      <c r="B561" s="5">
        <f>'[3]M.C UNPIV'!C562</f>
        <v>0</v>
      </c>
      <c r="C561" s="5">
        <f>'[3]M.C UNPIV'!D562</f>
        <v>0</v>
      </c>
      <c r="D561" s="5">
        <f>'[3]M.C UNPIV'!E562</f>
        <v>0</v>
      </c>
      <c r="E561" s="5">
        <f>'[3]M.C UNPIV'!F562</f>
        <v>0</v>
      </c>
      <c r="F561" s="5">
        <f>'[3]M.C UNPIV'!G562</f>
        <v>0</v>
      </c>
      <c r="G561" s="6">
        <f>'[3]M.C UNPIV'!H562</f>
        <v>0</v>
      </c>
      <c r="H561" s="5">
        <f>'[3]M.C UNPIV'!I562</f>
        <v>0</v>
      </c>
      <c r="I561" s="7">
        <f>'[3]M.C UNPIV'!J562</f>
        <v>0</v>
      </c>
      <c r="J561" s="7">
        <f>'[3]M.C UNPIV'!K562</f>
        <v>0</v>
      </c>
      <c r="K561" s="7">
        <f>'[3]M.C UNPIV'!L562</f>
        <v>0</v>
      </c>
      <c r="L561" s="7">
        <f>'[3]M.C UNPIV'!M562</f>
        <v>0</v>
      </c>
      <c r="M561" s="6">
        <f>'[3]M.C UNPIV'!N562</f>
        <v>0</v>
      </c>
      <c r="N561" s="5">
        <f>'[3]M.C UNPIV'!O562</f>
        <v>0</v>
      </c>
      <c r="O561" s="5">
        <f>'[3]M.C UNPIV'!P562</f>
        <v>0</v>
      </c>
    </row>
    <row r="562" spans="1:15" x14ac:dyDescent="0.25">
      <c r="A562" s="4">
        <f>'[3]M.C UNPIV'!B563</f>
        <v>0</v>
      </c>
      <c r="B562" s="5">
        <f>'[3]M.C UNPIV'!C563</f>
        <v>0</v>
      </c>
      <c r="C562" s="5">
        <f>'[3]M.C UNPIV'!D563</f>
        <v>0</v>
      </c>
      <c r="D562" s="5">
        <f>'[3]M.C UNPIV'!E563</f>
        <v>0</v>
      </c>
      <c r="E562" s="5">
        <f>'[3]M.C UNPIV'!F563</f>
        <v>0</v>
      </c>
      <c r="F562" s="5">
        <f>'[3]M.C UNPIV'!G563</f>
        <v>0</v>
      </c>
      <c r="G562" s="6">
        <f>'[3]M.C UNPIV'!H563</f>
        <v>0</v>
      </c>
      <c r="H562" s="5">
        <f>'[3]M.C UNPIV'!I563</f>
        <v>0</v>
      </c>
      <c r="I562" s="7">
        <f>'[3]M.C UNPIV'!J563</f>
        <v>0</v>
      </c>
      <c r="J562" s="7">
        <f>'[3]M.C UNPIV'!K563</f>
        <v>0</v>
      </c>
      <c r="K562" s="7">
        <f>'[3]M.C UNPIV'!L563</f>
        <v>0</v>
      </c>
      <c r="L562" s="7">
        <f>'[3]M.C UNPIV'!M563</f>
        <v>0</v>
      </c>
      <c r="M562" s="6">
        <f>'[3]M.C UNPIV'!N563</f>
        <v>0</v>
      </c>
      <c r="N562" s="5">
        <f>'[3]M.C UNPIV'!O563</f>
        <v>0</v>
      </c>
      <c r="O562" s="5">
        <f>'[3]M.C UNPIV'!P563</f>
        <v>0</v>
      </c>
    </row>
    <row r="563" spans="1:15" x14ac:dyDescent="0.25">
      <c r="A563" s="4">
        <f>'[3]M.C UNPIV'!B564</f>
        <v>0</v>
      </c>
      <c r="B563" s="5">
        <f>'[3]M.C UNPIV'!C564</f>
        <v>0</v>
      </c>
      <c r="C563" s="5">
        <f>'[3]M.C UNPIV'!D564</f>
        <v>0</v>
      </c>
      <c r="D563" s="5">
        <f>'[3]M.C UNPIV'!E564</f>
        <v>0</v>
      </c>
      <c r="E563" s="5">
        <f>'[3]M.C UNPIV'!F564</f>
        <v>0</v>
      </c>
      <c r="F563" s="5">
        <f>'[3]M.C UNPIV'!G564</f>
        <v>0</v>
      </c>
      <c r="G563" s="6">
        <f>'[3]M.C UNPIV'!H564</f>
        <v>0</v>
      </c>
      <c r="H563" s="5">
        <f>'[3]M.C UNPIV'!I564</f>
        <v>0</v>
      </c>
      <c r="I563" s="7">
        <f>'[3]M.C UNPIV'!J564</f>
        <v>0</v>
      </c>
      <c r="J563" s="7">
        <f>'[3]M.C UNPIV'!K564</f>
        <v>0</v>
      </c>
      <c r="K563" s="7">
        <f>'[3]M.C UNPIV'!L564</f>
        <v>0</v>
      </c>
      <c r="L563" s="7">
        <f>'[3]M.C UNPIV'!M564</f>
        <v>0</v>
      </c>
      <c r="M563" s="6">
        <f>'[3]M.C UNPIV'!N564</f>
        <v>0</v>
      </c>
      <c r="N563" s="5">
        <f>'[3]M.C UNPIV'!O564</f>
        <v>0</v>
      </c>
      <c r="O563" s="5">
        <f>'[3]M.C UNPIV'!P564</f>
        <v>0</v>
      </c>
    </row>
    <row r="564" spans="1:15" x14ac:dyDescent="0.25">
      <c r="A564" s="4">
        <f>'[3]M.C UNPIV'!B565</f>
        <v>0</v>
      </c>
      <c r="B564" s="5">
        <f>'[3]M.C UNPIV'!C565</f>
        <v>0</v>
      </c>
      <c r="C564" s="5">
        <f>'[3]M.C UNPIV'!D565</f>
        <v>0</v>
      </c>
      <c r="D564" s="5">
        <f>'[3]M.C UNPIV'!E565</f>
        <v>0</v>
      </c>
      <c r="E564" s="5">
        <f>'[3]M.C UNPIV'!F565</f>
        <v>0</v>
      </c>
      <c r="F564" s="5">
        <f>'[3]M.C UNPIV'!G565</f>
        <v>0</v>
      </c>
      <c r="G564" s="6">
        <f>'[3]M.C UNPIV'!H565</f>
        <v>0</v>
      </c>
      <c r="H564" s="5">
        <f>'[3]M.C UNPIV'!I565</f>
        <v>0</v>
      </c>
      <c r="I564" s="7">
        <f>'[3]M.C UNPIV'!J565</f>
        <v>0</v>
      </c>
      <c r="J564" s="7">
        <f>'[3]M.C UNPIV'!K565</f>
        <v>0</v>
      </c>
      <c r="K564" s="7">
        <f>'[3]M.C UNPIV'!L565</f>
        <v>0</v>
      </c>
      <c r="L564" s="7">
        <f>'[3]M.C UNPIV'!M565</f>
        <v>0</v>
      </c>
      <c r="M564" s="6">
        <f>'[3]M.C UNPIV'!N565</f>
        <v>0</v>
      </c>
      <c r="N564" s="5">
        <f>'[3]M.C UNPIV'!O565</f>
        <v>0</v>
      </c>
      <c r="O564" s="5">
        <f>'[3]M.C UNPIV'!P565</f>
        <v>0</v>
      </c>
    </row>
    <row r="565" spans="1:15" x14ac:dyDescent="0.25">
      <c r="A565" s="4">
        <f>'[3]M.C UNPIV'!B566</f>
        <v>0</v>
      </c>
      <c r="B565" s="5">
        <f>'[3]M.C UNPIV'!C566</f>
        <v>0</v>
      </c>
      <c r="C565" s="5">
        <f>'[3]M.C UNPIV'!D566</f>
        <v>0</v>
      </c>
      <c r="D565" s="5">
        <f>'[3]M.C UNPIV'!E566</f>
        <v>0</v>
      </c>
      <c r="E565" s="5">
        <f>'[3]M.C UNPIV'!F566</f>
        <v>0</v>
      </c>
      <c r="F565" s="5">
        <f>'[3]M.C UNPIV'!G566</f>
        <v>0</v>
      </c>
      <c r="G565" s="6">
        <f>'[3]M.C UNPIV'!H566</f>
        <v>0</v>
      </c>
      <c r="H565" s="5">
        <f>'[3]M.C UNPIV'!I566</f>
        <v>0</v>
      </c>
      <c r="I565" s="7">
        <f>'[3]M.C UNPIV'!J566</f>
        <v>0</v>
      </c>
      <c r="J565" s="7">
        <f>'[3]M.C UNPIV'!K566</f>
        <v>0</v>
      </c>
      <c r="K565" s="7">
        <f>'[3]M.C UNPIV'!L566</f>
        <v>0</v>
      </c>
      <c r="L565" s="7">
        <f>'[3]M.C UNPIV'!M566</f>
        <v>0</v>
      </c>
      <c r="M565" s="6">
        <f>'[3]M.C UNPIV'!N566</f>
        <v>0</v>
      </c>
      <c r="N565" s="5">
        <f>'[3]M.C UNPIV'!O566</f>
        <v>0</v>
      </c>
      <c r="O565" s="5">
        <f>'[3]M.C UNPIV'!P566</f>
        <v>0</v>
      </c>
    </row>
    <row r="566" spans="1:15" x14ac:dyDescent="0.25">
      <c r="A566" s="4">
        <f>'[3]M.C UNPIV'!B567</f>
        <v>0</v>
      </c>
      <c r="B566" s="5">
        <f>'[3]M.C UNPIV'!C567</f>
        <v>0</v>
      </c>
      <c r="C566" s="5">
        <f>'[3]M.C UNPIV'!D567</f>
        <v>0</v>
      </c>
      <c r="D566" s="5">
        <f>'[3]M.C UNPIV'!E567</f>
        <v>0</v>
      </c>
      <c r="E566" s="5">
        <f>'[3]M.C UNPIV'!F567</f>
        <v>0</v>
      </c>
      <c r="F566" s="5">
        <f>'[3]M.C UNPIV'!G567</f>
        <v>0</v>
      </c>
      <c r="G566" s="6">
        <f>'[3]M.C UNPIV'!H567</f>
        <v>0</v>
      </c>
      <c r="H566" s="5">
        <f>'[3]M.C UNPIV'!I567</f>
        <v>0</v>
      </c>
      <c r="I566" s="7">
        <f>'[3]M.C UNPIV'!J567</f>
        <v>0</v>
      </c>
      <c r="J566" s="7">
        <f>'[3]M.C UNPIV'!K567</f>
        <v>0</v>
      </c>
      <c r="K566" s="7">
        <f>'[3]M.C UNPIV'!L567</f>
        <v>0</v>
      </c>
      <c r="L566" s="7">
        <f>'[3]M.C UNPIV'!M567</f>
        <v>0</v>
      </c>
      <c r="M566" s="6">
        <f>'[3]M.C UNPIV'!N567</f>
        <v>0</v>
      </c>
      <c r="N566" s="5">
        <f>'[3]M.C UNPIV'!O567</f>
        <v>0</v>
      </c>
      <c r="O566" s="5">
        <f>'[3]M.C UNPIV'!P567</f>
        <v>0</v>
      </c>
    </row>
    <row r="567" spans="1:15" x14ac:dyDescent="0.25">
      <c r="A567" s="4">
        <f>'[3]M.C UNPIV'!B568</f>
        <v>0</v>
      </c>
      <c r="B567" s="5">
        <f>'[3]M.C UNPIV'!C568</f>
        <v>0</v>
      </c>
      <c r="C567" s="5">
        <f>'[3]M.C UNPIV'!D568</f>
        <v>0</v>
      </c>
      <c r="D567" s="5">
        <f>'[3]M.C UNPIV'!E568</f>
        <v>0</v>
      </c>
      <c r="E567" s="5">
        <f>'[3]M.C UNPIV'!F568</f>
        <v>0</v>
      </c>
      <c r="F567" s="5">
        <f>'[3]M.C UNPIV'!G568</f>
        <v>0</v>
      </c>
      <c r="G567" s="6">
        <f>'[3]M.C UNPIV'!H568</f>
        <v>0</v>
      </c>
      <c r="H567" s="5">
        <f>'[3]M.C UNPIV'!I568</f>
        <v>0</v>
      </c>
      <c r="I567" s="7">
        <f>'[3]M.C UNPIV'!J568</f>
        <v>0</v>
      </c>
      <c r="J567" s="7">
        <f>'[3]M.C UNPIV'!K568</f>
        <v>0</v>
      </c>
      <c r="K567" s="7">
        <f>'[3]M.C UNPIV'!L568</f>
        <v>0</v>
      </c>
      <c r="L567" s="7">
        <f>'[3]M.C UNPIV'!M568</f>
        <v>0</v>
      </c>
      <c r="M567" s="6">
        <f>'[3]M.C UNPIV'!N568</f>
        <v>0</v>
      </c>
      <c r="N567" s="5">
        <f>'[3]M.C UNPIV'!O568</f>
        <v>0</v>
      </c>
      <c r="O567" s="5">
        <f>'[3]M.C UNPIV'!P568</f>
        <v>0</v>
      </c>
    </row>
    <row r="568" spans="1:15" x14ac:dyDescent="0.25">
      <c r="A568" s="4">
        <f>'[3]M.C UNPIV'!B569</f>
        <v>0</v>
      </c>
      <c r="B568" s="5">
        <f>'[3]M.C UNPIV'!C569</f>
        <v>0</v>
      </c>
      <c r="C568" s="5">
        <f>'[3]M.C UNPIV'!D569</f>
        <v>0</v>
      </c>
      <c r="D568" s="5">
        <f>'[3]M.C UNPIV'!E569</f>
        <v>0</v>
      </c>
      <c r="E568" s="5">
        <f>'[3]M.C UNPIV'!F569</f>
        <v>0</v>
      </c>
      <c r="F568" s="5">
        <f>'[3]M.C UNPIV'!G569</f>
        <v>0</v>
      </c>
      <c r="G568" s="6">
        <f>'[3]M.C UNPIV'!H569</f>
        <v>0</v>
      </c>
      <c r="H568" s="5">
        <f>'[3]M.C UNPIV'!I569</f>
        <v>0</v>
      </c>
      <c r="I568" s="7">
        <f>'[3]M.C UNPIV'!J569</f>
        <v>0</v>
      </c>
      <c r="J568" s="7">
        <f>'[3]M.C UNPIV'!K569</f>
        <v>0</v>
      </c>
      <c r="K568" s="7">
        <f>'[3]M.C UNPIV'!L569</f>
        <v>0</v>
      </c>
      <c r="L568" s="7">
        <f>'[3]M.C UNPIV'!M569</f>
        <v>0</v>
      </c>
      <c r="M568" s="6">
        <f>'[3]M.C UNPIV'!N569</f>
        <v>0</v>
      </c>
      <c r="N568" s="5">
        <f>'[3]M.C UNPIV'!O569</f>
        <v>0</v>
      </c>
      <c r="O568" s="5">
        <f>'[3]M.C UNPIV'!P569</f>
        <v>0</v>
      </c>
    </row>
    <row r="569" spans="1:15" x14ac:dyDescent="0.25">
      <c r="A569" s="4">
        <f>'[3]M.C UNPIV'!B570</f>
        <v>0</v>
      </c>
      <c r="B569" s="5">
        <f>'[3]M.C UNPIV'!C570</f>
        <v>0</v>
      </c>
      <c r="C569" s="5">
        <f>'[3]M.C UNPIV'!D570</f>
        <v>0</v>
      </c>
      <c r="D569" s="5">
        <f>'[3]M.C UNPIV'!E570</f>
        <v>0</v>
      </c>
      <c r="E569" s="5">
        <f>'[3]M.C UNPIV'!F570</f>
        <v>0</v>
      </c>
      <c r="F569" s="5">
        <f>'[3]M.C UNPIV'!G570</f>
        <v>0</v>
      </c>
      <c r="G569" s="6">
        <f>'[3]M.C UNPIV'!H570</f>
        <v>0</v>
      </c>
      <c r="H569" s="5">
        <f>'[3]M.C UNPIV'!I570</f>
        <v>0</v>
      </c>
      <c r="I569" s="7">
        <f>'[3]M.C UNPIV'!J570</f>
        <v>0</v>
      </c>
      <c r="J569" s="7">
        <f>'[3]M.C UNPIV'!K570</f>
        <v>0</v>
      </c>
      <c r="K569" s="7">
        <f>'[3]M.C UNPIV'!L570</f>
        <v>0</v>
      </c>
      <c r="L569" s="7">
        <f>'[3]M.C UNPIV'!M570</f>
        <v>0</v>
      </c>
      <c r="M569" s="6">
        <f>'[3]M.C UNPIV'!N570</f>
        <v>0</v>
      </c>
      <c r="N569" s="5">
        <f>'[3]M.C UNPIV'!O570</f>
        <v>0</v>
      </c>
      <c r="O569" s="5">
        <f>'[3]M.C UNPIV'!P570</f>
        <v>0</v>
      </c>
    </row>
    <row r="570" spans="1:15" x14ac:dyDescent="0.25">
      <c r="A570" s="4">
        <f>'[3]M.C UNPIV'!B571</f>
        <v>0</v>
      </c>
      <c r="B570" s="5">
        <f>'[3]M.C UNPIV'!C571</f>
        <v>0</v>
      </c>
      <c r="C570" s="5">
        <f>'[3]M.C UNPIV'!D571</f>
        <v>0</v>
      </c>
      <c r="D570" s="5">
        <f>'[3]M.C UNPIV'!E571</f>
        <v>0</v>
      </c>
      <c r="E570" s="5">
        <f>'[3]M.C UNPIV'!F571</f>
        <v>0</v>
      </c>
      <c r="F570" s="5">
        <f>'[3]M.C UNPIV'!G571</f>
        <v>0</v>
      </c>
      <c r="G570" s="6">
        <f>'[3]M.C UNPIV'!H571</f>
        <v>0</v>
      </c>
      <c r="H570" s="5">
        <f>'[3]M.C UNPIV'!I571</f>
        <v>0</v>
      </c>
      <c r="I570" s="7">
        <f>'[3]M.C UNPIV'!J571</f>
        <v>0</v>
      </c>
      <c r="J570" s="7">
        <f>'[3]M.C UNPIV'!K571</f>
        <v>0</v>
      </c>
      <c r="K570" s="7">
        <f>'[3]M.C UNPIV'!L571</f>
        <v>0</v>
      </c>
      <c r="L570" s="7">
        <f>'[3]M.C UNPIV'!M571</f>
        <v>0</v>
      </c>
      <c r="M570" s="6">
        <f>'[3]M.C UNPIV'!N571</f>
        <v>0</v>
      </c>
      <c r="N570" s="5">
        <f>'[3]M.C UNPIV'!O571</f>
        <v>0</v>
      </c>
      <c r="O570" s="5">
        <f>'[3]M.C UNPIV'!P571</f>
        <v>0</v>
      </c>
    </row>
    <row r="571" spans="1:15" x14ac:dyDescent="0.25">
      <c r="A571" s="4">
        <f>'[3]M.C UNPIV'!B572</f>
        <v>0</v>
      </c>
      <c r="B571" s="5">
        <f>'[3]M.C UNPIV'!C572</f>
        <v>0</v>
      </c>
      <c r="C571" s="5">
        <f>'[3]M.C UNPIV'!D572</f>
        <v>0</v>
      </c>
      <c r="D571" s="5">
        <f>'[3]M.C UNPIV'!E572</f>
        <v>0</v>
      </c>
      <c r="E571" s="5">
        <f>'[3]M.C UNPIV'!F572</f>
        <v>0</v>
      </c>
      <c r="F571" s="5">
        <f>'[3]M.C UNPIV'!G572</f>
        <v>0</v>
      </c>
      <c r="G571" s="6">
        <f>'[3]M.C UNPIV'!H572</f>
        <v>0</v>
      </c>
      <c r="H571" s="5">
        <f>'[3]M.C UNPIV'!I572</f>
        <v>0</v>
      </c>
      <c r="I571" s="7">
        <f>'[3]M.C UNPIV'!J572</f>
        <v>0</v>
      </c>
      <c r="J571" s="7">
        <f>'[3]M.C UNPIV'!K572</f>
        <v>0</v>
      </c>
      <c r="K571" s="7">
        <f>'[3]M.C UNPIV'!L572</f>
        <v>0</v>
      </c>
      <c r="L571" s="7">
        <f>'[3]M.C UNPIV'!M572</f>
        <v>0</v>
      </c>
      <c r="M571" s="6">
        <f>'[3]M.C UNPIV'!N572</f>
        <v>0</v>
      </c>
      <c r="N571" s="5">
        <f>'[3]M.C UNPIV'!O572</f>
        <v>0</v>
      </c>
      <c r="O571" s="5">
        <f>'[3]M.C UNPIV'!P572</f>
        <v>0</v>
      </c>
    </row>
    <row r="572" spans="1:15" x14ac:dyDescent="0.25">
      <c r="A572" s="4">
        <f>'[3]M.C UNPIV'!B573</f>
        <v>0</v>
      </c>
      <c r="B572" s="5">
        <f>'[3]M.C UNPIV'!C573</f>
        <v>0</v>
      </c>
      <c r="C572" s="5">
        <f>'[3]M.C UNPIV'!D573</f>
        <v>0</v>
      </c>
      <c r="D572" s="5">
        <f>'[3]M.C UNPIV'!E573</f>
        <v>0</v>
      </c>
      <c r="E572" s="5">
        <f>'[3]M.C UNPIV'!F573</f>
        <v>0</v>
      </c>
      <c r="F572" s="5">
        <f>'[3]M.C UNPIV'!G573</f>
        <v>0</v>
      </c>
      <c r="G572" s="6">
        <f>'[3]M.C UNPIV'!H573</f>
        <v>0</v>
      </c>
      <c r="H572" s="5">
        <f>'[3]M.C UNPIV'!I573</f>
        <v>0</v>
      </c>
      <c r="I572" s="7">
        <f>'[3]M.C UNPIV'!J573</f>
        <v>0</v>
      </c>
      <c r="J572" s="7">
        <f>'[3]M.C UNPIV'!K573</f>
        <v>0</v>
      </c>
      <c r="K572" s="7">
        <f>'[3]M.C UNPIV'!L573</f>
        <v>0</v>
      </c>
      <c r="L572" s="7">
        <f>'[3]M.C UNPIV'!M573</f>
        <v>0</v>
      </c>
      <c r="M572" s="6">
        <f>'[3]M.C UNPIV'!N573</f>
        <v>0</v>
      </c>
      <c r="N572" s="5">
        <f>'[3]M.C UNPIV'!O573</f>
        <v>0</v>
      </c>
      <c r="O572" s="5">
        <f>'[3]M.C UNPIV'!P573</f>
        <v>0</v>
      </c>
    </row>
    <row r="573" spans="1:15" x14ac:dyDescent="0.25">
      <c r="A573" s="4">
        <f>'[3]M.C UNPIV'!B574</f>
        <v>0</v>
      </c>
      <c r="B573" s="5">
        <f>'[3]M.C UNPIV'!C574</f>
        <v>0</v>
      </c>
      <c r="C573" s="5">
        <f>'[3]M.C UNPIV'!D574</f>
        <v>0</v>
      </c>
      <c r="D573" s="5">
        <f>'[3]M.C UNPIV'!E574</f>
        <v>0</v>
      </c>
      <c r="E573" s="5">
        <f>'[3]M.C UNPIV'!F574</f>
        <v>0</v>
      </c>
      <c r="F573" s="5">
        <f>'[3]M.C UNPIV'!G574</f>
        <v>0</v>
      </c>
      <c r="G573" s="6">
        <f>'[3]M.C UNPIV'!H574</f>
        <v>0</v>
      </c>
      <c r="H573" s="5">
        <f>'[3]M.C UNPIV'!I574</f>
        <v>0</v>
      </c>
      <c r="I573" s="7">
        <f>'[3]M.C UNPIV'!J574</f>
        <v>0</v>
      </c>
      <c r="J573" s="7">
        <f>'[3]M.C UNPIV'!K574</f>
        <v>0</v>
      </c>
      <c r="K573" s="7">
        <f>'[3]M.C UNPIV'!L574</f>
        <v>0</v>
      </c>
      <c r="L573" s="7">
        <f>'[3]M.C UNPIV'!M574</f>
        <v>0</v>
      </c>
      <c r="M573" s="6">
        <f>'[3]M.C UNPIV'!N574</f>
        <v>0</v>
      </c>
      <c r="N573" s="5">
        <f>'[3]M.C UNPIV'!O574</f>
        <v>0</v>
      </c>
      <c r="O573" s="5">
        <f>'[3]M.C UNPIV'!P574</f>
        <v>0</v>
      </c>
    </row>
    <row r="574" spans="1:15" x14ac:dyDescent="0.25">
      <c r="A574" s="4">
        <f>'[3]M.C UNPIV'!B575</f>
        <v>0</v>
      </c>
      <c r="B574" s="5">
        <f>'[3]M.C UNPIV'!C575</f>
        <v>0</v>
      </c>
      <c r="C574" s="5">
        <f>'[3]M.C UNPIV'!D575</f>
        <v>0</v>
      </c>
      <c r="D574" s="5">
        <f>'[3]M.C UNPIV'!E575</f>
        <v>0</v>
      </c>
      <c r="E574" s="5">
        <f>'[3]M.C UNPIV'!F575</f>
        <v>0</v>
      </c>
      <c r="F574" s="5">
        <f>'[3]M.C UNPIV'!G575</f>
        <v>0</v>
      </c>
      <c r="G574" s="6">
        <f>'[3]M.C UNPIV'!H575</f>
        <v>0</v>
      </c>
      <c r="H574" s="5">
        <f>'[3]M.C UNPIV'!I575</f>
        <v>0</v>
      </c>
      <c r="I574" s="7">
        <f>'[3]M.C UNPIV'!J575</f>
        <v>0</v>
      </c>
      <c r="J574" s="7">
        <f>'[3]M.C UNPIV'!K575</f>
        <v>0</v>
      </c>
      <c r="K574" s="7">
        <f>'[3]M.C UNPIV'!L575</f>
        <v>0</v>
      </c>
      <c r="L574" s="7">
        <f>'[3]M.C UNPIV'!M575</f>
        <v>0</v>
      </c>
      <c r="M574" s="6">
        <f>'[3]M.C UNPIV'!N575</f>
        <v>0</v>
      </c>
      <c r="N574" s="5">
        <f>'[3]M.C UNPIV'!O575</f>
        <v>0</v>
      </c>
      <c r="O574" s="5">
        <f>'[3]M.C UNPIV'!P575</f>
        <v>0</v>
      </c>
    </row>
    <row r="575" spans="1:15" x14ac:dyDescent="0.25">
      <c r="A575" s="4">
        <f>'[3]M.C UNPIV'!B576</f>
        <v>0</v>
      </c>
      <c r="B575" s="5">
        <f>'[3]M.C UNPIV'!C576</f>
        <v>0</v>
      </c>
      <c r="C575" s="5">
        <f>'[3]M.C UNPIV'!D576</f>
        <v>0</v>
      </c>
      <c r="D575" s="5">
        <f>'[3]M.C UNPIV'!E576</f>
        <v>0</v>
      </c>
      <c r="E575" s="5">
        <f>'[3]M.C UNPIV'!F576</f>
        <v>0</v>
      </c>
      <c r="F575" s="5">
        <f>'[3]M.C UNPIV'!G576</f>
        <v>0</v>
      </c>
      <c r="G575" s="6">
        <f>'[3]M.C UNPIV'!H576</f>
        <v>0</v>
      </c>
      <c r="H575" s="5">
        <f>'[3]M.C UNPIV'!I576</f>
        <v>0</v>
      </c>
      <c r="I575" s="7">
        <f>'[3]M.C UNPIV'!J576</f>
        <v>0</v>
      </c>
      <c r="J575" s="7">
        <f>'[3]M.C UNPIV'!K576</f>
        <v>0</v>
      </c>
      <c r="K575" s="7">
        <f>'[3]M.C UNPIV'!L576</f>
        <v>0</v>
      </c>
      <c r="L575" s="7">
        <f>'[3]M.C UNPIV'!M576</f>
        <v>0</v>
      </c>
      <c r="M575" s="6">
        <f>'[3]M.C UNPIV'!N576</f>
        <v>0</v>
      </c>
      <c r="N575" s="5">
        <f>'[3]M.C UNPIV'!O576</f>
        <v>0</v>
      </c>
      <c r="O575" s="5">
        <f>'[3]M.C UNPIV'!P576</f>
        <v>0</v>
      </c>
    </row>
    <row r="576" spans="1:15" x14ac:dyDescent="0.25">
      <c r="A576" s="4">
        <f>'[3]M.C UNPIV'!B577</f>
        <v>0</v>
      </c>
      <c r="B576" s="5">
        <f>'[3]M.C UNPIV'!C577</f>
        <v>0</v>
      </c>
      <c r="C576" s="5">
        <f>'[3]M.C UNPIV'!D577</f>
        <v>0</v>
      </c>
      <c r="D576" s="5">
        <f>'[3]M.C UNPIV'!E577</f>
        <v>0</v>
      </c>
      <c r="E576" s="5">
        <f>'[3]M.C UNPIV'!F577</f>
        <v>0</v>
      </c>
      <c r="F576" s="5">
        <f>'[3]M.C UNPIV'!G577</f>
        <v>0</v>
      </c>
      <c r="G576" s="6">
        <f>'[3]M.C UNPIV'!H577</f>
        <v>0</v>
      </c>
      <c r="H576" s="5">
        <f>'[3]M.C UNPIV'!I577</f>
        <v>0</v>
      </c>
      <c r="I576" s="7">
        <f>'[3]M.C UNPIV'!J577</f>
        <v>0</v>
      </c>
      <c r="J576" s="7">
        <f>'[3]M.C UNPIV'!K577</f>
        <v>0</v>
      </c>
      <c r="K576" s="7">
        <f>'[3]M.C UNPIV'!L577</f>
        <v>0</v>
      </c>
      <c r="L576" s="7">
        <f>'[3]M.C UNPIV'!M577</f>
        <v>0</v>
      </c>
      <c r="M576" s="6">
        <f>'[3]M.C UNPIV'!N577</f>
        <v>0</v>
      </c>
      <c r="N576" s="5">
        <f>'[3]M.C UNPIV'!O577</f>
        <v>0</v>
      </c>
      <c r="O576" s="5">
        <f>'[3]M.C UNPIV'!P577</f>
        <v>0</v>
      </c>
    </row>
    <row r="577" spans="1:15" x14ac:dyDescent="0.25">
      <c r="A577" s="4">
        <f>'[3]M.C UNPIV'!B578</f>
        <v>0</v>
      </c>
      <c r="B577" s="5">
        <f>'[3]M.C UNPIV'!C578</f>
        <v>0</v>
      </c>
      <c r="C577" s="5">
        <f>'[3]M.C UNPIV'!D578</f>
        <v>0</v>
      </c>
      <c r="D577" s="5">
        <f>'[3]M.C UNPIV'!E578</f>
        <v>0</v>
      </c>
      <c r="E577" s="5">
        <f>'[3]M.C UNPIV'!F578</f>
        <v>0</v>
      </c>
      <c r="F577" s="5">
        <f>'[3]M.C UNPIV'!G578</f>
        <v>0</v>
      </c>
      <c r="G577" s="6">
        <f>'[3]M.C UNPIV'!H578</f>
        <v>0</v>
      </c>
      <c r="H577" s="5">
        <f>'[3]M.C UNPIV'!I578</f>
        <v>0</v>
      </c>
      <c r="I577" s="7">
        <f>'[3]M.C UNPIV'!J578</f>
        <v>0</v>
      </c>
      <c r="J577" s="7">
        <f>'[3]M.C UNPIV'!K578</f>
        <v>0</v>
      </c>
      <c r="K577" s="7">
        <f>'[3]M.C UNPIV'!L578</f>
        <v>0</v>
      </c>
      <c r="L577" s="7">
        <f>'[3]M.C UNPIV'!M578</f>
        <v>0</v>
      </c>
      <c r="M577" s="6">
        <f>'[3]M.C UNPIV'!N578</f>
        <v>0</v>
      </c>
      <c r="N577" s="5">
        <f>'[3]M.C UNPIV'!O578</f>
        <v>0</v>
      </c>
      <c r="O577" s="5">
        <f>'[3]M.C UNPIV'!P578</f>
        <v>0</v>
      </c>
    </row>
    <row r="578" spans="1:15" x14ac:dyDescent="0.25">
      <c r="A578" s="4">
        <f>'[3]M.C UNPIV'!B579</f>
        <v>0</v>
      </c>
      <c r="B578" s="5">
        <f>'[3]M.C UNPIV'!C579</f>
        <v>0</v>
      </c>
      <c r="C578" s="5">
        <f>'[3]M.C UNPIV'!D579</f>
        <v>0</v>
      </c>
      <c r="D578" s="5">
        <f>'[3]M.C UNPIV'!E579</f>
        <v>0</v>
      </c>
      <c r="E578" s="5">
        <f>'[3]M.C UNPIV'!F579</f>
        <v>0</v>
      </c>
      <c r="F578" s="5">
        <f>'[3]M.C UNPIV'!G579</f>
        <v>0</v>
      </c>
      <c r="G578" s="6">
        <f>'[3]M.C UNPIV'!H579</f>
        <v>0</v>
      </c>
      <c r="H578" s="5">
        <f>'[3]M.C UNPIV'!I579</f>
        <v>0</v>
      </c>
      <c r="I578" s="7">
        <f>'[3]M.C UNPIV'!J579</f>
        <v>0</v>
      </c>
      <c r="J578" s="7">
        <f>'[3]M.C UNPIV'!K579</f>
        <v>0</v>
      </c>
      <c r="K578" s="7">
        <f>'[3]M.C UNPIV'!L579</f>
        <v>0</v>
      </c>
      <c r="L578" s="7">
        <f>'[3]M.C UNPIV'!M579</f>
        <v>0</v>
      </c>
      <c r="M578" s="6">
        <f>'[3]M.C UNPIV'!N579</f>
        <v>0</v>
      </c>
      <c r="N578" s="5">
        <f>'[3]M.C UNPIV'!O579</f>
        <v>0</v>
      </c>
      <c r="O578" s="5">
        <f>'[3]M.C UNPIV'!P579</f>
        <v>0</v>
      </c>
    </row>
    <row r="579" spans="1:15" x14ac:dyDescent="0.25">
      <c r="A579" s="4">
        <f>'[3]M.C UNPIV'!B580</f>
        <v>0</v>
      </c>
      <c r="B579" s="5">
        <f>'[3]M.C UNPIV'!C580</f>
        <v>0</v>
      </c>
      <c r="C579" s="5">
        <f>'[3]M.C UNPIV'!D580</f>
        <v>0</v>
      </c>
      <c r="D579" s="5">
        <f>'[3]M.C UNPIV'!E580</f>
        <v>0</v>
      </c>
      <c r="E579" s="5">
        <f>'[3]M.C UNPIV'!F580</f>
        <v>0</v>
      </c>
      <c r="F579" s="5">
        <f>'[3]M.C UNPIV'!G580</f>
        <v>0</v>
      </c>
      <c r="G579" s="6">
        <f>'[3]M.C UNPIV'!H580</f>
        <v>0</v>
      </c>
      <c r="H579" s="5">
        <f>'[3]M.C UNPIV'!I580</f>
        <v>0</v>
      </c>
      <c r="I579" s="7">
        <f>'[3]M.C UNPIV'!J580</f>
        <v>0</v>
      </c>
      <c r="J579" s="7">
        <f>'[3]M.C UNPIV'!K580</f>
        <v>0</v>
      </c>
      <c r="K579" s="7">
        <f>'[3]M.C UNPIV'!L580</f>
        <v>0</v>
      </c>
      <c r="L579" s="7">
        <f>'[3]M.C UNPIV'!M580</f>
        <v>0</v>
      </c>
      <c r="M579" s="6">
        <f>'[3]M.C UNPIV'!N580</f>
        <v>0</v>
      </c>
      <c r="N579" s="5">
        <f>'[3]M.C UNPIV'!O580</f>
        <v>0</v>
      </c>
      <c r="O579" s="5">
        <f>'[3]M.C UNPIV'!P580</f>
        <v>0</v>
      </c>
    </row>
    <row r="580" spans="1:15" x14ac:dyDescent="0.25">
      <c r="A580" s="4">
        <f>'[3]M.C UNPIV'!B581</f>
        <v>0</v>
      </c>
      <c r="B580" s="5">
        <f>'[3]M.C UNPIV'!C581</f>
        <v>0</v>
      </c>
      <c r="C580" s="5">
        <f>'[3]M.C UNPIV'!D581</f>
        <v>0</v>
      </c>
      <c r="D580" s="5">
        <f>'[3]M.C UNPIV'!E581</f>
        <v>0</v>
      </c>
      <c r="E580" s="5">
        <f>'[3]M.C UNPIV'!F581</f>
        <v>0</v>
      </c>
      <c r="F580" s="5">
        <f>'[3]M.C UNPIV'!G581</f>
        <v>0</v>
      </c>
      <c r="G580" s="6">
        <f>'[3]M.C UNPIV'!H581</f>
        <v>0</v>
      </c>
      <c r="H580" s="5">
        <f>'[3]M.C UNPIV'!I581</f>
        <v>0</v>
      </c>
      <c r="I580" s="7">
        <f>'[3]M.C UNPIV'!J581</f>
        <v>0</v>
      </c>
      <c r="J580" s="7">
        <f>'[3]M.C UNPIV'!K581</f>
        <v>0</v>
      </c>
      <c r="K580" s="7">
        <f>'[3]M.C UNPIV'!L581</f>
        <v>0</v>
      </c>
      <c r="L580" s="7">
        <f>'[3]M.C UNPIV'!M581</f>
        <v>0</v>
      </c>
      <c r="M580" s="6">
        <f>'[3]M.C UNPIV'!N581</f>
        <v>0</v>
      </c>
      <c r="N580" s="5">
        <f>'[3]M.C UNPIV'!O581</f>
        <v>0</v>
      </c>
      <c r="O580" s="5">
        <f>'[3]M.C UNPIV'!P581</f>
        <v>0</v>
      </c>
    </row>
    <row r="581" spans="1:15" x14ac:dyDescent="0.25">
      <c r="A581" s="4">
        <f>'[3]M.C UNPIV'!B582</f>
        <v>0</v>
      </c>
      <c r="B581" s="5">
        <f>'[3]M.C UNPIV'!C582</f>
        <v>0</v>
      </c>
      <c r="C581" s="5">
        <f>'[3]M.C UNPIV'!D582</f>
        <v>0</v>
      </c>
      <c r="D581" s="5">
        <f>'[3]M.C UNPIV'!E582</f>
        <v>0</v>
      </c>
      <c r="E581" s="5">
        <f>'[3]M.C UNPIV'!F582</f>
        <v>0</v>
      </c>
      <c r="F581" s="5">
        <f>'[3]M.C UNPIV'!G582</f>
        <v>0</v>
      </c>
      <c r="G581" s="6">
        <f>'[3]M.C UNPIV'!H582</f>
        <v>0</v>
      </c>
      <c r="H581" s="5">
        <f>'[3]M.C UNPIV'!I582</f>
        <v>0</v>
      </c>
      <c r="I581" s="7">
        <f>'[3]M.C UNPIV'!J582</f>
        <v>0</v>
      </c>
      <c r="J581" s="7">
        <f>'[3]M.C UNPIV'!K582</f>
        <v>0</v>
      </c>
      <c r="K581" s="7">
        <f>'[3]M.C UNPIV'!L582</f>
        <v>0</v>
      </c>
      <c r="L581" s="7">
        <f>'[3]M.C UNPIV'!M582</f>
        <v>0</v>
      </c>
      <c r="M581" s="6">
        <f>'[3]M.C UNPIV'!N582</f>
        <v>0</v>
      </c>
      <c r="N581" s="5">
        <f>'[3]M.C UNPIV'!O582</f>
        <v>0</v>
      </c>
      <c r="O581" s="5">
        <f>'[3]M.C UNPIV'!P582</f>
        <v>0</v>
      </c>
    </row>
    <row r="582" spans="1:15" x14ac:dyDescent="0.25">
      <c r="A582" s="4">
        <f>'[3]M.C UNPIV'!B583</f>
        <v>0</v>
      </c>
      <c r="B582" s="5">
        <f>'[3]M.C UNPIV'!C583</f>
        <v>0</v>
      </c>
      <c r="C582" s="5">
        <f>'[3]M.C UNPIV'!D583</f>
        <v>0</v>
      </c>
      <c r="D582" s="5">
        <f>'[3]M.C UNPIV'!E583</f>
        <v>0</v>
      </c>
      <c r="E582" s="5">
        <f>'[3]M.C UNPIV'!F583</f>
        <v>0</v>
      </c>
      <c r="F582" s="5">
        <f>'[3]M.C UNPIV'!G583</f>
        <v>0</v>
      </c>
      <c r="G582" s="6">
        <f>'[3]M.C UNPIV'!H583</f>
        <v>0</v>
      </c>
      <c r="H582" s="5">
        <f>'[3]M.C UNPIV'!I583</f>
        <v>0</v>
      </c>
      <c r="I582" s="7">
        <f>'[3]M.C UNPIV'!J583</f>
        <v>0</v>
      </c>
      <c r="J582" s="7">
        <f>'[3]M.C UNPIV'!K583</f>
        <v>0</v>
      </c>
      <c r="K582" s="7">
        <f>'[3]M.C UNPIV'!L583</f>
        <v>0</v>
      </c>
      <c r="L582" s="7">
        <f>'[3]M.C UNPIV'!M583</f>
        <v>0</v>
      </c>
      <c r="M582" s="6">
        <f>'[3]M.C UNPIV'!N583</f>
        <v>0</v>
      </c>
      <c r="N582" s="5">
        <f>'[3]M.C UNPIV'!O583</f>
        <v>0</v>
      </c>
      <c r="O582" s="5">
        <f>'[3]M.C UNPIV'!P583</f>
        <v>0</v>
      </c>
    </row>
    <row r="583" spans="1:15" x14ac:dyDescent="0.25">
      <c r="A583" s="4">
        <f>'[3]M.C UNPIV'!B584</f>
        <v>0</v>
      </c>
      <c r="B583" s="5">
        <f>'[3]M.C UNPIV'!C584</f>
        <v>0</v>
      </c>
      <c r="C583" s="5">
        <f>'[3]M.C UNPIV'!D584</f>
        <v>0</v>
      </c>
      <c r="D583" s="5">
        <f>'[3]M.C UNPIV'!E584</f>
        <v>0</v>
      </c>
      <c r="E583" s="5">
        <f>'[3]M.C UNPIV'!F584</f>
        <v>0</v>
      </c>
      <c r="F583" s="5">
        <f>'[3]M.C UNPIV'!G584</f>
        <v>0</v>
      </c>
      <c r="G583" s="6">
        <f>'[3]M.C UNPIV'!H584</f>
        <v>0</v>
      </c>
      <c r="H583" s="5">
        <f>'[3]M.C UNPIV'!I584</f>
        <v>0</v>
      </c>
      <c r="I583" s="7">
        <f>'[3]M.C UNPIV'!J584</f>
        <v>0</v>
      </c>
      <c r="J583" s="7">
        <f>'[3]M.C UNPIV'!K584</f>
        <v>0</v>
      </c>
      <c r="K583" s="7">
        <f>'[3]M.C UNPIV'!L584</f>
        <v>0</v>
      </c>
      <c r="L583" s="7">
        <f>'[3]M.C UNPIV'!M584</f>
        <v>0</v>
      </c>
      <c r="M583" s="6">
        <f>'[3]M.C UNPIV'!N584</f>
        <v>0</v>
      </c>
      <c r="N583" s="5">
        <f>'[3]M.C UNPIV'!O584</f>
        <v>0</v>
      </c>
      <c r="O583" s="5">
        <f>'[3]M.C UNPIV'!P584</f>
        <v>0</v>
      </c>
    </row>
    <row r="584" spans="1:15" x14ac:dyDescent="0.25">
      <c r="A584" s="4">
        <f>'[3]M.C UNPIV'!B585</f>
        <v>0</v>
      </c>
      <c r="B584" s="5">
        <f>'[3]M.C UNPIV'!C585</f>
        <v>0</v>
      </c>
      <c r="C584" s="5">
        <f>'[3]M.C UNPIV'!D585</f>
        <v>0</v>
      </c>
      <c r="D584" s="5">
        <f>'[3]M.C UNPIV'!E585</f>
        <v>0</v>
      </c>
      <c r="E584" s="5">
        <f>'[3]M.C UNPIV'!F585</f>
        <v>0</v>
      </c>
      <c r="F584" s="5">
        <f>'[3]M.C UNPIV'!G585</f>
        <v>0</v>
      </c>
      <c r="G584" s="6">
        <f>'[3]M.C UNPIV'!H585</f>
        <v>0</v>
      </c>
      <c r="H584" s="5">
        <f>'[3]M.C UNPIV'!I585</f>
        <v>0</v>
      </c>
      <c r="I584" s="7">
        <f>'[3]M.C UNPIV'!J585</f>
        <v>0</v>
      </c>
      <c r="J584" s="7">
        <f>'[3]M.C UNPIV'!K585</f>
        <v>0</v>
      </c>
      <c r="K584" s="7">
        <f>'[3]M.C UNPIV'!L585</f>
        <v>0</v>
      </c>
      <c r="L584" s="7">
        <f>'[3]M.C UNPIV'!M585</f>
        <v>0</v>
      </c>
      <c r="M584" s="6">
        <f>'[3]M.C UNPIV'!N585</f>
        <v>0</v>
      </c>
      <c r="N584" s="5">
        <f>'[3]M.C UNPIV'!O585</f>
        <v>0</v>
      </c>
      <c r="O584" s="5">
        <f>'[3]M.C UNPIV'!P585</f>
        <v>0</v>
      </c>
    </row>
    <row r="585" spans="1:15" x14ac:dyDescent="0.25">
      <c r="A585" s="4">
        <f>'[3]M.C UNPIV'!B586</f>
        <v>0</v>
      </c>
      <c r="B585" s="5">
        <f>'[3]M.C UNPIV'!C586</f>
        <v>0</v>
      </c>
      <c r="C585" s="5">
        <f>'[3]M.C UNPIV'!D586</f>
        <v>0</v>
      </c>
      <c r="D585" s="5">
        <f>'[3]M.C UNPIV'!E586</f>
        <v>0</v>
      </c>
      <c r="E585" s="5">
        <f>'[3]M.C UNPIV'!F586</f>
        <v>0</v>
      </c>
      <c r="F585" s="5">
        <f>'[3]M.C UNPIV'!G586</f>
        <v>0</v>
      </c>
      <c r="G585" s="6">
        <f>'[3]M.C UNPIV'!H586</f>
        <v>0</v>
      </c>
      <c r="H585" s="5">
        <f>'[3]M.C UNPIV'!I586</f>
        <v>0</v>
      </c>
      <c r="I585" s="7">
        <f>'[3]M.C UNPIV'!J586</f>
        <v>0</v>
      </c>
      <c r="J585" s="7">
        <f>'[3]M.C UNPIV'!K586</f>
        <v>0</v>
      </c>
      <c r="K585" s="7">
        <f>'[3]M.C UNPIV'!L586</f>
        <v>0</v>
      </c>
      <c r="L585" s="7">
        <f>'[3]M.C UNPIV'!M586</f>
        <v>0</v>
      </c>
      <c r="M585" s="6">
        <f>'[3]M.C UNPIV'!N586</f>
        <v>0</v>
      </c>
      <c r="N585" s="5">
        <f>'[3]M.C UNPIV'!O586</f>
        <v>0</v>
      </c>
      <c r="O585" s="5">
        <f>'[3]M.C UNPIV'!P586</f>
        <v>0</v>
      </c>
    </row>
    <row r="586" spans="1:15" x14ac:dyDescent="0.25">
      <c r="A586" s="4">
        <f>'[3]M.C UNPIV'!B587</f>
        <v>0</v>
      </c>
      <c r="B586" s="5">
        <f>'[3]M.C UNPIV'!C587</f>
        <v>0</v>
      </c>
      <c r="C586" s="5">
        <f>'[3]M.C UNPIV'!D587</f>
        <v>0</v>
      </c>
      <c r="D586" s="5">
        <f>'[3]M.C UNPIV'!E587</f>
        <v>0</v>
      </c>
      <c r="E586" s="5">
        <f>'[3]M.C UNPIV'!F587</f>
        <v>0</v>
      </c>
      <c r="F586" s="5">
        <f>'[3]M.C UNPIV'!G587</f>
        <v>0</v>
      </c>
      <c r="G586" s="6">
        <f>'[3]M.C UNPIV'!H587</f>
        <v>0</v>
      </c>
      <c r="H586" s="5">
        <f>'[3]M.C UNPIV'!I587</f>
        <v>0</v>
      </c>
      <c r="I586" s="7">
        <f>'[3]M.C UNPIV'!J587</f>
        <v>0</v>
      </c>
      <c r="J586" s="7">
        <f>'[3]M.C UNPIV'!K587</f>
        <v>0</v>
      </c>
      <c r="K586" s="7">
        <f>'[3]M.C UNPIV'!L587</f>
        <v>0</v>
      </c>
      <c r="L586" s="7">
        <f>'[3]M.C UNPIV'!M587</f>
        <v>0</v>
      </c>
      <c r="M586" s="6">
        <f>'[3]M.C UNPIV'!N587</f>
        <v>0</v>
      </c>
      <c r="N586" s="5">
        <f>'[3]M.C UNPIV'!O587</f>
        <v>0</v>
      </c>
      <c r="O586" s="5">
        <f>'[3]M.C UNPIV'!P587</f>
        <v>0</v>
      </c>
    </row>
    <row r="587" spans="1:15" x14ac:dyDescent="0.25">
      <c r="A587" s="4">
        <f>'[3]M.C UNPIV'!B588</f>
        <v>0</v>
      </c>
      <c r="B587" s="5">
        <f>'[3]M.C UNPIV'!C588</f>
        <v>0</v>
      </c>
      <c r="C587" s="5">
        <f>'[3]M.C UNPIV'!D588</f>
        <v>0</v>
      </c>
      <c r="D587" s="5">
        <f>'[3]M.C UNPIV'!E588</f>
        <v>0</v>
      </c>
      <c r="E587" s="5">
        <f>'[3]M.C UNPIV'!F588</f>
        <v>0</v>
      </c>
      <c r="F587" s="5">
        <f>'[3]M.C UNPIV'!G588</f>
        <v>0</v>
      </c>
      <c r="G587" s="6">
        <f>'[3]M.C UNPIV'!H588</f>
        <v>0</v>
      </c>
      <c r="H587" s="5">
        <f>'[3]M.C UNPIV'!I588</f>
        <v>0</v>
      </c>
      <c r="I587" s="7">
        <f>'[3]M.C UNPIV'!J588</f>
        <v>0</v>
      </c>
      <c r="J587" s="7">
        <f>'[3]M.C UNPIV'!K588</f>
        <v>0</v>
      </c>
      <c r="K587" s="7">
        <f>'[3]M.C UNPIV'!L588</f>
        <v>0</v>
      </c>
      <c r="L587" s="7">
        <f>'[3]M.C UNPIV'!M588</f>
        <v>0</v>
      </c>
      <c r="M587" s="6">
        <f>'[3]M.C UNPIV'!N588</f>
        <v>0</v>
      </c>
      <c r="N587" s="5">
        <f>'[3]M.C UNPIV'!O588</f>
        <v>0</v>
      </c>
      <c r="O587" s="5">
        <f>'[3]M.C UNPIV'!P588</f>
        <v>0</v>
      </c>
    </row>
    <row r="588" spans="1:15" x14ac:dyDescent="0.25">
      <c r="A588" s="4">
        <f>'[3]M.C UNPIV'!B589</f>
        <v>0</v>
      </c>
      <c r="B588" s="5">
        <f>'[3]M.C UNPIV'!C589</f>
        <v>0</v>
      </c>
      <c r="C588" s="5">
        <f>'[3]M.C UNPIV'!D589</f>
        <v>0</v>
      </c>
      <c r="D588" s="5">
        <f>'[3]M.C UNPIV'!E589</f>
        <v>0</v>
      </c>
      <c r="E588" s="5">
        <f>'[3]M.C UNPIV'!F589</f>
        <v>0</v>
      </c>
      <c r="F588" s="5">
        <f>'[3]M.C UNPIV'!G589</f>
        <v>0</v>
      </c>
      <c r="G588" s="6">
        <f>'[3]M.C UNPIV'!H589</f>
        <v>0</v>
      </c>
      <c r="H588" s="5">
        <f>'[3]M.C UNPIV'!I589</f>
        <v>0</v>
      </c>
      <c r="I588" s="7">
        <f>'[3]M.C UNPIV'!J589</f>
        <v>0</v>
      </c>
      <c r="J588" s="7">
        <f>'[3]M.C UNPIV'!K589</f>
        <v>0</v>
      </c>
      <c r="K588" s="7">
        <f>'[3]M.C UNPIV'!L589</f>
        <v>0</v>
      </c>
      <c r="L588" s="7">
        <f>'[3]M.C UNPIV'!M589</f>
        <v>0</v>
      </c>
      <c r="M588" s="6">
        <f>'[3]M.C UNPIV'!N589</f>
        <v>0</v>
      </c>
      <c r="N588" s="5">
        <f>'[3]M.C UNPIV'!O589</f>
        <v>0</v>
      </c>
      <c r="O588" s="5">
        <f>'[3]M.C UNPIV'!P589</f>
        <v>0</v>
      </c>
    </row>
    <row r="589" spans="1:15" x14ac:dyDescent="0.25">
      <c r="A589" s="4">
        <f>'[3]M.C UNPIV'!B590</f>
        <v>0</v>
      </c>
      <c r="B589" s="5">
        <f>'[3]M.C UNPIV'!C590</f>
        <v>0</v>
      </c>
      <c r="C589" s="5">
        <f>'[3]M.C UNPIV'!D590</f>
        <v>0</v>
      </c>
      <c r="D589" s="5">
        <f>'[3]M.C UNPIV'!E590</f>
        <v>0</v>
      </c>
      <c r="E589" s="5">
        <f>'[3]M.C UNPIV'!F590</f>
        <v>0</v>
      </c>
      <c r="F589" s="5">
        <f>'[3]M.C UNPIV'!G590</f>
        <v>0</v>
      </c>
      <c r="G589" s="6">
        <f>'[3]M.C UNPIV'!H590</f>
        <v>0</v>
      </c>
      <c r="H589" s="5">
        <f>'[3]M.C UNPIV'!I590</f>
        <v>0</v>
      </c>
      <c r="I589" s="7">
        <f>'[3]M.C UNPIV'!J590</f>
        <v>0</v>
      </c>
      <c r="J589" s="7">
        <f>'[3]M.C UNPIV'!K590</f>
        <v>0</v>
      </c>
      <c r="K589" s="7">
        <f>'[3]M.C UNPIV'!L590</f>
        <v>0</v>
      </c>
      <c r="L589" s="7">
        <f>'[3]M.C UNPIV'!M590</f>
        <v>0</v>
      </c>
      <c r="M589" s="6">
        <f>'[3]M.C UNPIV'!N590</f>
        <v>0</v>
      </c>
      <c r="N589" s="5">
        <f>'[3]M.C UNPIV'!O590</f>
        <v>0</v>
      </c>
      <c r="O589" s="5">
        <f>'[3]M.C UNPIV'!P590</f>
        <v>0</v>
      </c>
    </row>
    <row r="590" spans="1:15" x14ac:dyDescent="0.25">
      <c r="A590" s="4">
        <f>'[3]M.C UNPIV'!B591</f>
        <v>0</v>
      </c>
      <c r="B590" s="5">
        <f>'[3]M.C UNPIV'!C591</f>
        <v>0</v>
      </c>
      <c r="C590" s="5">
        <f>'[3]M.C UNPIV'!D591</f>
        <v>0</v>
      </c>
      <c r="D590" s="5">
        <f>'[3]M.C UNPIV'!E591</f>
        <v>0</v>
      </c>
      <c r="E590" s="5">
        <f>'[3]M.C UNPIV'!F591</f>
        <v>0</v>
      </c>
      <c r="F590" s="5">
        <f>'[3]M.C UNPIV'!G591</f>
        <v>0</v>
      </c>
      <c r="G590" s="6">
        <f>'[3]M.C UNPIV'!H591</f>
        <v>0</v>
      </c>
      <c r="H590" s="5">
        <f>'[3]M.C UNPIV'!I591</f>
        <v>0</v>
      </c>
      <c r="I590" s="7">
        <f>'[3]M.C UNPIV'!J591</f>
        <v>0</v>
      </c>
      <c r="J590" s="7">
        <f>'[3]M.C UNPIV'!K591</f>
        <v>0</v>
      </c>
      <c r="K590" s="7">
        <f>'[3]M.C UNPIV'!L591</f>
        <v>0</v>
      </c>
      <c r="L590" s="7">
        <f>'[3]M.C UNPIV'!M591</f>
        <v>0</v>
      </c>
      <c r="M590" s="6">
        <f>'[3]M.C UNPIV'!N591</f>
        <v>0</v>
      </c>
      <c r="N590" s="5">
        <f>'[3]M.C UNPIV'!O591</f>
        <v>0</v>
      </c>
      <c r="O590" s="5">
        <f>'[3]M.C UNPIV'!P591</f>
        <v>0</v>
      </c>
    </row>
    <row r="591" spans="1:15" x14ac:dyDescent="0.25">
      <c r="A591" s="4">
        <f>'[3]M.C UNPIV'!B592</f>
        <v>0</v>
      </c>
      <c r="B591" s="5">
        <f>'[3]M.C UNPIV'!C592</f>
        <v>0</v>
      </c>
      <c r="C591" s="5">
        <f>'[3]M.C UNPIV'!D592</f>
        <v>0</v>
      </c>
      <c r="D591" s="5">
        <f>'[3]M.C UNPIV'!E592</f>
        <v>0</v>
      </c>
      <c r="E591" s="5">
        <f>'[3]M.C UNPIV'!F592</f>
        <v>0</v>
      </c>
      <c r="F591" s="5">
        <f>'[3]M.C UNPIV'!G592</f>
        <v>0</v>
      </c>
      <c r="G591" s="6">
        <f>'[3]M.C UNPIV'!H592</f>
        <v>0</v>
      </c>
      <c r="H591" s="5">
        <f>'[3]M.C UNPIV'!I592</f>
        <v>0</v>
      </c>
      <c r="I591" s="7">
        <f>'[3]M.C UNPIV'!J592</f>
        <v>0</v>
      </c>
      <c r="J591" s="7">
        <f>'[3]M.C UNPIV'!K592</f>
        <v>0</v>
      </c>
      <c r="K591" s="7">
        <f>'[3]M.C UNPIV'!L592</f>
        <v>0</v>
      </c>
      <c r="L591" s="7">
        <f>'[3]M.C UNPIV'!M592</f>
        <v>0</v>
      </c>
      <c r="M591" s="6">
        <f>'[3]M.C UNPIV'!N592</f>
        <v>0</v>
      </c>
      <c r="N591" s="5">
        <f>'[3]M.C UNPIV'!O592</f>
        <v>0</v>
      </c>
      <c r="O591" s="5">
        <f>'[3]M.C UNPIV'!P592</f>
        <v>0</v>
      </c>
    </row>
    <row r="592" spans="1:15" x14ac:dyDescent="0.25">
      <c r="A592" s="4">
        <f>'[3]M.C UNPIV'!B593</f>
        <v>0</v>
      </c>
      <c r="B592" s="5">
        <f>'[3]M.C UNPIV'!C593</f>
        <v>0</v>
      </c>
      <c r="C592" s="5">
        <f>'[3]M.C UNPIV'!D593</f>
        <v>0</v>
      </c>
      <c r="D592" s="5">
        <f>'[3]M.C UNPIV'!E593</f>
        <v>0</v>
      </c>
      <c r="E592" s="5">
        <f>'[3]M.C UNPIV'!F593</f>
        <v>0</v>
      </c>
      <c r="F592" s="5">
        <f>'[3]M.C UNPIV'!G593</f>
        <v>0</v>
      </c>
      <c r="G592" s="6">
        <f>'[3]M.C UNPIV'!H593</f>
        <v>0</v>
      </c>
      <c r="H592" s="5">
        <f>'[3]M.C UNPIV'!I593</f>
        <v>0</v>
      </c>
      <c r="I592" s="7">
        <f>'[3]M.C UNPIV'!J593</f>
        <v>0</v>
      </c>
      <c r="J592" s="7">
        <f>'[3]M.C UNPIV'!K593</f>
        <v>0</v>
      </c>
      <c r="K592" s="7">
        <f>'[3]M.C UNPIV'!L593</f>
        <v>0</v>
      </c>
      <c r="L592" s="7">
        <f>'[3]M.C UNPIV'!M593</f>
        <v>0</v>
      </c>
      <c r="M592" s="6">
        <f>'[3]M.C UNPIV'!N593</f>
        <v>0</v>
      </c>
      <c r="N592" s="5">
        <f>'[3]M.C UNPIV'!O593</f>
        <v>0</v>
      </c>
      <c r="O592" s="5">
        <f>'[3]M.C UNPIV'!P593</f>
        <v>0</v>
      </c>
    </row>
    <row r="593" spans="1:15" x14ac:dyDescent="0.25">
      <c r="A593" s="4">
        <f>'[3]M.C UNPIV'!B594</f>
        <v>0</v>
      </c>
      <c r="B593" s="5">
        <f>'[3]M.C UNPIV'!C594</f>
        <v>0</v>
      </c>
      <c r="C593" s="5">
        <f>'[3]M.C UNPIV'!D594</f>
        <v>0</v>
      </c>
      <c r="D593" s="5">
        <f>'[3]M.C UNPIV'!E594</f>
        <v>0</v>
      </c>
      <c r="E593" s="5">
        <f>'[3]M.C UNPIV'!F594</f>
        <v>0</v>
      </c>
      <c r="F593" s="5">
        <f>'[3]M.C UNPIV'!G594</f>
        <v>0</v>
      </c>
      <c r="G593" s="6">
        <f>'[3]M.C UNPIV'!H594</f>
        <v>0</v>
      </c>
      <c r="H593" s="5">
        <f>'[3]M.C UNPIV'!I594</f>
        <v>0</v>
      </c>
      <c r="I593" s="7">
        <f>'[3]M.C UNPIV'!J594</f>
        <v>0</v>
      </c>
      <c r="J593" s="7">
        <f>'[3]M.C UNPIV'!K594</f>
        <v>0</v>
      </c>
      <c r="K593" s="7">
        <f>'[3]M.C UNPIV'!L594</f>
        <v>0</v>
      </c>
      <c r="L593" s="7">
        <f>'[3]M.C UNPIV'!M594</f>
        <v>0</v>
      </c>
      <c r="M593" s="6">
        <f>'[3]M.C UNPIV'!N594</f>
        <v>0</v>
      </c>
      <c r="N593" s="5">
        <f>'[3]M.C UNPIV'!O594</f>
        <v>0</v>
      </c>
      <c r="O593" s="5">
        <f>'[3]M.C UNPIV'!P594</f>
        <v>0</v>
      </c>
    </row>
    <row r="594" spans="1:15" x14ac:dyDescent="0.25">
      <c r="A594" s="4">
        <f>'[3]M.C UNPIV'!B595</f>
        <v>0</v>
      </c>
      <c r="B594" s="5">
        <f>'[3]M.C UNPIV'!C595</f>
        <v>0</v>
      </c>
      <c r="C594" s="5">
        <f>'[3]M.C UNPIV'!D595</f>
        <v>0</v>
      </c>
      <c r="D594" s="5">
        <f>'[3]M.C UNPIV'!E595</f>
        <v>0</v>
      </c>
      <c r="E594" s="5">
        <f>'[3]M.C UNPIV'!F595</f>
        <v>0</v>
      </c>
      <c r="F594" s="5">
        <f>'[3]M.C UNPIV'!G595</f>
        <v>0</v>
      </c>
      <c r="G594" s="6">
        <f>'[3]M.C UNPIV'!H595</f>
        <v>0</v>
      </c>
      <c r="H594" s="5">
        <f>'[3]M.C UNPIV'!I595</f>
        <v>0</v>
      </c>
      <c r="I594" s="7">
        <f>'[3]M.C UNPIV'!J595</f>
        <v>0</v>
      </c>
      <c r="J594" s="7">
        <f>'[3]M.C UNPIV'!K595</f>
        <v>0</v>
      </c>
      <c r="K594" s="7">
        <f>'[3]M.C UNPIV'!L595</f>
        <v>0</v>
      </c>
      <c r="L594" s="7">
        <f>'[3]M.C UNPIV'!M595</f>
        <v>0</v>
      </c>
      <c r="M594" s="6">
        <f>'[3]M.C UNPIV'!N595</f>
        <v>0</v>
      </c>
      <c r="N594" s="5">
        <f>'[3]M.C UNPIV'!O595</f>
        <v>0</v>
      </c>
      <c r="O594" s="5">
        <f>'[3]M.C UNPIV'!P595</f>
        <v>0</v>
      </c>
    </row>
    <row r="595" spans="1:15" x14ac:dyDescent="0.25">
      <c r="A595" s="4">
        <f>'[3]M.C UNPIV'!B596</f>
        <v>0</v>
      </c>
      <c r="B595" s="5">
        <f>'[3]M.C UNPIV'!C596</f>
        <v>0</v>
      </c>
      <c r="C595" s="5">
        <f>'[3]M.C UNPIV'!D596</f>
        <v>0</v>
      </c>
      <c r="D595" s="5">
        <f>'[3]M.C UNPIV'!E596</f>
        <v>0</v>
      </c>
      <c r="E595" s="5">
        <f>'[3]M.C UNPIV'!F596</f>
        <v>0</v>
      </c>
      <c r="F595" s="5">
        <f>'[3]M.C UNPIV'!G596</f>
        <v>0</v>
      </c>
      <c r="G595" s="6">
        <f>'[3]M.C UNPIV'!H596</f>
        <v>0</v>
      </c>
      <c r="H595" s="5">
        <f>'[3]M.C UNPIV'!I596</f>
        <v>0</v>
      </c>
      <c r="I595" s="7">
        <f>'[3]M.C UNPIV'!J596</f>
        <v>0</v>
      </c>
      <c r="J595" s="7">
        <f>'[3]M.C UNPIV'!K596</f>
        <v>0</v>
      </c>
      <c r="K595" s="7">
        <f>'[3]M.C UNPIV'!L596</f>
        <v>0</v>
      </c>
      <c r="L595" s="7">
        <f>'[3]M.C UNPIV'!M596</f>
        <v>0</v>
      </c>
      <c r="M595" s="6">
        <f>'[3]M.C UNPIV'!N596</f>
        <v>0</v>
      </c>
      <c r="N595" s="5">
        <f>'[3]M.C UNPIV'!O596</f>
        <v>0</v>
      </c>
      <c r="O595" s="5">
        <f>'[3]M.C UNPIV'!P596</f>
        <v>0</v>
      </c>
    </row>
    <row r="596" spans="1:15" x14ac:dyDescent="0.25">
      <c r="A596" s="4">
        <f>'[3]M.C UNPIV'!B597</f>
        <v>0</v>
      </c>
      <c r="B596" s="5">
        <f>'[3]M.C UNPIV'!C597</f>
        <v>0</v>
      </c>
      <c r="C596" s="5">
        <f>'[3]M.C UNPIV'!D597</f>
        <v>0</v>
      </c>
      <c r="D596" s="5">
        <f>'[3]M.C UNPIV'!E597</f>
        <v>0</v>
      </c>
      <c r="E596" s="5">
        <f>'[3]M.C UNPIV'!F597</f>
        <v>0</v>
      </c>
      <c r="F596" s="5">
        <f>'[3]M.C UNPIV'!G597</f>
        <v>0</v>
      </c>
      <c r="G596" s="6">
        <f>'[3]M.C UNPIV'!H597</f>
        <v>0</v>
      </c>
      <c r="H596" s="5">
        <f>'[3]M.C UNPIV'!I597</f>
        <v>0</v>
      </c>
      <c r="I596" s="7">
        <f>'[3]M.C UNPIV'!J597</f>
        <v>0</v>
      </c>
      <c r="J596" s="7">
        <f>'[3]M.C UNPIV'!K597</f>
        <v>0</v>
      </c>
      <c r="K596" s="7">
        <f>'[3]M.C UNPIV'!L597</f>
        <v>0</v>
      </c>
      <c r="L596" s="7">
        <f>'[3]M.C UNPIV'!M597</f>
        <v>0</v>
      </c>
      <c r="M596" s="6">
        <f>'[3]M.C UNPIV'!N597</f>
        <v>0</v>
      </c>
      <c r="N596" s="5">
        <f>'[3]M.C UNPIV'!O597</f>
        <v>0</v>
      </c>
      <c r="O596" s="5">
        <f>'[3]M.C UNPIV'!P597</f>
        <v>0</v>
      </c>
    </row>
    <row r="597" spans="1:15" x14ac:dyDescent="0.25">
      <c r="A597" s="4">
        <f>'[3]M.C UNPIV'!B598</f>
        <v>0</v>
      </c>
      <c r="B597" s="5">
        <f>'[3]M.C UNPIV'!C598</f>
        <v>0</v>
      </c>
      <c r="C597" s="5">
        <f>'[3]M.C UNPIV'!D598</f>
        <v>0</v>
      </c>
      <c r="D597" s="5">
        <f>'[3]M.C UNPIV'!E598</f>
        <v>0</v>
      </c>
      <c r="E597" s="5">
        <f>'[3]M.C UNPIV'!F598</f>
        <v>0</v>
      </c>
      <c r="F597" s="5">
        <f>'[3]M.C UNPIV'!G598</f>
        <v>0</v>
      </c>
      <c r="G597" s="6">
        <f>'[3]M.C UNPIV'!H598</f>
        <v>0</v>
      </c>
      <c r="H597" s="5">
        <f>'[3]M.C UNPIV'!I598</f>
        <v>0</v>
      </c>
      <c r="I597" s="7">
        <f>'[3]M.C UNPIV'!J598</f>
        <v>0</v>
      </c>
      <c r="J597" s="7">
        <f>'[3]M.C UNPIV'!K598</f>
        <v>0</v>
      </c>
      <c r="K597" s="7">
        <f>'[3]M.C UNPIV'!L598</f>
        <v>0</v>
      </c>
      <c r="L597" s="7">
        <f>'[3]M.C UNPIV'!M598</f>
        <v>0</v>
      </c>
      <c r="M597" s="6">
        <f>'[3]M.C UNPIV'!N598</f>
        <v>0</v>
      </c>
      <c r="N597" s="5">
        <f>'[3]M.C UNPIV'!O598</f>
        <v>0</v>
      </c>
      <c r="O597" s="5">
        <f>'[3]M.C UNPIV'!P598</f>
        <v>0</v>
      </c>
    </row>
    <row r="598" spans="1:15" x14ac:dyDescent="0.25">
      <c r="A598" s="4">
        <f>'[3]M.C UNPIV'!B599</f>
        <v>0</v>
      </c>
      <c r="B598" s="5">
        <f>'[3]M.C UNPIV'!C599</f>
        <v>0</v>
      </c>
      <c r="C598" s="5">
        <f>'[3]M.C UNPIV'!D599</f>
        <v>0</v>
      </c>
      <c r="D598" s="5">
        <f>'[3]M.C UNPIV'!E599</f>
        <v>0</v>
      </c>
      <c r="E598" s="5">
        <f>'[3]M.C UNPIV'!F599</f>
        <v>0</v>
      </c>
      <c r="F598" s="5">
        <f>'[3]M.C UNPIV'!G599</f>
        <v>0</v>
      </c>
      <c r="G598" s="6">
        <f>'[3]M.C UNPIV'!H599</f>
        <v>0</v>
      </c>
      <c r="H598" s="5">
        <f>'[3]M.C UNPIV'!I599</f>
        <v>0</v>
      </c>
      <c r="I598" s="7">
        <f>'[3]M.C UNPIV'!J599</f>
        <v>0</v>
      </c>
      <c r="J598" s="7">
        <f>'[3]M.C UNPIV'!K599</f>
        <v>0</v>
      </c>
      <c r="K598" s="7">
        <f>'[3]M.C UNPIV'!L599</f>
        <v>0</v>
      </c>
      <c r="L598" s="7">
        <f>'[3]M.C UNPIV'!M599</f>
        <v>0</v>
      </c>
      <c r="M598" s="6">
        <f>'[3]M.C UNPIV'!N599</f>
        <v>0</v>
      </c>
      <c r="N598" s="5">
        <f>'[3]M.C UNPIV'!O599</f>
        <v>0</v>
      </c>
      <c r="O598" s="5">
        <f>'[3]M.C UNPIV'!P599</f>
        <v>0</v>
      </c>
    </row>
    <row r="599" spans="1:15" x14ac:dyDescent="0.25">
      <c r="A599" s="4">
        <f>'[3]M.C UNPIV'!B600</f>
        <v>0</v>
      </c>
      <c r="B599" s="5">
        <f>'[3]M.C UNPIV'!C600</f>
        <v>0</v>
      </c>
      <c r="C599" s="5">
        <f>'[3]M.C UNPIV'!D600</f>
        <v>0</v>
      </c>
      <c r="D599" s="5">
        <f>'[3]M.C UNPIV'!E600</f>
        <v>0</v>
      </c>
      <c r="E599" s="5">
        <f>'[3]M.C UNPIV'!F600</f>
        <v>0</v>
      </c>
      <c r="F599" s="5">
        <f>'[3]M.C UNPIV'!G600</f>
        <v>0</v>
      </c>
      <c r="G599" s="6">
        <f>'[3]M.C UNPIV'!H600</f>
        <v>0</v>
      </c>
      <c r="H599" s="5">
        <f>'[3]M.C UNPIV'!I600</f>
        <v>0</v>
      </c>
      <c r="I599" s="7">
        <f>'[3]M.C UNPIV'!J600</f>
        <v>0</v>
      </c>
      <c r="J599" s="7">
        <f>'[3]M.C UNPIV'!K600</f>
        <v>0</v>
      </c>
      <c r="K599" s="7">
        <f>'[3]M.C UNPIV'!L600</f>
        <v>0</v>
      </c>
      <c r="L599" s="7">
        <f>'[3]M.C UNPIV'!M600</f>
        <v>0</v>
      </c>
      <c r="M599" s="6">
        <f>'[3]M.C UNPIV'!N600</f>
        <v>0</v>
      </c>
      <c r="N599" s="5">
        <f>'[3]M.C UNPIV'!O600</f>
        <v>0</v>
      </c>
      <c r="O599" s="5">
        <f>'[3]M.C UNPIV'!P600</f>
        <v>0</v>
      </c>
    </row>
    <row r="600" spans="1:15" x14ac:dyDescent="0.25">
      <c r="A600" s="4">
        <f>'[3]M.C UNPIV'!B601</f>
        <v>0</v>
      </c>
      <c r="B600" s="5">
        <f>'[3]M.C UNPIV'!C601</f>
        <v>0</v>
      </c>
      <c r="C600" s="5">
        <f>'[3]M.C UNPIV'!D601</f>
        <v>0</v>
      </c>
      <c r="D600" s="5">
        <f>'[3]M.C UNPIV'!E601</f>
        <v>0</v>
      </c>
      <c r="E600" s="5">
        <f>'[3]M.C UNPIV'!F601</f>
        <v>0</v>
      </c>
      <c r="F600" s="5">
        <f>'[3]M.C UNPIV'!G601</f>
        <v>0</v>
      </c>
      <c r="G600" s="6">
        <f>'[3]M.C UNPIV'!H601</f>
        <v>0</v>
      </c>
      <c r="H600" s="5">
        <f>'[3]M.C UNPIV'!I601</f>
        <v>0</v>
      </c>
      <c r="I600" s="7">
        <f>'[3]M.C UNPIV'!J601</f>
        <v>0</v>
      </c>
      <c r="J600" s="7">
        <f>'[3]M.C UNPIV'!K601</f>
        <v>0</v>
      </c>
      <c r="K600" s="7">
        <f>'[3]M.C UNPIV'!L601</f>
        <v>0</v>
      </c>
      <c r="L600" s="7">
        <f>'[3]M.C UNPIV'!M601</f>
        <v>0</v>
      </c>
      <c r="M600" s="6">
        <f>'[3]M.C UNPIV'!N601</f>
        <v>0</v>
      </c>
      <c r="N600" s="5">
        <f>'[3]M.C UNPIV'!O601</f>
        <v>0</v>
      </c>
      <c r="O600" s="5">
        <f>'[3]M.C UNPIV'!P601</f>
        <v>0</v>
      </c>
    </row>
    <row r="601" spans="1:15" x14ac:dyDescent="0.25">
      <c r="A601" s="4">
        <f>'[3]M.C UNPIV'!B602</f>
        <v>0</v>
      </c>
      <c r="B601" s="5">
        <f>'[3]M.C UNPIV'!C602</f>
        <v>0</v>
      </c>
      <c r="C601" s="5">
        <f>'[3]M.C UNPIV'!D602</f>
        <v>0</v>
      </c>
      <c r="D601" s="5">
        <f>'[3]M.C UNPIV'!E602</f>
        <v>0</v>
      </c>
      <c r="E601" s="5">
        <f>'[3]M.C UNPIV'!F602</f>
        <v>0</v>
      </c>
      <c r="F601" s="5">
        <f>'[3]M.C UNPIV'!G602</f>
        <v>0</v>
      </c>
      <c r="G601" s="6">
        <f>'[3]M.C UNPIV'!H602</f>
        <v>0</v>
      </c>
      <c r="H601" s="5">
        <f>'[3]M.C UNPIV'!I602</f>
        <v>0</v>
      </c>
      <c r="I601" s="7">
        <f>'[3]M.C UNPIV'!J602</f>
        <v>0</v>
      </c>
      <c r="J601" s="7">
        <f>'[3]M.C UNPIV'!K602</f>
        <v>0</v>
      </c>
      <c r="K601" s="7">
        <f>'[3]M.C UNPIV'!L602</f>
        <v>0</v>
      </c>
      <c r="L601" s="7">
        <f>'[3]M.C UNPIV'!M602</f>
        <v>0</v>
      </c>
      <c r="M601" s="6">
        <f>'[3]M.C UNPIV'!N602</f>
        <v>0</v>
      </c>
      <c r="N601" s="5">
        <f>'[3]M.C UNPIV'!O602</f>
        <v>0</v>
      </c>
      <c r="O601" s="5">
        <f>'[3]M.C UNPIV'!P602</f>
        <v>0</v>
      </c>
    </row>
    <row r="602" spans="1:15" x14ac:dyDescent="0.25">
      <c r="A602" s="4">
        <f>'[3]M.C UNPIV'!B603</f>
        <v>0</v>
      </c>
      <c r="B602" s="5">
        <f>'[3]M.C UNPIV'!C603</f>
        <v>0</v>
      </c>
      <c r="C602" s="5">
        <f>'[3]M.C UNPIV'!D603</f>
        <v>0</v>
      </c>
      <c r="D602" s="5">
        <f>'[3]M.C UNPIV'!E603</f>
        <v>0</v>
      </c>
      <c r="E602" s="5">
        <f>'[3]M.C UNPIV'!F603</f>
        <v>0</v>
      </c>
      <c r="F602" s="5">
        <f>'[3]M.C UNPIV'!G603</f>
        <v>0</v>
      </c>
      <c r="G602" s="6">
        <f>'[3]M.C UNPIV'!H603</f>
        <v>0</v>
      </c>
      <c r="H602" s="5">
        <f>'[3]M.C UNPIV'!I603</f>
        <v>0</v>
      </c>
      <c r="I602" s="7">
        <f>'[3]M.C UNPIV'!J603</f>
        <v>0</v>
      </c>
      <c r="J602" s="7">
        <f>'[3]M.C UNPIV'!K603</f>
        <v>0</v>
      </c>
      <c r="K602" s="7">
        <f>'[3]M.C UNPIV'!L603</f>
        <v>0</v>
      </c>
      <c r="L602" s="7">
        <f>'[3]M.C UNPIV'!M603</f>
        <v>0</v>
      </c>
      <c r="M602" s="6">
        <f>'[3]M.C UNPIV'!N603</f>
        <v>0</v>
      </c>
      <c r="N602" s="5">
        <f>'[3]M.C UNPIV'!O603</f>
        <v>0</v>
      </c>
      <c r="O602" s="5">
        <f>'[3]M.C UNPIV'!P603</f>
        <v>0</v>
      </c>
    </row>
    <row r="603" spans="1:15" x14ac:dyDescent="0.25">
      <c r="A603" s="4">
        <f>'[3]M.C UNPIV'!B604</f>
        <v>0</v>
      </c>
      <c r="B603" s="5">
        <f>'[3]M.C UNPIV'!C604</f>
        <v>0</v>
      </c>
      <c r="C603" s="5">
        <f>'[3]M.C UNPIV'!D604</f>
        <v>0</v>
      </c>
      <c r="D603" s="5">
        <f>'[3]M.C UNPIV'!E604</f>
        <v>0</v>
      </c>
      <c r="E603" s="5">
        <f>'[3]M.C UNPIV'!F604</f>
        <v>0</v>
      </c>
      <c r="F603" s="5">
        <f>'[3]M.C UNPIV'!G604</f>
        <v>0</v>
      </c>
      <c r="G603" s="6">
        <f>'[3]M.C UNPIV'!H604</f>
        <v>0</v>
      </c>
      <c r="H603" s="5">
        <f>'[3]M.C UNPIV'!I604</f>
        <v>0</v>
      </c>
      <c r="I603" s="7">
        <f>'[3]M.C UNPIV'!J604</f>
        <v>0</v>
      </c>
      <c r="J603" s="7">
        <f>'[3]M.C UNPIV'!K604</f>
        <v>0</v>
      </c>
      <c r="K603" s="7">
        <f>'[3]M.C UNPIV'!L604</f>
        <v>0</v>
      </c>
      <c r="L603" s="7">
        <f>'[3]M.C UNPIV'!M604</f>
        <v>0</v>
      </c>
      <c r="M603" s="6">
        <f>'[3]M.C UNPIV'!N604</f>
        <v>0</v>
      </c>
      <c r="N603" s="5">
        <f>'[3]M.C UNPIV'!O604</f>
        <v>0</v>
      </c>
      <c r="O603" s="5">
        <f>'[3]M.C UNPIV'!P604</f>
        <v>0</v>
      </c>
    </row>
    <row r="604" spans="1:15" x14ac:dyDescent="0.25">
      <c r="A604" s="4">
        <f>'[3]M.C UNPIV'!B605</f>
        <v>0</v>
      </c>
      <c r="B604" s="5">
        <f>'[3]M.C UNPIV'!C605</f>
        <v>0</v>
      </c>
      <c r="C604" s="5">
        <f>'[3]M.C UNPIV'!D605</f>
        <v>0</v>
      </c>
      <c r="D604" s="5">
        <f>'[3]M.C UNPIV'!E605</f>
        <v>0</v>
      </c>
      <c r="E604" s="5">
        <f>'[3]M.C UNPIV'!F605</f>
        <v>0</v>
      </c>
      <c r="F604" s="5">
        <f>'[3]M.C UNPIV'!G605</f>
        <v>0</v>
      </c>
      <c r="G604" s="6">
        <f>'[3]M.C UNPIV'!H605</f>
        <v>0</v>
      </c>
      <c r="H604" s="5">
        <f>'[3]M.C UNPIV'!I605</f>
        <v>0</v>
      </c>
      <c r="I604" s="7">
        <f>'[3]M.C UNPIV'!J605</f>
        <v>0</v>
      </c>
      <c r="J604" s="7">
        <f>'[3]M.C UNPIV'!K605</f>
        <v>0</v>
      </c>
      <c r="K604" s="7">
        <f>'[3]M.C UNPIV'!L605</f>
        <v>0</v>
      </c>
      <c r="L604" s="7">
        <f>'[3]M.C UNPIV'!M605</f>
        <v>0</v>
      </c>
      <c r="M604" s="6">
        <f>'[3]M.C UNPIV'!N605</f>
        <v>0</v>
      </c>
      <c r="N604" s="5">
        <f>'[3]M.C UNPIV'!O605</f>
        <v>0</v>
      </c>
      <c r="O604" s="5">
        <f>'[3]M.C UNPIV'!P605</f>
        <v>0</v>
      </c>
    </row>
    <row r="605" spans="1:15" x14ac:dyDescent="0.25">
      <c r="A605" s="4">
        <f>'[3]M.C UNPIV'!B606</f>
        <v>0</v>
      </c>
      <c r="B605" s="5">
        <f>'[3]M.C UNPIV'!C606</f>
        <v>0</v>
      </c>
      <c r="C605" s="5">
        <f>'[3]M.C UNPIV'!D606</f>
        <v>0</v>
      </c>
      <c r="D605" s="5">
        <f>'[3]M.C UNPIV'!E606</f>
        <v>0</v>
      </c>
      <c r="E605" s="5">
        <f>'[3]M.C UNPIV'!F606</f>
        <v>0</v>
      </c>
      <c r="F605" s="5">
        <f>'[3]M.C UNPIV'!G606</f>
        <v>0</v>
      </c>
      <c r="G605" s="6">
        <f>'[3]M.C UNPIV'!H606</f>
        <v>0</v>
      </c>
      <c r="H605" s="5">
        <f>'[3]M.C UNPIV'!I606</f>
        <v>0</v>
      </c>
      <c r="I605" s="7">
        <f>'[3]M.C UNPIV'!J606</f>
        <v>0</v>
      </c>
      <c r="J605" s="7">
        <f>'[3]M.C UNPIV'!K606</f>
        <v>0</v>
      </c>
      <c r="K605" s="7">
        <f>'[3]M.C UNPIV'!L606</f>
        <v>0</v>
      </c>
      <c r="L605" s="7">
        <f>'[3]M.C UNPIV'!M606</f>
        <v>0</v>
      </c>
      <c r="M605" s="6">
        <f>'[3]M.C UNPIV'!N606</f>
        <v>0</v>
      </c>
      <c r="N605" s="5">
        <f>'[3]M.C UNPIV'!O606</f>
        <v>0</v>
      </c>
      <c r="O605" s="5">
        <f>'[3]M.C UNPIV'!P606</f>
        <v>0</v>
      </c>
    </row>
    <row r="606" spans="1:15" x14ac:dyDescent="0.25">
      <c r="A606" s="4">
        <f>'[3]M.C UNPIV'!B607</f>
        <v>0</v>
      </c>
      <c r="B606" s="5">
        <f>'[3]M.C UNPIV'!C607</f>
        <v>0</v>
      </c>
      <c r="C606" s="5">
        <f>'[3]M.C UNPIV'!D607</f>
        <v>0</v>
      </c>
      <c r="D606" s="5">
        <f>'[3]M.C UNPIV'!E607</f>
        <v>0</v>
      </c>
      <c r="E606" s="5">
        <f>'[3]M.C UNPIV'!F607</f>
        <v>0</v>
      </c>
      <c r="F606" s="5">
        <f>'[3]M.C UNPIV'!G607</f>
        <v>0</v>
      </c>
      <c r="G606" s="6">
        <f>'[3]M.C UNPIV'!H607</f>
        <v>0</v>
      </c>
      <c r="H606" s="5">
        <f>'[3]M.C UNPIV'!I607</f>
        <v>0</v>
      </c>
      <c r="I606" s="7">
        <f>'[3]M.C UNPIV'!J607</f>
        <v>0</v>
      </c>
      <c r="J606" s="7">
        <f>'[3]M.C UNPIV'!K607</f>
        <v>0</v>
      </c>
      <c r="K606" s="7">
        <f>'[3]M.C UNPIV'!L607</f>
        <v>0</v>
      </c>
      <c r="L606" s="7">
        <f>'[3]M.C UNPIV'!M607</f>
        <v>0</v>
      </c>
      <c r="M606" s="6">
        <f>'[3]M.C UNPIV'!N607</f>
        <v>0</v>
      </c>
      <c r="N606" s="5">
        <f>'[3]M.C UNPIV'!O607</f>
        <v>0</v>
      </c>
      <c r="O606" s="5">
        <f>'[3]M.C UNPIV'!P607</f>
        <v>0</v>
      </c>
    </row>
    <row r="607" spans="1:15" x14ac:dyDescent="0.25">
      <c r="A607" s="4">
        <f>'[3]M.C UNPIV'!B608</f>
        <v>0</v>
      </c>
      <c r="B607" s="5">
        <f>'[3]M.C UNPIV'!C608</f>
        <v>0</v>
      </c>
      <c r="C607" s="5">
        <f>'[3]M.C UNPIV'!D608</f>
        <v>0</v>
      </c>
      <c r="D607" s="5">
        <f>'[3]M.C UNPIV'!E608</f>
        <v>0</v>
      </c>
      <c r="E607" s="5">
        <f>'[3]M.C UNPIV'!F608</f>
        <v>0</v>
      </c>
      <c r="F607" s="5">
        <f>'[3]M.C UNPIV'!G608</f>
        <v>0</v>
      </c>
      <c r="G607" s="6">
        <f>'[3]M.C UNPIV'!H608</f>
        <v>0</v>
      </c>
      <c r="H607" s="5">
        <f>'[3]M.C UNPIV'!I608</f>
        <v>0</v>
      </c>
      <c r="I607" s="7">
        <f>'[3]M.C UNPIV'!J608</f>
        <v>0</v>
      </c>
      <c r="J607" s="7">
        <f>'[3]M.C UNPIV'!K608</f>
        <v>0</v>
      </c>
      <c r="K607" s="7">
        <f>'[3]M.C UNPIV'!L608</f>
        <v>0</v>
      </c>
      <c r="L607" s="7">
        <f>'[3]M.C UNPIV'!M608</f>
        <v>0</v>
      </c>
      <c r="M607" s="6">
        <f>'[3]M.C UNPIV'!N608</f>
        <v>0</v>
      </c>
      <c r="N607" s="5">
        <f>'[3]M.C UNPIV'!O608</f>
        <v>0</v>
      </c>
      <c r="O607" s="5">
        <f>'[3]M.C UNPIV'!P608</f>
        <v>0</v>
      </c>
    </row>
    <row r="608" spans="1:15" x14ac:dyDescent="0.25">
      <c r="A608" s="4">
        <f>'[3]M.C UNPIV'!B609</f>
        <v>0</v>
      </c>
      <c r="B608" s="5">
        <f>'[3]M.C UNPIV'!C609</f>
        <v>0</v>
      </c>
      <c r="C608" s="5">
        <f>'[3]M.C UNPIV'!D609</f>
        <v>0</v>
      </c>
      <c r="D608" s="5">
        <f>'[3]M.C UNPIV'!E609</f>
        <v>0</v>
      </c>
      <c r="E608" s="5">
        <f>'[3]M.C UNPIV'!F609</f>
        <v>0</v>
      </c>
      <c r="F608" s="5">
        <f>'[3]M.C UNPIV'!G609</f>
        <v>0</v>
      </c>
      <c r="G608" s="6">
        <f>'[3]M.C UNPIV'!H609</f>
        <v>0</v>
      </c>
      <c r="H608" s="5">
        <f>'[3]M.C UNPIV'!I609</f>
        <v>0</v>
      </c>
      <c r="I608" s="7">
        <f>'[3]M.C UNPIV'!J609</f>
        <v>0</v>
      </c>
      <c r="J608" s="7">
        <f>'[3]M.C UNPIV'!K609</f>
        <v>0</v>
      </c>
      <c r="K608" s="7">
        <f>'[3]M.C UNPIV'!L609</f>
        <v>0</v>
      </c>
      <c r="L608" s="7">
        <f>'[3]M.C UNPIV'!M609</f>
        <v>0</v>
      </c>
      <c r="M608" s="6">
        <f>'[3]M.C UNPIV'!N609</f>
        <v>0</v>
      </c>
      <c r="N608" s="5">
        <f>'[3]M.C UNPIV'!O609</f>
        <v>0</v>
      </c>
      <c r="O608" s="5">
        <f>'[3]M.C UNPIV'!P609</f>
        <v>0</v>
      </c>
    </row>
    <row r="609" spans="1:15" x14ac:dyDescent="0.25">
      <c r="A609" s="4">
        <f>'[3]M.C UNPIV'!B610</f>
        <v>0</v>
      </c>
      <c r="B609" s="5">
        <f>'[3]M.C UNPIV'!C610</f>
        <v>0</v>
      </c>
      <c r="C609" s="5">
        <f>'[3]M.C UNPIV'!D610</f>
        <v>0</v>
      </c>
      <c r="D609" s="5">
        <f>'[3]M.C UNPIV'!E610</f>
        <v>0</v>
      </c>
      <c r="E609" s="5">
        <f>'[3]M.C UNPIV'!F610</f>
        <v>0</v>
      </c>
      <c r="F609" s="5">
        <f>'[3]M.C UNPIV'!G610</f>
        <v>0</v>
      </c>
      <c r="G609" s="6">
        <f>'[3]M.C UNPIV'!H610</f>
        <v>0</v>
      </c>
      <c r="H609" s="5">
        <f>'[3]M.C UNPIV'!I610</f>
        <v>0</v>
      </c>
      <c r="I609" s="7">
        <f>'[3]M.C UNPIV'!J610</f>
        <v>0</v>
      </c>
      <c r="J609" s="7">
        <f>'[3]M.C UNPIV'!K610</f>
        <v>0</v>
      </c>
      <c r="K609" s="7">
        <f>'[3]M.C UNPIV'!L610</f>
        <v>0</v>
      </c>
      <c r="L609" s="7">
        <f>'[3]M.C UNPIV'!M610</f>
        <v>0</v>
      </c>
      <c r="M609" s="6">
        <f>'[3]M.C UNPIV'!N610</f>
        <v>0</v>
      </c>
      <c r="N609" s="5">
        <f>'[3]M.C UNPIV'!O610</f>
        <v>0</v>
      </c>
      <c r="O609" s="5">
        <f>'[3]M.C UNPIV'!P610</f>
        <v>0</v>
      </c>
    </row>
    <row r="610" spans="1:15" x14ac:dyDescent="0.25">
      <c r="A610" s="4">
        <f>'[3]M.C UNPIV'!B611</f>
        <v>0</v>
      </c>
      <c r="B610" s="5">
        <f>'[3]M.C UNPIV'!C611</f>
        <v>0</v>
      </c>
      <c r="C610" s="5">
        <f>'[3]M.C UNPIV'!D611</f>
        <v>0</v>
      </c>
      <c r="D610" s="5">
        <f>'[3]M.C UNPIV'!E611</f>
        <v>0</v>
      </c>
      <c r="E610" s="5">
        <f>'[3]M.C UNPIV'!F611</f>
        <v>0</v>
      </c>
      <c r="F610" s="5">
        <f>'[3]M.C UNPIV'!G611</f>
        <v>0</v>
      </c>
      <c r="G610" s="6">
        <f>'[3]M.C UNPIV'!H611</f>
        <v>0</v>
      </c>
      <c r="H610" s="5">
        <f>'[3]M.C UNPIV'!I611</f>
        <v>0</v>
      </c>
      <c r="I610" s="7">
        <f>'[3]M.C UNPIV'!J611</f>
        <v>0</v>
      </c>
      <c r="J610" s="7">
        <f>'[3]M.C UNPIV'!K611</f>
        <v>0</v>
      </c>
      <c r="K610" s="7">
        <f>'[3]M.C UNPIV'!L611</f>
        <v>0</v>
      </c>
      <c r="L610" s="7">
        <f>'[3]M.C UNPIV'!M611</f>
        <v>0</v>
      </c>
      <c r="M610" s="6">
        <f>'[3]M.C UNPIV'!N611</f>
        <v>0</v>
      </c>
      <c r="N610" s="5">
        <f>'[3]M.C UNPIV'!O611</f>
        <v>0</v>
      </c>
      <c r="O610" s="5">
        <f>'[3]M.C UNPIV'!P611</f>
        <v>0</v>
      </c>
    </row>
    <row r="611" spans="1:15" x14ac:dyDescent="0.25">
      <c r="A611" s="4">
        <f>'[3]M.C UNPIV'!B612</f>
        <v>0</v>
      </c>
      <c r="B611" s="5">
        <f>'[3]M.C UNPIV'!C612</f>
        <v>0</v>
      </c>
      <c r="C611" s="5">
        <f>'[3]M.C UNPIV'!D612</f>
        <v>0</v>
      </c>
      <c r="D611" s="5">
        <f>'[3]M.C UNPIV'!E612</f>
        <v>0</v>
      </c>
      <c r="E611" s="5">
        <f>'[3]M.C UNPIV'!F612</f>
        <v>0</v>
      </c>
      <c r="F611" s="5">
        <f>'[3]M.C UNPIV'!G612</f>
        <v>0</v>
      </c>
      <c r="G611" s="6">
        <f>'[3]M.C UNPIV'!H612</f>
        <v>0</v>
      </c>
      <c r="H611" s="5">
        <f>'[3]M.C UNPIV'!I612</f>
        <v>0</v>
      </c>
      <c r="I611" s="7">
        <f>'[3]M.C UNPIV'!J612</f>
        <v>0</v>
      </c>
      <c r="J611" s="7">
        <f>'[3]M.C UNPIV'!K612</f>
        <v>0</v>
      </c>
      <c r="K611" s="7">
        <f>'[3]M.C UNPIV'!L612</f>
        <v>0</v>
      </c>
      <c r="L611" s="7">
        <f>'[3]M.C UNPIV'!M612</f>
        <v>0</v>
      </c>
      <c r="M611" s="6">
        <f>'[3]M.C UNPIV'!N612</f>
        <v>0</v>
      </c>
      <c r="N611" s="5">
        <f>'[3]M.C UNPIV'!O612</f>
        <v>0</v>
      </c>
      <c r="O611" s="5">
        <f>'[3]M.C UNPIV'!P612</f>
        <v>0</v>
      </c>
    </row>
    <row r="612" spans="1:15" x14ac:dyDescent="0.25">
      <c r="A612" s="4">
        <f>'[3]M.C UNPIV'!B613</f>
        <v>0</v>
      </c>
      <c r="B612" s="5">
        <f>'[3]M.C UNPIV'!C613</f>
        <v>0</v>
      </c>
      <c r="C612" s="5">
        <f>'[3]M.C UNPIV'!D613</f>
        <v>0</v>
      </c>
      <c r="D612" s="5">
        <f>'[3]M.C UNPIV'!E613</f>
        <v>0</v>
      </c>
      <c r="E612" s="5">
        <f>'[3]M.C UNPIV'!F613</f>
        <v>0</v>
      </c>
      <c r="F612" s="5">
        <f>'[3]M.C UNPIV'!G613</f>
        <v>0</v>
      </c>
      <c r="G612" s="6">
        <f>'[3]M.C UNPIV'!H613</f>
        <v>0</v>
      </c>
      <c r="H612" s="5">
        <f>'[3]M.C UNPIV'!I613</f>
        <v>0</v>
      </c>
      <c r="I612" s="7">
        <f>'[3]M.C UNPIV'!J613</f>
        <v>0</v>
      </c>
      <c r="J612" s="7">
        <f>'[3]M.C UNPIV'!K613</f>
        <v>0</v>
      </c>
      <c r="K612" s="7">
        <f>'[3]M.C UNPIV'!L613</f>
        <v>0</v>
      </c>
      <c r="L612" s="7">
        <f>'[3]M.C UNPIV'!M613</f>
        <v>0</v>
      </c>
      <c r="M612" s="6">
        <f>'[3]M.C UNPIV'!N613</f>
        <v>0</v>
      </c>
      <c r="N612" s="5">
        <f>'[3]M.C UNPIV'!O613</f>
        <v>0</v>
      </c>
      <c r="O612" s="5">
        <f>'[3]M.C UNPIV'!P613</f>
        <v>0</v>
      </c>
    </row>
    <row r="613" spans="1:15" x14ac:dyDescent="0.25">
      <c r="A613" s="4">
        <f>'[3]M.C UNPIV'!B614</f>
        <v>0</v>
      </c>
      <c r="B613" s="5">
        <f>'[3]M.C UNPIV'!C614</f>
        <v>0</v>
      </c>
      <c r="C613" s="5">
        <f>'[3]M.C UNPIV'!D614</f>
        <v>0</v>
      </c>
      <c r="D613" s="5">
        <f>'[3]M.C UNPIV'!E614</f>
        <v>0</v>
      </c>
      <c r="E613" s="5">
        <f>'[3]M.C UNPIV'!F614</f>
        <v>0</v>
      </c>
      <c r="F613" s="5">
        <f>'[3]M.C UNPIV'!G614</f>
        <v>0</v>
      </c>
      <c r="G613" s="6">
        <f>'[3]M.C UNPIV'!H614</f>
        <v>0</v>
      </c>
      <c r="H613" s="5">
        <f>'[3]M.C UNPIV'!I614</f>
        <v>0</v>
      </c>
      <c r="I613" s="7">
        <f>'[3]M.C UNPIV'!J614</f>
        <v>0</v>
      </c>
      <c r="J613" s="7">
        <f>'[3]M.C UNPIV'!K614</f>
        <v>0</v>
      </c>
      <c r="K613" s="7">
        <f>'[3]M.C UNPIV'!L614</f>
        <v>0</v>
      </c>
      <c r="L613" s="7">
        <f>'[3]M.C UNPIV'!M614</f>
        <v>0</v>
      </c>
      <c r="M613" s="6">
        <f>'[3]M.C UNPIV'!N614</f>
        <v>0</v>
      </c>
      <c r="N613" s="5">
        <f>'[3]M.C UNPIV'!O614</f>
        <v>0</v>
      </c>
      <c r="O613" s="5">
        <f>'[3]M.C UNPIV'!P614</f>
        <v>0</v>
      </c>
    </row>
    <row r="614" spans="1:15" x14ac:dyDescent="0.25">
      <c r="A614" s="4">
        <f>'[3]M.C UNPIV'!B615</f>
        <v>0</v>
      </c>
      <c r="B614" s="5">
        <f>'[3]M.C UNPIV'!C615</f>
        <v>0</v>
      </c>
      <c r="C614" s="5">
        <f>'[3]M.C UNPIV'!D615</f>
        <v>0</v>
      </c>
      <c r="D614" s="5">
        <f>'[3]M.C UNPIV'!E615</f>
        <v>0</v>
      </c>
      <c r="E614" s="5">
        <f>'[3]M.C UNPIV'!F615</f>
        <v>0</v>
      </c>
      <c r="F614" s="5">
        <f>'[3]M.C UNPIV'!G615</f>
        <v>0</v>
      </c>
      <c r="G614" s="6">
        <f>'[3]M.C UNPIV'!H615</f>
        <v>0</v>
      </c>
      <c r="H614" s="5">
        <f>'[3]M.C UNPIV'!I615</f>
        <v>0</v>
      </c>
      <c r="I614" s="7">
        <f>'[3]M.C UNPIV'!J615</f>
        <v>0</v>
      </c>
      <c r="J614" s="7">
        <f>'[3]M.C UNPIV'!K615</f>
        <v>0</v>
      </c>
      <c r="K614" s="7">
        <f>'[3]M.C UNPIV'!L615</f>
        <v>0</v>
      </c>
      <c r="L614" s="7">
        <f>'[3]M.C UNPIV'!M615</f>
        <v>0</v>
      </c>
      <c r="M614" s="6">
        <f>'[3]M.C UNPIV'!N615</f>
        <v>0</v>
      </c>
      <c r="N614" s="5">
        <f>'[3]M.C UNPIV'!O615</f>
        <v>0</v>
      </c>
      <c r="O614" s="5">
        <f>'[3]M.C UNPIV'!P615</f>
        <v>0</v>
      </c>
    </row>
    <row r="615" spans="1:15" x14ac:dyDescent="0.25">
      <c r="A615" s="4">
        <f>'[3]M.C UNPIV'!B616</f>
        <v>0</v>
      </c>
      <c r="B615" s="5">
        <f>'[3]M.C UNPIV'!C616</f>
        <v>0</v>
      </c>
      <c r="C615" s="5">
        <f>'[3]M.C UNPIV'!D616</f>
        <v>0</v>
      </c>
      <c r="D615" s="5">
        <f>'[3]M.C UNPIV'!E616</f>
        <v>0</v>
      </c>
      <c r="E615" s="5">
        <f>'[3]M.C UNPIV'!F616</f>
        <v>0</v>
      </c>
      <c r="F615" s="5">
        <f>'[3]M.C UNPIV'!G616</f>
        <v>0</v>
      </c>
      <c r="G615" s="6">
        <f>'[3]M.C UNPIV'!H616</f>
        <v>0</v>
      </c>
      <c r="H615" s="5">
        <f>'[3]M.C UNPIV'!I616</f>
        <v>0</v>
      </c>
      <c r="I615" s="7">
        <f>'[3]M.C UNPIV'!J616</f>
        <v>0</v>
      </c>
      <c r="J615" s="7">
        <f>'[3]M.C UNPIV'!K616</f>
        <v>0</v>
      </c>
      <c r="K615" s="7">
        <f>'[3]M.C UNPIV'!L616</f>
        <v>0</v>
      </c>
      <c r="L615" s="7">
        <f>'[3]M.C UNPIV'!M616</f>
        <v>0</v>
      </c>
      <c r="M615" s="6">
        <f>'[3]M.C UNPIV'!N616</f>
        <v>0</v>
      </c>
      <c r="N615" s="5">
        <f>'[3]M.C UNPIV'!O616</f>
        <v>0</v>
      </c>
      <c r="O615" s="5">
        <f>'[3]M.C UNPIV'!P616</f>
        <v>0</v>
      </c>
    </row>
    <row r="616" spans="1:15" x14ac:dyDescent="0.25">
      <c r="A616" s="4">
        <f>'[3]M.C UNPIV'!B617</f>
        <v>0</v>
      </c>
      <c r="B616" s="5">
        <f>'[3]M.C UNPIV'!C617</f>
        <v>0</v>
      </c>
      <c r="C616" s="5">
        <f>'[3]M.C UNPIV'!D617</f>
        <v>0</v>
      </c>
      <c r="D616" s="5">
        <f>'[3]M.C UNPIV'!E617</f>
        <v>0</v>
      </c>
      <c r="E616" s="5">
        <f>'[3]M.C UNPIV'!F617</f>
        <v>0</v>
      </c>
      <c r="F616" s="5">
        <f>'[3]M.C UNPIV'!G617</f>
        <v>0</v>
      </c>
      <c r="G616" s="6">
        <f>'[3]M.C UNPIV'!H617</f>
        <v>0</v>
      </c>
      <c r="H616" s="5">
        <f>'[3]M.C UNPIV'!I617</f>
        <v>0</v>
      </c>
      <c r="I616" s="7">
        <f>'[3]M.C UNPIV'!J617</f>
        <v>0</v>
      </c>
      <c r="J616" s="7">
        <f>'[3]M.C UNPIV'!K617</f>
        <v>0</v>
      </c>
      <c r="K616" s="7">
        <f>'[3]M.C UNPIV'!L617</f>
        <v>0</v>
      </c>
      <c r="L616" s="7">
        <f>'[3]M.C UNPIV'!M617</f>
        <v>0</v>
      </c>
      <c r="M616" s="6">
        <f>'[3]M.C UNPIV'!N617</f>
        <v>0</v>
      </c>
      <c r="N616" s="5">
        <f>'[3]M.C UNPIV'!O617</f>
        <v>0</v>
      </c>
      <c r="O616" s="5">
        <f>'[3]M.C UNPIV'!P617</f>
        <v>0</v>
      </c>
    </row>
    <row r="617" spans="1:15" x14ac:dyDescent="0.25">
      <c r="A617" s="4">
        <f>'[3]M.C UNPIV'!B618</f>
        <v>0</v>
      </c>
      <c r="B617" s="5">
        <f>'[3]M.C UNPIV'!C618</f>
        <v>0</v>
      </c>
      <c r="C617" s="5">
        <f>'[3]M.C UNPIV'!D618</f>
        <v>0</v>
      </c>
      <c r="D617" s="5">
        <f>'[3]M.C UNPIV'!E618</f>
        <v>0</v>
      </c>
      <c r="E617" s="5">
        <f>'[3]M.C UNPIV'!F618</f>
        <v>0</v>
      </c>
      <c r="F617" s="5">
        <f>'[3]M.C UNPIV'!G618</f>
        <v>0</v>
      </c>
      <c r="G617" s="6">
        <f>'[3]M.C UNPIV'!H618</f>
        <v>0</v>
      </c>
      <c r="H617" s="5">
        <f>'[3]M.C UNPIV'!I618</f>
        <v>0</v>
      </c>
      <c r="I617" s="7">
        <f>'[3]M.C UNPIV'!J618</f>
        <v>0</v>
      </c>
      <c r="J617" s="7">
        <f>'[3]M.C UNPIV'!K618</f>
        <v>0</v>
      </c>
      <c r="K617" s="7">
        <f>'[3]M.C UNPIV'!L618</f>
        <v>0</v>
      </c>
      <c r="L617" s="7">
        <f>'[3]M.C UNPIV'!M618</f>
        <v>0</v>
      </c>
      <c r="M617" s="6">
        <f>'[3]M.C UNPIV'!N618</f>
        <v>0</v>
      </c>
      <c r="N617" s="5">
        <f>'[3]M.C UNPIV'!O618</f>
        <v>0</v>
      </c>
      <c r="O617" s="5">
        <f>'[3]M.C UNPIV'!P618</f>
        <v>0</v>
      </c>
    </row>
    <row r="618" spans="1:15" x14ac:dyDescent="0.25">
      <c r="A618" s="4">
        <f>'[3]M.C UNPIV'!B619</f>
        <v>0</v>
      </c>
      <c r="B618" s="5">
        <f>'[3]M.C UNPIV'!C619</f>
        <v>0</v>
      </c>
      <c r="C618" s="5">
        <f>'[3]M.C UNPIV'!D619</f>
        <v>0</v>
      </c>
      <c r="D618" s="5">
        <f>'[3]M.C UNPIV'!E619</f>
        <v>0</v>
      </c>
      <c r="E618" s="5">
        <f>'[3]M.C UNPIV'!F619</f>
        <v>0</v>
      </c>
      <c r="F618" s="5">
        <f>'[3]M.C UNPIV'!G619</f>
        <v>0</v>
      </c>
      <c r="G618" s="6">
        <f>'[3]M.C UNPIV'!H619</f>
        <v>0</v>
      </c>
      <c r="H618" s="5">
        <f>'[3]M.C UNPIV'!I619</f>
        <v>0</v>
      </c>
      <c r="I618" s="7">
        <f>'[3]M.C UNPIV'!J619</f>
        <v>0</v>
      </c>
      <c r="J618" s="7">
        <f>'[3]M.C UNPIV'!K619</f>
        <v>0</v>
      </c>
      <c r="K618" s="7">
        <f>'[3]M.C UNPIV'!L619</f>
        <v>0</v>
      </c>
      <c r="L618" s="7">
        <f>'[3]M.C UNPIV'!M619</f>
        <v>0</v>
      </c>
      <c r="M618" s="6">
        <f>'[3]M.C UNPIV'!N619</f>
        <v>0</v>
      </c>
      <c r="N618" s="5">
        <f>'[3]M.C UNPIV'!O619</f>
        <v>0</v>
      </c>
      <c r="O618" s="5">
        <f>'[3]M.C UNPIV'!P619</f>
        <v>0</v>
      </c>
    </row>
    <row r="619" spans="1:15" x14ac:dyDescent="0.25">
      <c r="A619" s="4">
        <f>'[3]M.C UNPIV'!B620</f>
        <v>0</v>
      </c>
      <c r="B619" s="5">
        <f>'[3]M.C UNPIV'!C620</f>
        <v>0</v>
      </c>
      <c r="C619" s="5">
        <f>'[3]M.C UNPIV'!D620</f>
        <v>0</v>
      </c>
      <c r="D619" s="5">
        <f>'[3]M.C UNPIV'!E620</f>
        <v>0</v>
      </c>
      <c r="E619" s="5">
        <f>'[3]M.C UNPIV'!F620</f>
        <v>0</v>
      </c>
      <c r="F619" s="5">
        <f>'[3]M.C UNPIV'!G620</f>
        <v>0</v>
      </c>
      <c r="G619" s="6">
        <f>'[3]M.C UNPIV'!H620</f>
        <v>0</v>
      </c>
      <c r="H619" s="5">
        <f>'[3]M.C UNPIV'!I620</f>
        <v>0</v>
      </c>
      <c r="I619" s="7">
        <f>'[3]M.C UNPIV'!J620</f>
        <v>0</v>
      </c>
      <c r="J619" s="7">
        <f>'[3]M.C UNPIV'!K620</f>
        <v>0</v>
      </c>
      <c r="K619" s="7">
        <f>'[3]M.C UNPIV'!L620</f>
        <v>0</v>
      </c>
      <c r="L619" s="7">
        <f>'[3]M.C UNPIV'!M620</f>
        <v>0</v>
      </c>
      <c r="M619" s="6">
        <f>'[3]M.C UNPIV'!N620</f>
        <v>0</v>
      </c>
      <c r="N619" s="5">
        <f>'[3]M.C UNPIV'!O620</f>
        <v>0</v>
      </c>
      <c r="O619" s="5">
        <f>'[3]M.C UNPIV'!P620</f>
        <v>0</v>
      </c>
    </row>
    <row r="620" spans="1:15" x14ac:dyDescent="0.25">
      <c r="A620" s="4">
        <f>'[3]M.C UNPIV'!B621</f>
        <v>0</v>
      </c>
      <c r="B620" s="5">
        <f>'[3]M.C UNPIV'!C621</f>
        <v>0</v>
      </c>
      <c r="C620" s="5">
        <f>'[3]M.C UNPIV'!D621</f>
        <v>0</v>
      </c>
      <c r="D620" s="5">
        <f>'[3]M.C UNPIV'!E621</f>
        <v>0</v>
      </c>
      <c r="E620" s="5">
        <f>'[3]M.C UNPIV'!F621</f>
        <v>0</v>
      </c>
      <c r="F620" s="5">
        <f>'[3]M.C UNPIV'!G621</f>
        <v>0</v>
      </c>
      <c r="G620" s="6">
        <f>'[3]M.C UNPIV'!H621</f>
        <v>0</v>
      </c>
      <c r="H620" s="5">
        <f>'[3]M.C UNPIV'!I621</f>
        <v>0</v>
      </c>
      <c r="I620" s="7">
        <f>'[3]M.C UNPIV'!J621</f>
        <v>0</v>
      </c>
      <c r="J620" s="7">
        <f>'[3]M.C UNPIV'!K621</f>
        <v>0</v>
      </c>
      <c r="K620" s="7">
        <f>'[3]M.C UNPIV'!L621</f>
        <v>0</v>
      </c>
      <c r="L620" s="7">
        <f>'[3]M.C UNPIV'!M621</f>
        <v>0</v>
      </c>
      <c r="M620" s="6">
        <f>'[3]M.C UNPIV'!N621</f>
        <v>0</v>
      </c>
      <c r="N620" s="5">
        <f>'[3]M.C UNPIV'!O621</f>
        <v>0</v>
      </c>
      <c r="O620" s="5">
        <f>'[3]M.C UNPIV'!P621</f>
        <v>0</v>
      </c>
    </row>
    <row r="621" spans="1:15" x14ac:dyDescent="0.25">
      <c r="A621" s="4">
        <f>'[3]M.C UNPIV'!B622</f>
        <v>0</v>
      </c>
      <c r="B621" s="5">
        <f>'[3]M.C UNPIV'!C622</f>
        <v>0</v>
      </c>
      <c r="C621" s="5">
        <f>'[3]M.C UNPIV'!D622</f>
        <v>0</v>
      </c>
      <c r="D621" s="5">
        <f>'[3]M.C UNPIV'!E622</f>
        <v>0</v>
      </c>
      <c r="E621" s="5">
        <f>'[3]M.C UNPIV'!F622</f>
        <v>0</v>
      </c>
      <c r="F621" s="5">
        <f>'[3]M.C UNPIV'!G622</f>
        <v>0</v>
      </c>
      <c r="G621" s="6">
        <f>'[3]M.C UNPIV'!H622</f>
        <v>0</v>
      </c>
      <c r="H621" s="5">
        <f>'[3]M.C UNPIV'!I622</f>
        <v>0</v>
      </c>
      <c r="I621" s="7">
        <f>'[3]M.C UNPIV'!J622</f>
        <v>0</v>
      </c>
      <c r="J621" s="7">
        <f>'[3]M.C UNPIV'!K622</f>
        <v>0</v>
      </c>
      <c r="K621" s="7">
        <f>'[3]M.C UNPIV'!L622</f>
        <v>0</v>
      </c>
      <c r="L621" s="7">
        <f>'[3]M.C UNPIV'!M622</f>
        <v>0</v>
      </c>
      <c r="M621" s="6">
        <f>'[3]M.C UNPIV'!N622</f>
        <v>0</v>
      </c>
      <c r="N621" s="5">
        <f>'[3]M.C UNPIV'!O622</f>
        <v>0</v>
      </c>
      <c r="O621" s="5">
        <f>'[3]M.C UNPIV'!P622</f>
        <v>0</v>
      </c>
    </row>
    <row r="622" spans="1:15" x14ac:dyDescent="0.25">
      <c r="A622" s="4">
        <f>'[3]M.C UNPIV'!B623</f>
        <v>0</v>
      </c>
      <c r="B622" s="5">
        <f>'[3]M.C UNPIV'!C623</f>
        <v>0</v>
      </c>
      <c r="C622" s="5">
        <f>'[3]M.C UNPIV'!D623</f>
        <v>0</v>
      </c>
      <c r="D622" s="5">
        <f>'[3]M.C UNPIV'!E623</f>
        <v>0</v>
      </c>
      <c r="E622" s="5">
        <f>'[3]M.C UNPIV'!F623</f>
        <v>0</v>
      </c>
      <c r="F622" s="5">
        <f>'[3]M.C UNPIV'!G623</f>
        <v>0</v>
      </c>
      <c r="G622" s="6">
        <f>'[3]M.C UNPIV'!H623</f>
        <v>0</v>
      </c>
      <c r="H622" s="5">
        <f>'[3]M.C UNPIV'!I623</f>
        <v>0</v>
      </c>
      <c r="I622" s="7">
        <f>'[3]M.C UNPIV'!J623</f>
        <v>0</v>
      </c>
      <c r="J622" s="7">
        <f>'[3]M.C UNPIV'!K623</f>
        <v>0</v>
      </c>
      <c r="K622" s="7">
        <f>'[3]M.C UNPIV'!L623</f>
        <v>0</v>
      </c>
      <c r="L622" s="7">
        <f>'[3]M.C UNPIV'!M623</f>
        <v>0</v>
      </c>
      <c r="M622" s="6">
        <f>'[3]M.C UNPIV'!N623</f>
        <v>0</v>
      </c>
      <c r="N622" s="5">
        <f>'[3]M.C UNPIV'!O623</f>
        <v>0</v>
      </c>
      <c r="O622" s="5">
        <f>'[3]M.C UNPIV'!P623</f>
        <v>0</v>
      </c>
    </row>
    <row r="623" spans="1:15" x14ac:dyDescent="0.25">
      <c r="A623" s="4">
        <f>'[3]M.C UNPIV'!B624</f>
        <v>0</v>
      </c>
      <c r="B623" s="5">
        <f>'[3]M.C UNPIV'!C624</f>
        <v>0</v>
      </c>
      <c r="C623" s="5">
        <f>'[3]M.C UNPIV'!D624</f>
        <v>0</v>
      </c>
      <c r="D623" s="5">
        <f>'[3]M.C UNPIV'!E624</f>
        <v>0</v>
      </c>
      <c r="E623" s="5">
        <f>'[3]M.C UNPIV'!F624</f>
        <v>0</v>
      </c>
      <c r="F623" s="5">
        <f>'[3]M.C UNPIV'!G624</f>
        <v>0</v>
      </c>
      <c r="G623" s="6">
        <f>'[3]M.C UNPIV'!H624</f>
        <v>0</v>
      </c>
      <c r="H623" s="5">
        <f>'[3]M.C UNPIV'!I624</f>
        <v>0</v>
      </c>
      <c r="I623" s="7">
        <f>'[3]M.C UNPIV'!J624</f>
        <v>0</v>
      </c>
      <c r="J623" s="7">
        <f>'[3]M.C UNPIV'!K624</f>
        <v>0</v>
      </c>
      <c r="K623" s="7">
        <f>'[3]M.C UNPIV'!L624</f>
        <v>0</v>
      </c>
      <c r="L623" s="7">
        <f>'[3]M.C UNPIV'!M624</f>
        <v>0</v>
      </c>
      <c r="M623" s="6">
        <f>'[3]M.C UNPIV'!N624</f>
        <v>0</v>
      </c>
      <c r="N623" s="5">
        <f>'[3]M.C UNPIV'!O624</f>
        <v>0</v>
      </c>
      <c r="O623" s="5">
        <f>'[3]M.C UNPIV'!P624</f>
        <v>0</v>
      </c>
    </row>
    <row r="624" spans="1:15" x14ac:dyDescent="0.25">
      <c r="A624" s="4">
        <f>'[3]M.C UNPIV'!B625</f>
        <v>0</v>
      </c>
      <c r="B624" s="5">
        <f>'[3]M.C UNPIV'!C625</f>
        <v>0</v>
      </c>
      <c r="C624" s="5">
        <f>'[3]M.C UNPIV'!D625</f>
        <v>0</v>
      </c>
      <c r="D624" s="5">
        <f>'[3]M.C UNPIV'!E625</f>
        <v>0</v>
      </c>
      <c r="E624" s="5">
        <f>'[3]M.C UNPIV'!F625</f>
        <v>0</v>
      </c>
      <c r="F624" s="5">
        <f>'[3]M.C UNPIV'!G625</f>
        <v>0</v>
      </c>
      <c r="G624" s="6">
        <f>'[3]M.C UNPIV'!H625</f>
        <v>0</v>
      </c>
      <c r="H624" s="5">
        <f>'[3]M.C UNPIV'!I625</f>
        <v>0</v>
      </c>
      <c r="I624" s="7">
        <f>'[3]M.C UNPIV'!J625</f>
        <v>0</v>
      </c>
      <c r="J624" s="7">
        <f>'[3]M.C UNPIV'!K625</f>
        <v>0</v>
      </c>
      <c r="K624" s="7">
        <f>'[3]M.C UNPIV'!L625</f>
        <v>0</v>
      </c>
      <c r="L624" s="7">
        <f>'[3]M.C UNPIV'!M625</f>
        <v>0</v>
      </c>
      <c r="M624" s="6">
        <f>'[3]M.C UNPIV'!N625</f>
        <v>0</v>
      </c>
      <c r="N624" s="5">
        <f>'[3]M.C UNPIV'!O625</f>
        <v>0</v>
      </c>
      <c r="O624" s="5">
        <f>'[3]M.C UNPIV'!P625</f>
        <v>0</v>
      </c>
    </row>
    <row r="625" spans="1:15" x14ac:dyDescent="0.25">
      <c r="A625" s="4">
        <f>'[3]M.C UNPIV'!B626</f>
        <v>0</v>
      </c>
      <c r="B625" s="5">
        <f>'[3]M.C UNPIV'!C626</f>
        <v>0</v>
      </c>
      <c r="C625" s="5">
        <f>'[3]M.C UNPIV'!D626</f>
        <v>0</v>
      </c>
      <c r="D625" s="5">
        <f>'[3]M.C UNPIV'!E626</f>
        <v>0</v>
      </c>
      <c r="E625" s="5">
        <f>'[3]M.C UNPIV'!F626</f>
        <v>0</v>
      </c>
      <c r="F625" s="5">
        <f>'[3]M.C UNPIV'!G626</f>
        <v>0</v>
      </c>
      <c r="G625" s="6">
        <f>'[3]M.C UNPIV'!H626</f>
        <v>0</v>
      </c>
      <c r="H625" s="5">
        <f>'[3]M.C UNPIV'!I626</f>
        <v>0</v>
      </c>
      <c r="I625" s="7">
        <f>'[3]M.C UNPIV'!J626</f>
        <v>0</v>
      </c>
      <c r="J625" s="7">
        <f>'[3]M.C UNPIV'!K626</f>
        <v>0</v>
      </c>
      <c r="K625" s="7">
        <f>'[3]M.C UNPIV'!L626</f>
        <v>0</v>
      </c>
      <c r="L625" s="7">
        <f>'[3]M.C UNPIV'!M626</f>
        <v>0</v>
      </c>
      <c r="M625" s="6">
        <f>'[3]M.C UNPIV'!N626</f>
        <v>0</v>
      </c>
      <c r="N625" s="5">
        <f>'[3]M.C UNPIV'!O626</f>
        <v>0</v>
      </c>
      <c r="O625" s="5">
        <f>'[3]M.C UNPIV'!P626</f>
        <v>0</v>
      </c>
    </row>
    <row r="626" spans="1:15" x14ac:dyDescent="0.25">
      <c r="A626" s="4">
        <f>'[3]M.C UNPIV'!B627</f>
        <v>0</v>
      </c>
      <c r="B626" s="5">
        <f>'[3]M.C UNPIV'!C627</f>
        <v>0</v>
      </c>
      <c r="C626" s="5">
        <f>'[3]M.C UNPIV'!D627</f>
        <v>0</v>
      </c>
      <c r="D626" s="5">
        <f>'[3]M.C UNPIV'!E627</f>
        <v>0</v>
      </c>
      <c r="E626" s="5">
        <f>'[3]M.C UNPIV'!F627</f>
        <v>0</v>
      </c>
      <c r="F626" s="5">
        <f>'[3]M.C UNPIV'!G627</f>
        <v>0</v>
      </c>
      <c r="G626" s="6">
        <f>'[3]M.C UNPIV'!H627</f>
        <v>0</v>
      </c>
      <c r="H626" s="5">
        <f>'[3]M.C UNPIV'!I627</f>
        <v>0</v>
      </c>
      <c r="I626" s="7">
        <f>'[3]M.C UNPIV'!J627</f>
        <v>0</v>
      </c>
      <c r="J626" s="7">
        <f>'[3]M.C UNPIV'!K627</f>
        <v>0</v>
      </c>
      <c r="K626" s="7">
        <f>'[3]M.C UNPIV'!L627</f>
        <v>0</v>
      </c>
      <c r="L626" s="7">
        <f>'[3]M.C UNPIV'!M627</f>
        <v>0</v>
      </c>
      <c r="M626" s="6">
        <f>'[3]M.C UNPIV'!N627</f>
        <v>0</v>
      </c>
      <c r="N626" s="5">
        <f>'[3]M.C UNPIV'!O627</f>
        <v>0</v>
      </c>
      <c r="O626" s="5">
        <f>'[3]M.C UNPIV'!P627</f>
        <v>0</v>
      </c>
    </row>
    <row r="627" spans="1:15" x14ac:dyDescent="0.25">
      <c r="A627" s="4">
        <f>'[3]M.C UNPIV'!B628</f>
        <v>0</v>
      </c>
      <c r="B627" s="5">
        <f>'[3]M.C UNPIV'!C628</f>
        <v>0</v>
      </c>
      <c r="C627" s="5">
        <f>'[3]M.C UNPIV'!D628</f>
        <v>0</v>
      </c>
      <c r="D627" s="5">
        <f>'[3]M.C UNPIV'!E628</f>
        <v>0</v>
      </c>
      <c r="E627" s="5">
        <f>'[3]M.C UNPIV'!F628</f>
        <v>0</v>
      </c>
      <c r="F627" s="5">
        <f>'[3]M.C UNPIV'!G628</f>
        <v>0</v>
      </c>
      <c r="G627" s="6">
        <f>'[3]M.C UNPIV'!H628</f>
        <v>0</v>
      </c>
      <c r="H627" s="5">
        <f>'[3]M.C UNPIV'!I628</f>
        <v>0</v>
      </c>
      <c r="I627" s="7">
        <f>'[3]M.C UNPIV'!J628</f>
        <v>0</v>
      </c>
      <c r="J627" s="7">
        <f>'[3]M.C UNPIV'!K628</f>
        <v>0</v>
      </c>
      <c r="K627" s="7">
        <f>'[3]M.C UNPIV'!L628</f>
        <v>0</v>
      </c>
      <c r="L627" s="7">
        <f>'[3]M.C UNPIV'!M628</f>
        <v>0</v>
      </c>
      <c r="M627" s="6">
        <f>'[3]M.C UNPIV'!N628</f>
        <v>0</v>
      </c>
      <c r="N627" s="5">
        <f>'[3]M.C UNPIV'!O628</f>
        <v>0</v>
      </c>
      <c r="O627" s="5">
        <f>'[3]M.C UNPIV'!P628</f>
        <v>0</v>
      </c>
    </row>
    <row r="628" spans="1:15" x14ac:dyDescent="0.25">
      <c r="A628" s="4">
        <f>'[3]M.C UNPIV'!B629</f>
        <v>0</v>
      </c>
      <c r="B628" s="5">
        <f>'[3]M.C UNPIV'!C629</f>
        <v>0</v>
      </c>
      <c r="C628" s="5">
        <f>'[3]M.C UNPIV'!D629</f>
        <v>0</v>
      </c>
      <c r="D628" s="5">
        <f>'[3]M.C UNPIV'!E629</f>
        <v>0</v>
      </c>
      <c r="E628" s="5">
        <f>'[3]M.C UNPIV'!F629</f>
        <v>0</v>
      </c>
      <c r="F628" s="5">
        <f>'[3]M.C UNPIV'!G629</f>
        <v>0</v>
      </c>
      <c r="G628" s="6">
        <f>'[3]M.C UNPIV'!H629</f>
        <v>0</v>
      </c>
      <c r="H628" s="5">
        <f>'[3]M.C UNPIV'!I629</f>
        <v>0</v>
      </c>
      <c r="I628" s="7">
        <f>'[3]M.C UNPIV'!J629</f>
        <v>0</v>
      </c>
      <c r="J628" s="7">
        <f>'[3]M.C UNPIV'!K629</f>
        <v>0</v>
      </c>
      <c r="K628" s="7">
        <f>'[3]M.C UNPIV'!L629</f>
        <v>0</v>
      </c>
      <c r="L628" s="7">
        <f>'[3]M.C UNPIV'!M629</f>
        <v>0</v>
      </c>
      <c r="M628" s="6">
        <f>'[3]M.C UNPIV'!N629</f>
        <v>0</v>
      </c>
      <c r="N628" s="5">
        <f>'[3]M.C UNPIV'!O629</f>
        <v>0</v>
      </c>
      <c r="O628" s="5">
        <f>'[3]M.C UNPIV'!P629</f>
        <v>0</v>
      </c>
    </row>
    <row r="629" spans="1:15" x14ac:dyDescent="0.25">
      <c r="A629" s="4">
        <f>'[3]M.C UNPIV'!B630</f>
        <v>0</v>
      </c>
      <c r="B629" s="5">
        <f>'[3]M.C UNPIV'!C630</f>
        <v>0</v>
      </c>
      <c r="C629" s="5">
        <f>'[3]M.C UNPIV'!D630</f>
        <v>0</v>
      </c>
      <c r="D629" s="5">
        <f>'[3]M.C UNPIV'!E630</f>
        <v>0</v>
      </c>
      <c r="E629" s="5">
        <f>'[3]M.C UNPIV'!F630</f>
        <v>0</v>
      </c>
      <c r="F629" s="5">
        <f>'[3]M.C UNPIV'!G630</f>
        <v>0</v>
      </c>
      <c r="G629" s="6">
        <f>'[3]M.C UNPIV'!H630</f>
        <v>0</v>
      </c>
      <c r="H629" s="5">
        <f>'[3]M.C UNPIV'!I630</f>
        <v>0</v>
      </c>
      <c r="I629" s="7">
        <f>'[3]M.C UNPIV'!J630</f>
        <v>0</v>
      </c>
      <c r="J629" s="7">
        <f>'[3]M.C UNPIV'!K630</f>
        <v>0</v>
      </c>
      <c r="K629" s="7">
        <f>'[3]M.C UNPIV'!L630</f>
        <v>0</v>
      </c>
      <c r="L629" s="7">
        <f>'[3]M.C UNPIV'!M630</f>
        <v>0</v>
      </c>
      <c r="M629" s="6">
        <f>'[3]M.C UNPIV'!N630</f>
        <v>0</v>
      </c>
      <c r="N629" s="5">
        <f>'[3]M.C UNPIV'!O630</f>
        <v>0</v>
      </c>
      <c r="O629" s="5">
        <f>'[3]M.C UNPIV'!P630</f>
        <v>0</v>
      </c>
    </row>
    <row r="630" spans="1:15" x14ac:dyDescent="0.25">
      <c r="A630" s="4">
        <f>'[3]M.C UNPIV'!B631</f>
        <v>0</v>
      </c>
      <c r="B630" s="5">
        <f>'[3]M.C UNPIV'!C631</f>
        <v>0</v>
      </c>
      <c r="C630" s="5">
        <f>'[3]M.C UNPIV'!D631</f>
        <v>0</v>
      </c>
      <c r="D630" s="5">
        <f>'[3]M.C UNPIV'!E631</f>
        <v>0</v>
      </c>
      <c r="E630" s="5">
        <f>'[3]M.C UNPIV'!F631</f>
        <v>0</v>
      </c>
      <c r="F630" s="5">
        <f>'[3]M.C UNPIV'!G631</f>
        <v>0</v>
      </c>
      <c r="G630" s="6">
        <f>'[3]M.C UNPIV'!H631</f>
        <v>0</v>
      </c>
      <c r="H630" s="5">
        <f>'[3]M.C UNPIV'!I631</f>
        <v>0</v>
      </c>
      <c r="I630" s="7">
        <f>'[3]M.C UNPIV'!J631</f>
        <v>0</v>
      </c>
      <c r="J630" s="7">
        <f>'[3]M.C UNPIV'!K631</f>
        <v>0</v>
      </c>
      <c r="K630" s="7">
        <f>'[3]M.C UNPIV'!L631</f>
        <v>0</v>
      </c>
      <c r="L630" s="7">
        <f>'[3]M.C UNPIV'!M631</f>
        <v>0</v>
      </c>
      <c r="M630" s="6">
        <f>'[3]M.C UNPIV'!N631</f>
        <v>0</v>
      </c>
      <c r="N630" s="5">
        <f>'[3]M.C UNPIV'!O631</f>
        <v>0</v>
      </c>
      <c r="O630" s="5">
        <f>'[3]M.C UNPIV'!P631</f>
        <v>0</v>
      </c>
    </row>
    <row r="631" spans="1:15" x14ac:dyDescent="0.25">
      <c r="A631" s="4">
        <f>'[3]M.C UNPIV'!B632</f>
        <v>0</v>
      </c>
      <c r="B631" s="5">
        <f>'[3]M.C UNPIV'!C632</f>
        <v>0</v>
      </c>
      <c r="C631" s="5">
        <f>'[3]M.C UNPIV'!D632</f>
        <v>0</v>
      </c>
      <c r="D631" s="5">
        <f>'[3]M.C UNPIV'!E632</f>
        <v>0</v>
      </c>
      <c r="E631" s="5">
        <f>'[3]M.C UNPIV'!F632</f>
        <v>0</v>
      </c>
      <c r="F631" s="5">
        <f>'[3]M.C UNPIV'!G632</f>
        <v>0</v>
      </c>
      <c r="G631" s="6">
        <f>'[3]M.C UNPIV'!H632</f>
        <v>0</v>
      </c>
      <c r="H631" s="5">
        <f>'[3]M.C UNPIV'!I632</f>
        <v>0</v>
      </c>
      <c r="I631" s="7">
        <f>'[3]M.C UNPIV'!J632</f>
        <v>0</v>
      </c>
      <c r="J631" s="7">
        <f>'[3]M.C UNPIV'!K632</f>
        <v>0</v>
      </c>
      <c r="K631" s="7">
        <f>'[3]M.C UNPIV'!L632</f>
        <v>0</v>
      </c>
      <c r="L631" s="7">
        <f>'[3]M.C UNPIV'!M632</f>
        <v>0</v>
      </c>
      <c r="M631" s="6">
        <f>'[3]M.C UNPIV'!N632</f>
        <v>0</v>
      </c>
      <c r="N631" s="5">
        <f>'[3]M.C UNPIV'!O632</f>
        <v>0</v>
      </c>
      <c r="O631" s="5">
        <f>'[3]M.C UNPIV'!P632</f>
        <v>0</v>
      </c>
    </row>
    <row r="632" spans="1:15" x14ac:dyDescent="0.25">
      <c r="A632" s="4">
        <f>'[3]M.C UNPIV'!B633</f>
        <v>0</v>
      </c>
      <c r="B632" s="5">
        <f>'[3]M.C UNPIV'!C633</f>
        <v>0</v>
      </c>
      <c r="C632" s="5">
        <f>'[3]M.C UNPIV'!D633</f>
        <v>0</v>
      </c>
      <c r="D632" s="5">
        <f>'[3]M.C UNPIV'!E633</f>
        <v>0</v>
      </c>
      <c r="E632" s="5">
        <f>'[3]M.C UNPIV'!F633</f>
        <v>0</v>
      </c>
      <c r="F632" s="5">
        <f>'[3]M.C UNPIV'!G633</f>
        <v>0</v>
      </c>
      <c r="G632" s="6">
        <f>'[3]M.C UNPIV'!H633</f>
        <v>0</v>
      </c>
      <c r="H632" s="5">
        <f>'[3]M.C UNPIV'!I633</f>
        <v>0</v>
      </c>
      <c r="I632" s="7">
        <f>'[3]M.C UNPIV'!J633</f>
        <v>0</v>
      </c>
      <c r="J632" s="7">
        <f>'[3]M.C UNPIV'!K633</f>
        <v>0</v>
      </c>
      <c r="K632" s="7">
        <f>'[3]M.C UNPIV'!L633</f>
        <v>0</v>
      </c>
      <c r="L632" s="7">
        <f>'[3]M.C UNPIV'!M633</f>
        <v>0</v>
      </c>
      <c r="M632" s="6">
        <f>'[3]M.C UNPIV'!N633</f>
        <v>0</v>
      </c>
      <c r="N632" s="5">
        <f>'[3]M.C UNPIV'!O633</f>
        <v>0</v>
      </c>
      <c r="O632" s="5">
        <f>'[3]M.C UNPIV'!P633</f>
        <v>0</v>
      </c>
    </row>
    <row r="633" spans="1:15" x14ac:dyDescent="0.25">
      <c r="A633" s="4">
        <f>'[3]M.C UNPIV'!B634</f>
        <v>0</v>
      </c>
      <c r="B633" s="5">
        <f>'[3]M.C UNPIV'!C634</f>
        <v>0</v>
      </c>
      <c r="C633" s="5">
        <f>'[3]M.C UNPIV'!D634</f>
        <v>0</v>
      </c>
      <c r="D633" s="5">
        <f>'[3]M.C UNPIV'!E634</f>
        <v>0</v>
      </c>
      <c r="E633" s="5">
        <f>'[3]M.C UNPIV'!F634</f>
        <v>0</v>
      </c>
      <c r="F633" s="5">
        <f>'[3]M.C UNPIV'!G634</f>
        <v>0</v>
      </c>
      <c r="G633" s="6">
        <f>'[3]M.C UNPIV'!H634</f>
        <v>0</v>
      </c>
      <c r="H633" s="5">
        <f>'[3]M.C UNPIV'!I634</f>
        <v>0</v>
      </c>
      <c r="I633" s="7">
        <f>'[3]M.C UNPIV'!J634</f>
        <v>0</v>
      </c>
      <c r="J633" s="7">
        <f>'[3]M.C UNPIV'!K634</f>
        <v>0</v>
      </c>
      <c r="K633" s="7">
        <f>'[3]M.C UNPIV'!L634</f>
        <v>0</v>
      </c>
      <c r="L633" s="7">
        <f>'[3]M.C UNPIV'!M634</f>
        <v>0</v>
      </c>
      <c r="M633" s="6">
        <f>'[3]M.C UNPIV'!N634</f>
        <v>0</v>
      </c>
      <c r="N633" s="5">
        <f>'[3]M.C UNPIV'!O634</f>
        <v>0</v>
      </c>
      <c r="O633" s="5">
        <f>'[3]M.C UNPIV'!P634</f>
        <v>0</v>
      </c>
    </row>
    <row r="634" spans="1:15" x14ac:dyDescent="0.25">
      <c r="A634" s="4">
        <f>'[3]M.C UNPIV'!B635</f>
        <v>0</v>
      </c>
      <c r="B634" s="5">
        <f>'[3]M.C UNPIV'!C635</f>
        <v>0</v>
      </c>
      <c r="C634" s="5">
        <f>'[3]M.C UNPIV'!D635</f>
        <v>0</v>
      </c>
      <c r="D634" s="5">
        <f>'[3]M.C UNPIV'!E635</f>
        <v>0</v>
      </c>
      <c r="E634" s="5">
        <f>'[3]M.C UNPIV'!F635</f>
        <v>0</v>
      </c>
      <c r="F634" s="5">
        <f>'[3]M.C UNPIV'!G635</f>
        <v>0</v>
      </c>
      <c r="G634" s="6">
        <f>'[3]M.C UNPIV'!H635</f>
        <v>0</v>
      </c>
      <c r="H634" s="5">
        <f>'[3]M.C UNPIV'!I635</f>
        <v>0</v>
      </c>
      <c r="I634" s="7">
        <f>'[3]M.C UNPIV'!J635</f>
        <v>0</v>
      </c>
      <c r="J634" s="7">
        <f>'[3]M.C UNPIV'!K635</f>
        <v>0</v>
      </c>
      <c r="K634" s="7">
        <f>'[3]M.C UNPIV'!L635</f>
        <v>0</v>
      </c>
      <c r="L634" s="7">
        <f>'[3]M.C UNPIV'!M635</f>
        <v>0</v>
      </c>
      <c r="M634" s="6">
        <f>'[3]M.C UNPIV'!N635</f>
        <v>0</v>
      </c>
      <c r="N634" s="5">
        <f>'[3]M.C UNPIV'!O635</f>
        <v>0</v>
      </c>
      <c r="O634" s="5">
        <f>'[3]M.C UNPIV'!P635</f>
        <v>0</v>
      </c>
    </row>
    <row r="635" spans="1:15" x14ac:dyDescent="0.25">
      <c r="A635" s="4">
        <f>'[3]M.C UNPIV'!B636</f>
        <v>0</v>
      </c>
      <c r="B635" s="5">
        <f>'[3]M.C UNPIV'!C636</f>
        <v>0</v>
      </c>
      <c r="C635" s="5">
        <f>'[3]M.C UNPIV'!D636</f>
        <v>0</v>
      </c>
      <c r="D635" s="5">
        <f>'[3]M.C UNPIV'!E636</f>
        <v>0</v>
      </c>
      <c r="E635" s="5">
        <f>'[3]M.C UNPIV'!F636</f>
        <v>0</v>
      </c>
      <c r="F635" s="5">
        <f>'[3]M.C UNPIV'!G636</f>
        <v>0</v>
      </c>
      <c r="G635" s="6">
        <f>'[3]M.C UNPIV'!H636</f>
        <v>0</v>
      </c>
      <c r="H635" s="5">
        <f>'[3]M.C UNPIV'!I636</f>
        <v>0</v>
      </c>
      <c r="I635" s="7">
        <f>'[3]M.C UNPIV'!J636</f>
        <v>0</v>
      </c>
      <c r="J635" s="7">
        <f>'[3]M.C UNPIV'!K636</f>
        <v>0</v>
      </c>
      <c r="K635" s="7">
        <f>'[3]M.C UNPIV'!L636</f>
        <v>0</v>
      </c>
      <c r="L635" s="7">
        <f>'[3]M.C UNPIV'!M636</f>
        <v>0</v>
      </c>
      <c r="M635" s="6">
        <f>'[3]M.C UNPIV'!N636</f>
        <v>0</v>
      </c>
      <c r="N635" s="5">
        <f>'[3]M.C UNPIV'!O636</f>
        <v>0</v>
      </c>
      <c r="O635" s="5">
        <f>'[3]M.C UNPIV'!P636</f>
        <v>0</v>
      </c>
    </row>
    <row r="636" spans="1:15" x14ac:dyDescent="0.25">
      <c r="A636" s="4">
        <f>'[3]M.C UNPIV'!B637</f>
        <v>0</v>
      </c>
      <c r="B636" s="5">
        <f>'[3]M.C UNPIV'!C637</f>
        <v>0</v>
      </c>
      <c r="C636" s="5">
        <f>'[3]M.C UNPIV'!D637</f>
        <v>0</v>
      </c>
      <c r="D636" s="5">
        <f>'[3]M.C UNPIV'!E637</f>
        <v>0</v>
      </c>
      <c r="E636" s="5">
        <f>'[3]M.C UNPIV'!F637</f>
        <v>0</v>
      </c>
      <c r="F636" s="5">
        <f>'[3]M.C UNPIV'!G637</f>
        <v>0</v>
      </c>
      <c r="G636" s="6">
        <f>'[3]M.C UNPIV'!H637</f>
        <v>0</v>
      </c>
      <c r="H636" s="5">
        <f>'[3]M.C UNPIV'!I637</f>
        <v>0</v>
      </c>
      <c r="I636" s="7">
        <f>'[3]M.C UNPIV'!J637</f>
        <v>0</v>
      </c>
      <c r="J636" s="7">
        <f>'[3]M.C UNPIV'!K637</f>
        <v>0</v>
      </c>
      <c r="K636" s="7">
        <f>'[3]M.C UNPIV'!L637</f>
        <v>0</v>
      </c>
      <c r="L636" s="7">
        <f>'[3]M.C UNPIV'!M637</f>
        <v>0</v>
      </c>
      <c r="M636" s="6">
        <f>'[3]M.C UNPIV'!N637</f>
        <v>0</v>
      </c>
      <c r="N636" s="5">
        <f>'[3]M.C UNPIV'!O637</f>
        <v>0</v>
      </c>
      <c r="O636" s="5">
        <f>'[3]M.C UNPIV'!P637</f>
        <v>0</v>
      </c>
    </row>
    <row r="637" spans="1:15" x14ac:dyDescent="0.25">
      <c r="A637" s="4">
        <f>'[3]M.C UNPIV'!B638</f>
        <v>0</v>
      </c>
      <c r="B637" s="5">
        <f>'[3]M.C UNPIV'!C638</f>
        <v>0</v>
      </c>
      <c r="C637" s="5">
        <f>'[3]M.C UNPIV'!D638</f>
        <v>0</v>
      </c>
      <c r="D637" s="5">
        <f>'[3]M.C UNPIV'!E638</f>
        <v>0</v>
      </c>
      <c r="E637" s="5">
        <f>'[3]M.C UNPIV'!F638</f>
        <v>0</v>
      </c>
      <c r="F637" s="5">
        <f>'[3]M.C UNPIV'!G638</f>
        <v>0</v>
      </c>
      <c r="G637" s="6">
        <f>'[3]M.C UNPIV'!H638</f>
        <v>0</v>
      </c>
      <c r="H637" s="5">
        <f>'[3]M.C UNPIV'!I638</f>
        <v>0</v>
      </c>
      <c r="I637" s="7">
        <f>'[3]M.C UNPIV'!J638</f>
        <v>0</v>
      </c>
      <c r="J637" s="7">
        <f>'[3]M.C UNPIV'!K638</f>
        <v>0</v>
      </c>
      <c r="K637" s="7">
        <f>'[3]M.C UNPIV'!L638</f>
        <v>0</v>
      </c>
      <c r="L637" s="7">
        <f>'[3]M.C UNPIV'!M638</f>
        <v>0</v>
      </c>
      <c r="M637" s="6">
        <f>'[3]M.C UNPIV'!N638</f>
        <v>0</v>
      </c>
      <c r="N637" s="5">
        <f>'[3]M.C UNPIV'!O638</f>
        <v>0</v>
      </c>
      <c r="O637" s="5">
        <f>'[3]M.C UNPIV'!P638</f>
        <v>0</v>
      </c>
    </row>
    <row r="638" spans="1:15" x14ac:dyDescent="0.25">
      <c r="A638" s="4">
        <f>'[3]M.C UNPIV'!B639</f>
        <v>0</v>
      </c>
      <c r="B638" s="5">
        <f>'[3]M.C UNPIV'!C639</f>
        <v>0</v>
      </c>
      <c r="C638" s="5">
        <f>'[3]M.C UNPIV'!D639</f>
        <v>0</v>
      </c>
      <c r="D638" s="5">
        <f>'[3]M.C UNPIV'!E639</f>
        <v>0</v>
      </c>
      <c r="E638" s="5">
        <f>'[3]M.C UNPIV'!F639</f>
        <v>0</v>
      </c>
      <c r="F638" s="5">
        <f>'[3]M.C UNPIV'!G639</f>
        <v>0</v>
      </c>
      <c r="G638" s="6">
        <f>'[3]M.C UNPIV'!H639</f>
        <v>0</v>
      </c>
      <c r="H638" s="5">
        <f>'[3]M.C UNPIV'!I639</f>
        <v>0</v>
      </c>
      <c r="I638" s="7">
        <f>'[3]M.C UNPIV'!J639</f>
        <v>0</v>
      </c>
      <c r="J638" s="7">
        <f>'[3]M.C UNPIV'!K639</f>
        <v>0</v>
      </c>
      <c r="K638" s="7">
        <f>'[3]M.C UNPIV'!L639</f>
        <v>0</v>
      </c>
      <c r="L638" s="7">
        <f>'[3]M.C UNPIV'!M639</f>
        <v>0</v>
      </c>
      <c r="M638" s="6">
        <f>'[3]M.C UNPIV'!N639</f>
        <v>0</v>
      </c>
      <c r="N638" s="5">
        <f>'[3]M.C UNPIV'!O639</f>
        <v>0</v>
      </c>
      <c r="O638" s="5">
        <f>'[3]M.C UNPIV'!P639</f>
        <v>0</v>
      </c>
    </row>
    <row r="639" spans="1:15" x14ac:dyDescent="0.25">
      <c r="A639" s="4">
        <f>'[3]M.C UNPIV'!B640</f>
        <v>0</v>
      </c>
      <c r="B639" s="5">
        <f>'[3]M.C UNPIV'!C640</f>
        <v>0</v>
      </c>
      <c r="C639" s="5">
        <f>'[3]M.C UNPIV'!D640</f>
        <v>0</v>
      </c>
      <c r="D639" s="5">
        <f>'[3]M.C UNPIV'!E640</f>
        <v>0</v>
      </c>
      <c r="E639" s="5">
        <f>'[3]M.C UNPIV'!F640</f>
        <v>0</v>
      </c>
      <c r="F639" s="5">
        <f>'[3]M.C UNPIV'!G640</f>
        <v>0</v>
      </c>
      <c r="G639" s="6">
        <f>'[3]M.C UNPIV'!H640</f>
        <v>0</v>
      </c>
      <c r="H639" s="5">
        <f>'[3]M.C UNPIV'!I640</f>
        <v>0</v>
      </c>
      <c r="I639" s="7">
        <f>'[3]M.C UNPIV'!J640</f>
        <v>0</v>
      </c>
      <c r="J639" s="7">
        <f>'[3]M.C UNPIV'!K640</f>
        <v>0</v>
      </c>
      <c r="K639" s="7">
        <f>'[3]M.C UNPIV'!L640</f>
        <v>0</v>
      </c>
      <c r="L639" s="7">
        <f>'[3]M.C UNPIV'!M640</f>
        <v>0</v>
      </c>
      <c r="M639" s="6">
        <f>'[3]M.C UNPIV'!N640</f>
        <v>0</v>
      </c>
      <c r="N639" s="5">
        <f>'[3]M.C UNPIV'!O640</f>
        <v>0</v>
      </c>
      <c r="O639" s="5">
        <f>'[3]M.C UNPIV'!P640</f>
        <v>0</v>
      </c>
    </row>
    <row r="640" spans="1:15" x14ac:dyDescent="0.25">
      <c r="A640" s="4">
        <f>'[3]M.C UNPIV'!B641</f>
        <v>0</v>
      </c>
      <c r="B640" s="5">
        <f>'[3]M.C UNPIV'!C641</f>
        <v>0</v>
      </c>
      <c r="C640" s="5">
        <f>'[3]M.C UNPIV'!D641</f>
        <v>0</v>
      </c>
      <c r="D640" s="5">
        <f>'[3]M.C UNPIV'!E641</f>
        <v>0</v>
      </c>
      <c r="E640" s="5">
        <f>'[3]M.C UNPIV'!F641</f>
        <v>0</v>
      </c>
      <c r="F640" s="5">
        <f>'[3]M.C UNPIV'!G641</f>
        <v>0</v>
      </c>
      <c r="G640" s="6">
        <f>'[3]M.C UNPIV'!H641</f>
        <v>0</v>
      </c>
      <c r="H640" s="5">
        <f>'[3]M.C UNPIV'!I641</f>
        <v>0</v>
      </c>
      <c r="I640" s="7">
        <f>'[3]M.C UNPIV'!J641</f>
        <v>0</v>
      </c>
      <c r="J640" s="7">
        <f>'[3]M.C UNPIV'!K641</f>
        <v>0</v>
      </c>
      <c r="K640" s="7">
        <f>'[3]M.C UNPIV'!L641</f>
        <v>0</v>
      </c>
      <c r="L640" s="7">
        <f>'[3]M.C UNPIV'!M641</f>
        <v>0</v>
      </c>
      <c r="M640" s="6">
        <f>'[3]M.C UNPIV'!N641</f>
        <v>0</v>
      </c>
      <c r="N640" s="5">
        <f>'[3]M.C UNPIV'!O641</f>
        <v>0</v>
      </c>
      <c r="O640" s="5">
        <f>'[3]M.C UNPIV'!P641</f>
        <v>0</v>
      </c>
    </row>
    <row r="641" spans="1:15" x14ac:dyDescent="0.25">
      <c r="A641" s="4">
        <f>'[3]M.C UNPIV'!B642</f>
        <v>0</v>
      </c>
      <c r="B641" s="5">
        <f>'[3]M.C UNPIV'!C642</f>
        <v>0</v>
      </c>
      <c r="C641" s="5">
        <f>'[3]M.C UNPIV'!D642</f>
        <v>0</v>
      </c>
      <c r="D641" s="5">
        <f>'[3]M.C UNPIV'!E642</f>
        <v>0</v>
      </c>
      <c r="E641" s="5">
        <f>'[3]M.C UNPIV'!F642</f>
        <v>0</v>
      </c>
      <c r="F641" s="5">
        <f>'[3]M.C UNPIV'!G642</f>
        <v>0</v>
      </c>
      <c r="G641" s="6">
        <f>'[3]M.C UNPIV'!H642</f>
        <v>0</v>
      </c>
      <c r="H641" s="5">
        <f>'[3]M.C UNPIV'!I642</f>
        <v>0</v>
      </c>
      <c r="I641" s="7">
        <f>'[3]M.C UNPIV'!J642</f>
        <v>0</v>
      </c>
      <c r="J641" s="7">
        <f>'[3]M.C UNPIV'!K642</f>
        <v>0</v>
      </c>
      <c r="K641" s="7">
        <f>'[3]M.C UNPIV'!L642</f>
        <v>0</v>
      </c>
      <c r="L641" s="7">
        <f>'[3]M.C UNPIV'!M642</f>
        <v>0</v>
      </c>
      <c r="M641" s="6">
        <f>'[3]M.C UNPIV'!N642</f>
        <v>0</v>
      </c>
      <c r="N641" s="5">
        <f>'[3]M.C UNPIV'!O642</f>
        <v>0</v>
      </c>
      <c r="O641" s="5">
        <f>'[3]M.C UNPIV'!P642</f>
        <v>0</v>
      </c>
    </row>
    <row r="642" spans="1:15" x14ac:dyDescent="0.25">
      <c r="A642" s="4">
        <f>'[3]M.C UNPIV'!B643</f>
        <v>0</v>
      </c>
      <c r="B642" s="5">
        <f>'[3]M.C UNPIV'!C643</f>
        <v>0</v>
      </c>
      <c r="C642" s="5">
        <f>'[3]M.C UNPIV'!D643</f>
        <v>0</v>
      </c>
      <c r="D642" s="5">
        <f>'[3]M.C UNPIV'!E643</f>
        <v>0</v>
      </c>
      <c r="E642" s="5">
        <f>'[3]M.C UNPIV'!F643</f>
        <v>0</v>
      </c>
      <c r="F642" s="5">
        <f>'[3]M.C UNPIV'!G643</f>
        <v>0</v>
      </c>
      <c r="G642" s="6">
        <f>'[3]M.C UNPIV'!H643</f>
        <v>0</v>
      </c>
      <c r="H642" s="5">
        <f>'[3]M.C UNPIV'!I643</f>
        <v>0</v>
      </c>
      <c r="I642" s="7">
        <f>'[3]M.C UNPIV'!J643</f>
        <v>0</v>
      </c>
      <c r="J642" s="7">
        <f>'[3]M.C UNPIV'!K643</f>
        <v>0</v>
      </c>
      <c r="K642" s="7">
        <f>'[3]M.C UNPIV'!L643</f>
        <v>0</v>
      </c>
      <c r="L642" s="7">
        <f>'[3]M.C UNPIV'!M643</f>
        <v>0</v>
      </c>
      <c r="M642" s="6">
        <f>'[3]M.C UNPIV'!N643</f>
        <v>0</v>
      </c>
      <c r="N642" s="5">
        <f>'[3]M.C UNPIV'!O643</f>
        <v>0</v>
      </c>
      <c r="O642" s="5">
        <f>'[3]M.C UNPIV'!P643</f>
        <v>0</v>
      </c>
    </row>
    <row r="643" spans="1:15" x14ac:dyDescent="0.25">
      <c r="A643" s="4">
        <f>'[3]M.C UNPIV'!B644</f>
        <v>0</v>
      </c>
      <c r="B643" s="5">
        <f>'[3]M.C UNPIV'!C644</f>
        <v>0</v>
      </c>
      <c r="C643" s="5">
        <f>'[3]M.C UNPIV'!D644</f>
        <v>0</v>
      </c>
      <c r="D643" s="5">
        <f>'[3]M.C UNPIV'!E644</f>
        <v>0</v>
      </c>
      <c r="E643" s="5">
        <f>'[3]M.C UNPIV'!F644</f>
        <v>0</v>
      </c>
      <c r="F643" s="5">
        <f>'[3]M.C UNPIV'!G644</f>
        <v>0</v>
      </c>
      <c r="G643" s="6">
        <f>'[3]M.C UNPIV'!H644</f>
        <v>0</v>
      </c>
      <c r="H643" s="5">
        <f>'[3]M.C UNPIV'!I644</f>
        <v>0</v>
      </c>
      <c r="I643" s="7">
        <f>'[3]M.C UNPIV'!J644</f>
        <v>0</v>
      </c>
      <c r="J643" s="7">
        <f>'[3]M.C UNPIV'!K644</f>
        <v>0</v>
      </c>
      <c r="K643" s="7">
        <f>'[3]M.C UNPIV'!L644</f>
        <v>0</v>
      </c>
      <c r="L643" s="7">
        <f>'[3]M.C UNPIV'!M644</f>
        <v>0</v>
      </c>
      <c r="M643" s="6">
        <f>'[3]M.C UNPIV'!N644</f>
        <v>0</v>
      </c>
      <c r="N643" s="5">
        <f>'[3]M.C UNPIV'!O644</f>
        <v>0</v>
      </c>
      <c r="O643" s="5">
        <f>'[3]M.C UNPIV'!P644</f>
        <v>0</v>
      </c>
    </row>
    <row r="644" spans="1:15" x14ac:dyDescent="0.25">
      <c r="A644" s="4">
        <f>'[3]M.C UNPIV'!B645</f>
        <v>0</v>
      </c>
      <c r="B644" s="5">
        <f>'[3]M.C UNPIV'!C645</f>
        <v>0</v>
      </c>
      <c r="C644" s="5">
        <f>'[3]M.C UNPIV'!D645</f>
        <v>0</v>
      </c>
      <c r="D644" s="5">
        <f>'[3]M.C UNPIV'!E645</f>
        <v>0</v>
      </c>
      <c r="E644" s="5">
        <f>'[3]M.C UNPIV'!F645</f>
        <v>0</v>
      </c>
      <c r="F644" s="5">
        <f>'[3]M.C UNPIV'!G645</f>
        <v>0</v>
      </c>
      <c r="G644" s="6">
        <f>'[3]M.C UNPIV'!H645</f>
        <v>0</v>
      </c>
      <c r="H644" s="5">
        <f>'[3]M.C UNPIV'!I645</f>
        <v>0</v>
      </c>
      <c r="I644" s="7">
        <f>'[3]M.C UNPIV'!J645</f>
        <v>0</v>
      </c>
      <c r="J644" s="7">
        <f>'[3]M.C UNPIV'!K645</f>
        <v>0</v>
      </c>
      <c r="K644" s="7">
        <f>'[3]M.C UNPIV'!L645</f>
        <v>0</v>
      </c>
      <c r="L644" s="7">
        <f>'[3]M.C UNPIV'!M645</f>
        <v>0</v>
      </c>
      <c r="M644" s="6">
        <f>'[3]M.C UNPIV'!N645</f>
        <v>0</v>
      </c>
      <c r="N644" s="5">
        <f>'[3]M.C UNPIV'!O645</f>
        <v>0</v>
      </c>
      <c r="O644" s="5">
        <f>'[3]M.C UNPIV'!P645</f>
        <v>0</v>
      </c>
    </row>
    <row r="645" spans="1:15" x14ac:dyDescent="0.25">
      <c r="A645" s="4">
        <f>'[3]M.C UNPIV'!B646</f>
        <v>0</v>
      </c>
      <c r="B645" s="5">
        <f>'[3]M.C UNPIV'!C646</f>
        <v>0</v>
      </c>
      <c r="C645" s="5">
        <f>'[3]M.C UNPIV'!D646</f>
        <v>0</v>
      </c>
      <c r="D645" s="5">
        <f>'[3]M.C UNPIV'!E646</f>
        <v>0</v>
      </c>
      <c r="E645" s="5">
        <f>'[3]M.C UNPIV'!F646</f>
        <v>0</v>
      </c>
      <c r="F645" s="5">
        <f>'[3]M.C UNPIV'!G646</f>
        <v>0</v>
      </c>
      <c r="G645" s="6">
        <f>'[3]M.C UNPIV'!H646</f>
        <v>0</v>
      </c>
      <c r="H645" s="5">
        <f>'[3]M.C UNPIV'!I646</f>
        <v>0</v>
      </c>
      <c r="I645" s="7">
        <f>'[3]M.C UNPIV'!J646</f>
        <v>0</v>
      </c>
      <c r="J645" s="7">
        <f>'[3]M.C UNPIV'!K646</f>
        <v>0</v>
      </c>
      <c r="K645" s="7">
        <f>'[3]M.C UNPIV'!L646</f>
        <v>0</v>
      </c>
      <c r="L645" s="7">
        <f>'[3]M.C UNPIV'!M646</f>
        <v>0</v>
      </c>
      <c r="M645" s="6">
        <f>'[3]M.C UNPIV'!N646</f>
        <v>0</v>
      </c>
      <c r="N645" s="5">
        <f>'[3]M.C UNPIV'!O646</f>
        <v>0</v>
      </c>
      <c r="O645" s="5">
        <f>'[3]M.C UNPIV'!P646</f>
        <v>0</v>
      </c>
    </row>
    <row r="646" spans="1:15" x14ac:dyDescent="0.25">
      <c r="A646" s="4">
        <f>'[3]M.C UNPIV'!B647</f>
        <v>0</v>
      </c>
      <c r="B646" s="5">
        <f>'[3]M.C UNPIV'!C647</f>
        <v>0</v>
      </c>
      <c r="C646" s="5">
        <f>'[3]M.C UNPIV'!D647</f>
        <v>0</v>
      </c>
      <c r="D646" s="5">
        <f>'[3]M.C UNPIV'!E647</f>
        <v>0</v>
      </c>
      <c r="E646" s="5">
        <f>'[3]M.C UNPIV'!F647</f>
        <v>0</v>
      </c>
      <c r="F646" s="5">
        <f>'[3]M.C UNPIV'!G647</f>
        <v>0</v>
      </c>
      <c r="G646" s="6">
        <f>'[3]M.C UNPIV'!H647</f>
        <v>0</v>
      </c>
      <c r="H646" s="5">
        <f>'[3]M.C UNPIV'!I647</f>
        <v>0</v>
      </c>
      <c r="I646" s="7">
        <f>'[3]M.C UNPIV'!J647</f>
        <v>0</v>
      </c>
      <c r="J646" s="7">
        <f>'[3]M.C UNPIV'!K647</f>
        <v>0</v>
      </c>
      <c r="K646" s="7">
        <f>'[3]M.C UNPIV'!L647</f>
        <v>0</v>
      </c>
      <c r="L646" s="7">
        <f>'[3]M.C UNPIV'!M647</f>
        <v>0</v>
      </c>
      <c r="M646" s="6">
        <f>'[3]M.C UNPIV'!N647</f>
        <v>0</v>
      </c>
      <c r="N646" s="5">
        <f>'[3]M.C UNPIV'!O647</f>
        <v>0</v>
      </c>
      <c r="O646" s="5">
        <f>'[3]M.C UNPIV'!P647</f>
        <v>0</v>
      </c>
    </row>
    <row r="647" spans="1:15" x14ac:dyDescent="0.25">
      <c r="A647" s="4">
        <f>'[3]M.C UNPIV'!B648</f>
        <v>0</v>
      </c>
      <c r="B647" s="5">
        <f>'[3]M.C UNPIV'!C648</f>
        <v>0</v>
      </c>
      <c r="C647" s="5">
        <f>'[3]M.C UNPIV'!D648</f>
        <v>0</v>
      </c>
      <c r="D647" s="5">
        <f>'[3]M.C UNPIV'!E648</f>
        <v>0</v>
      </c>
      <c r="E647" s="5">
        <f>'[3]M.C UNPIV'!F648</f>
        <v>0</v>
      </c>
      <c r="F647" s="5">
        <f>'[3]M.C UNPIV'!G648</f>
        <v>0</v>
      </c>
      <c r="G647" s="6">
        <f>'[3]M.C UNPIV'!H648</f>
        <v>0</v>
      </c>
      <c r="H647" s="5">
        <f>'[3]M.C UNPIV'!I648</f>
        <v>0</v>
      </c>
      <c r="I647" s="7">
        <f>'[3]M.C UNPIV'!J648</f>
        <v>0</v>
      </c>
      <c r="J647" s="7">
        <f>'[3]M.C UNPIV'!K648</f>
        <v>0</v>
      </c>
      <c r="K647" s="7">
        <f>'[3]M.C UNPIV'!L648</f>
        <v>0</v>
      </c>
      <c r="L647" s="7">
        <f>'[3]M.C UNPIV'!M648</f>
        <v>0</v>
      </c>
      <c r="M647" s="6">
        <f>'[3]M.C UNPIV'!N648</f>
        <v>0</v>
      </c>
      <c r="N647" s="5">
        <f>'[3]M.C UNPIV'!O648</f>
        <v>0</v>
      </c>
      <c r="O647" s="5">
        <f>'[3]M.C UNPIV'!P648</f>
        <v>0</v>
      </c>
    </row>
    <row r="648" spans="1:15" x14ac:dyDescent="0.25">
      <c r="A648" s="4">
        <f>'[3]M.C UNPIV'!B649</f>
        <v>0</v>
      </c>
      <c r="B648" s="5">
        <f>'[3]M.C UNPIV'!C649</f>
        <v>0</v>
      </c>
      <c r="C648" s="5">
        <f>'[3]M.C UNPIV'!D649</f>
        <v>0</v>
      </c>
      <c r="D648" s="5">
        <f>'[3]M.C UNPIV'!E649</f>
        <v>0</v>
      </c>
      <c r="E648" s="5">
        <f>'[3]M.C UNPIV'!F649</f>
        <v>0</v>
      </c>
      <c r="F648" s="5">
        <f>'[3]M.C UNPIV'!G649</f>
        <v>0</v>
      </c>
      <c r="G648" s="6">
        <f>'[3]M.C UNPIV'!H649</f>
        <v>0</v>
      </c>
      <c r="H648" s="5">
        <f>'[3]M.C UNPIV'!I649</f>
        <v>0</v>
      </c>
      <c r="I648" s="7">
        <f>'[3]M.C UNPIV'!J649</f>
        <v>0</v>
      </c>
      <c r="J648" s="7">
        <f>'[3]M.C UNPIV'!K649</f>
        <v>0</v>
      </c>
      <c r="K648" s="7">
        <f>'[3]M.C UNPIV'!L649</f>
        <v>0</v>
      </c>
      <c r="L648" s="7">
        <f>'[3]M.C UNPIV'!M649</f>
        <v>0</v>
      </c>
      <c r="M648" s="6">
        <f>'[3]M.C UNPIV'!N649</f>
        <v>0</v>
      </c>
      <c r="N648" s="5">
        <f>'[3]M.C UNPIV'!O649</f>
        <v>0</v>
      </c>
      <c r="O648" s="5">
        <f>'[3]M.C UNPIV'!P649</f>
        <v>0</v>
      </c>
    </row>
    <row r="649" spans="1:15" x14ac:dyDescent="0.25">
      <c r="A649" s="4">
        <f>'[3]M.C UNPIV'!B650</f>
        <v>0</v>
      </c>
      <c r="B649" s="5">
        <f>'[3]M.C UNPIV'!C650</f>
        <v>0</v>
      </c>
      <c r="C649" s="5">
        <f>'[3]M.C UNPIV'!D650</f>
        <v>0</v>
      </c>
      <c r="D649" s="5">
        <f>'[3]M.C UNPIV'!E650</f>
        <v>0</v>
      </c>
      <c r="E649" s="5">
        <f>'[3]M.C UNPIV'!F650</f>
        <v>0</v>
      </c>
      <c r="F649" s="5">
        <f>'[3]M.C UNPIV'!G650</f>
        <v>0</v>
      </c>
      <c r="G649" s="6">
        <f>'[3]M.C UNPIV'!H650</f>
        <v>0</v>
      </c>
      <c r="H649" s="5">
        <f>'[3]M.C UNPIV'!I650</f>
        <v>0</v>
      </c>
      <c r="I649" s="7">
        <f>'[3]M.C UNPIV'!J650</f>
        <v>0</v>
      </c>
      <c r="J649" s="7">
        <f>'[3]M.C UNPIV'!K650</f>
        <v>0</v>
      </c>
      <c r="K649" s="7">
        <f>'[3]M.C UNPIV'!L650</f>
        <v>0</v>
      </c>
      <c r="L649" s="7">
        <f>'[3]M.C UNPIV'!M650</f>
        <v>0</v>
      </c>
      <c r="M649" s="6">
        <f>'[3]M.C UNPIV'!N650</f>
        <v>0</v>
      </c>
      <c r="N649" s="5">
        <f>'[3]M.C UNPIV'!O650</f>
        <v>0</v>
      </c>
      <c r="O649" s="5">
        <f>'[3]M.C UNPIV'!P650</f>
        <v>0</v>
      </c>
    </row>
    <row r="650" spans="1:15" x14ac:dyDescent="0.25">
      <c r="A650" s="4">
        <f>'[3]M.C UNPIV'!B651</f>
        <v>0</v>
      </c>
      <c r="B650" s="5">
        <f>'[3]M.C UNPIV'!C651</f>
        <v>0</v>
      </c>
      <c r="C650" s="5">
        <f>'[3]M.C UNPIV'!D651</f>
        <v>0</v>
      </c>
      <c r="D650" s="5">
        <f>'[3]M.C UNPIV'!E651</f>
        <v>0</v>
      </c>
      <c r="E650" s="5">
        <f>'[3]M.C UNPIV'!F651</f>
        <v>0</v>
      </c>
      <c r="F650" s="5">
        <f>'[3]M.C UNPIV'!G651</f>
        <v>0</v>
      </c>
      <c r="G650" s="6">
        <f>'[3]M.C UNPIV'!H651</f>
        <v>0</v>
      </c>
      <c r="H650" s="5">
        <f>'[3]M.C UNPIV'!I651</f>
        <v>0</v>
      </c>
      <c r="I650" s="7">
        <f>'[3]M.C UNPIV'!J651</f>
        <v>0</v>
      </c>
      <c r="J650" s="7">
        <f>'[3]M.C UNPIV'!K651</f>
        <v>0</v>
      </c>
      <c r="K650" s="7">
        <f>'[3]M.C UNPIV'!L651</f>
        <v>0</v>
      </c>
      <c r="L650" s="7">
        <f>'[3]M.C UNPIV'!M651</f>
        <v>0</v>
      </c>
      <c r="M650" s="6">
        <f>'[3]M.C UNPIV'!N651</f>
        <v>0</v>
      </c>
      <c r="N650" s="5">
        <f>'[3]M.C UNPIV'!O651</f>
        <v>0</v>
      </c>
      <c r="O650" s="5">
        <f>'[3]M.C UNPIV'!P651</f>
        <v>0</v>
      </c>
    </row>
    <row r="651" spans="1:15" x14ac:dyDescent="0.25">
      <c r="A651" s="4">
        <f>'[3]M.C UNPIV'!B652</f>
        <v>0</v>
      </c>
      <c r="B651" s="5">
        <f>'[3]M.C UNPIV'!C652</f>
        <v>0</v>
      </c>
      <c r="C651" s="5">
        <f>'[3]M.C UNPIV'!D652</f>
        <v>0</v>
      </c>
      <c r="D651" s="5">
        <f>'[3]M.C UNPIV'!E652</f>
        <v>0</v>
      </c>
      <c r="E651" s="5">
        <f>'[3]M.C UNPIV'!F652</f>
        <v>0</v>
      </c>
      <c r="F651" s="5">
        <f>'[3]M.C UNPIV'!G652</f>
        <v>0</v>
      </c>
      <c r="G651" s="6">
        <f>'[3]M.C UNPIV'!H652</f>
        <v>0</v>
      </c>
      <c r="H651" s="5">
        <f>'[3]M.C UNPIV'!I652</f>
        <v>0</v>
      </c>
      <c r="I651" s="7">
        <f>'[3]M.C UNPIV'!J652</f>
        <v>0</v>
      </c>
      <c r="J651" s="7">
        <f>'[3]M.C UNPIV'!K652</f>
        <v>0</v>
      </c>
      <c r="K651" s="7">
        <f>'[3]M.C UNPIV'!L652</f>
        <v>0</v>
      </c>
      <c r="L651" s="7">
        <f>'[3]M.C UNPIV'!M652</f>
        <v>0</v>
      </c>
      <c r="M651" s="6">
        <f>'[3]M.C UNPIV'!N652</f>
        <v>0</v>
      </c>
      <c r="N651" s="5">
        <f>'[3]M.C UNPIV'!O652</f>
        <v>0</v>
      </c>
      <c r="O651" s="5">
        <f>'[3]M.C UNPIV'!P652</f>
        <v>0</v>
      </c>
    </row>
    <row r="652" spans="1:15" x14ac:dyDescent="0.25">
      <c r="A652" s="4">
        <f>'[3]M.C UNPIV'!B653</f>
        <v>0</v>
      </c>
      <c r="B652" s="5">
        <f>'[3]M.C UNPIV'!C653</f>
        <v>0</v>
      </c>
      <c r="C652" s="5">
        <f>'[3]M.C UNPIV'!D653</f>
        <v>0</v>
      </c>
      <c r="D652" s="5">
        <f>'[3]M.C UNPIV'!E653</f>
        <v>0</v>
      </c>
      <c r="E652" s="5">
        <f>'[3]M.C UNPIV'!F653</f>
        <v>0</v>
      </c>
      <c r="F652" s="5">
        <f>'[3]M.C UNPIV'!G653</f>
        <v>0</v>
      </c>
      <c r="G652" s="6">
        <f>'[3]M.C UNPIV'!H653</f>
        <v>0</v>
      </c>
      <c r="H652" s="5">
        <f>'[3]M.C UNPIV'!I653</f>
        <v>0</v>
      </c>
      <c r="I652" s="7">
        <f>'[3]M.C UNPIV'!J653</f>
        <v>0</v>
      </c>
      <c r="J652" s="7">
        <f>'[3]M.C UNPIV'!K653</f>
        <v>0</v>
      </c>
      <c r="K652" s="7">
        <f>'[3]M.C UNPIV'!L653</f>
        <v>0</v>
      </c>
      <c r="L652" s="7">
        <f>'[3]M.C UNPIV'!M653</f>
        <v>0</v>
      </c>
      <c r="M652" s="6">
        <f>'[3]M.C UNPIV'!N653</f>
        <v>0</v>
      </c>
      <c r="N652" s="5">
        <f>'[3]M.C UNPIV'!O653</f>
        <v>0</v>
      </c>
      <c r="O652" s="5">
        <f>'[3]M.C UNPIV'!P653</f>
        <v>0</v>
      </c>
    </row>
    <row r="653" spans="1:15" x14ac:dyDescent="0.25">
      <c r="A653" s="4">
        <f>'[3]M.C UNPIV'!B654</f>
        <v>0</v>
      </c>
      <c r="B653" s="5">
        <f>'[3]M.C UNPIV'!C654</f>
        <v>0</v>
      </c>
      <c r="C653" s="5">
        <f>'[3]M.C UNPIV'!D654</f>
        <v>0</v>
      </c>
      <c r="D653" s="5">
        <f>'[3]M.C UNPIV'!E654</f>
        <v>0</v>
      </c>
      <c r="E653" s="5">
        <f>'[3]M.C UNPIV'!F654</f>
        <v>0</v>
      </c>
      <c r="F653" s="5">
        <f>'[3]M.C UNPIV'!G654</f>
        <v>0</v>
      </c>
      <c r="G653" s="6">
        <f>'[3]M.C UNPIV'!H654</f>
        <v>0</v>
      </c>
      <c r="H653" s="5">
        <f>'[3]M.C UNPIV'!I654</f>
        <v>0</v>
      </c>
      <c r="I653" s="7">
        <f>'[3]M.C UNPIV'!J654</f>
        <v>0</v>
      </c>
      <c r="J653" s="7">
        <f>'[3]M.C UNPIV'!K654</f>
        <v>0</v>
      </c>
      <c r="K653" s="7">
        <f>'[3]M.C UNPIV'!L654</f>
        <v>0</v>
      </c>
      <c r="L653" s="7">
        <f>'[3]M.C UNPIV'!M654</f>
        <v>0</v>
      </c>
      <c r="M653" s="6">
        <f>'[3]M.C UNPIV'!N654</f>
        <v>0</v>
      </c>
      <c r="N653" s="5">
        <f>'[3]M.C UNPIV'!O654</f>
        <v>0</v>
      </c>
      <c r="O653" s="5">
        <f>'[3]M.C UNPIV'!P654</f>
        <v>0</v>
      </c>
    </row>
    <row r="654" spans="1:15" x14ac:dyDescent="0.25">
      <c r="A654" s="4">
        <f>'[3]M.C UNPIV'!B655</f>
        <v>0</v>
      </c>
      <c r="B654" s="5">
        <f>'[3]M.C UNPIV'!C655</f>
        <v>0</v>
      </c>
      <c r="C654" s="5">
        <f>'[3]M.C UNPIV'!D655</f>
        <v>0</v>
      </c>
      <c r="D654" s="5">
        <f>'[3]M.C UNPIV'!E655</f>
        <v>0</v>
      </c>
      <c r="E654" s="5">
        <f>'[3]M.C UNPIV'!F655</f>
        <v>0</v>
      </c>
      <c r="F654" s="5">
        <f>'[3]M.C UNPIV'!G655</f>
        <v>0</v>
      </c>
      <c r="G654" s="6">
        <f>'[3]M.C UNPIV'!H655</f>
        <v>0</v>
      </c>
      <c r="H654" s="5">
        <f>'[3]M.C UNPIV'!I655</f>
        <v>0</v>
      </c>
      <c r="I654" s="7">
        <f>'[3]M.C UNPIV'!J655</f>
        <v>0</v>
      </c>
      <c r="J654" s="7">
        <f>'[3]M.C UNPIV'!K655</f>
        <v>0</v>
      </c>
      <c r="K654" s="7">
        <f>'[3]M.C UNPIV'!L655</f>
        <v>0</v>
      </c>
      <c r="L654" s="7">
        <f>'[3]M.C UNPIV'!M655</f>
        <v>0</v>
      </c>
      <c r="M654" s="6">
        <f>'[3]M.C UNPIV'!N655</f>
        <v>0</v>
      </c>
      <c r="N654" s="5">
        <f>'[3]M.C UNPIV'!O655</f>
        <v>0</v>
      </c>
      <c r="O654" s="5">
        <f>'[3]M.C UNPIV'!P655</f>
        <v>0</v>
      </c>
    </row>
    <row r="655" spans="1:15" x14ac:dyDescent="0.25">
      <c r="A655" s="4">
        <f>'[3]M.C UNPIV'!B656</f>
        <v>0</v>
      </c>
      <c r="B655" s="5">
        <f>'[3]M.C UNPIV'!C656</f>
        <v>0</v>
      </c>
      <c r="C655" s="5">
        <f>'[3]M.C UNPIV'!D656</f>
        <v>0</v>
      </c>
      <c r="D655" s="5">
        <f>'[3]M.C UNPIV'!E656</f>
        <v>0</v>
      </c>
      <c r="E655" s="5">
        <f>'[3]M.C UNPIV'!F656</f>
        <v>0</v>
      </c>
      <c r="F655" s="5">
        <f>'[3]M.C UNPIV'!G656</f>
        <v>0</v>
      </c>
      <c r="G655" s="6">
        <f>'[3]M.C UNPIV'!H656</f>
        <v>0</v>
      </c>
      <c r="H655" s="5">
        <f>'[3]M.C UNPIV'!I656</f>
        <v>0</v>
      </c>
      <c r="I655" s="7">
        <f>'[3]M.C UNPIV'!J656</f>
        <v>0</v>
      </c>
      <c r="J655" s="7">
        <f>'[3]M.C UNPIV'!K656</f>
        <v>0</v>
      </c>
      <c r="K655" s="7">
        <f>'[3]M.C UNPIV'!L656</f>
        <v>0</v>
      </c>
      <c r="L655" s="7">
        <f>'[3]M.C UNPIV'!M656</f>
        <v>0</v>
      </c>
      <c r="M655" s="6">
        <f>'[3]M.C UNPIV'!N656</f>
        <v>0</v>
      </c>
      <c r="N655" s="5">
        <f>'[3]M.C UNPIV'!O656</f>
        <v>0</v>
      </c>
      <c r="O655" s="5">
        <f>'[3]M.C UNPIV'!P656</f>
        <v>0</v>
      </c>
    </row>
    <row r="656" spans="1:15" x14ac:dyDescent="0.25">
      <c r="A656" s="4">
        <f>'[3]M.C UNPIV'!B657</f>
        <v>0</v>
      </c>
      <c r="B656" s="5">
        <f>'[3]M.C UNPIV'!C657</f>
        <v>0</v>
      </c>
      <c r="C656" s="5">
        <f>'[3]M.C UNPIV'!D657</f>
        <v>0</v>
      </c>
      <c r="D656" s="5">
        <f>'[3]M.C UNPIV'!E657</f>
        <v>0</v>
      </c>
      <c r="E656" s="5">
        <f>'[3]M.C UNPIV'!F657</f>
        <v>0</v>
      </c>
      <c r="F656" s="5">
        <f>'[3]M.C UNPIV'!G657</f>
        <v>0</v>
      </c>
      <c r="G656" s="6">
        <f>'[3]M.C UNPIV'!H657</f>
        <v>0</v>
      </c>
      <c r="H656" s="5">
        <f>'[3]M.C UNPIV'!I657</f>
        <v>0</v>
      </c>
      <c r="I656" s="7">
        <f>'[3]M.C UNPIV'!J657</f>
        <v>0</v>
      </c>
      <c r="J656" s="7">
        <f>'[3]M.C UNPIV'!K657</f>
        <v>0</v>
      </c>
      <c r="K656" s="7">
        <f>'[3]M.C UNPIV'!L657</f>
        <v>0</v>
      </c>
      <c r="L656" s="7">
        <f>'[3]M.C UNPIV'!M657</f>
        <v>0</v>
      </c>
      <c r="M656" s="6">
        <f>'[3]M.C UNPIV'!N657</f>
        <v>0</v>
      </c>
      <c r="N656" s="5">
        <f>'[3]M.C UNPIV'!O657</f>
        <v>0</v>
      </c>
      <c r="O656" s="5">
        <f>'[3]M.C UNPIV'!P657</f>
        <v>0</v>
      </c>
    </row>
    <row r="657" spans="1:15" x14ac:dyDescent="0.25">
      <c r="A657" s="4">
        <f>'[3]M.C UNPIV'!B658</f>
        <v>0</v>
      </c>
      <c r="B657" s="5">
        <f>'[3]M.C UNPIV'!C658</f>
        <v>0</v>
      </c>
      <c r="C657" s="5">
        <f>'[3]M.C UNPIV'!D658</f>
        <v>0</v>
      </c>
      <c r="D657" s="5">
        <f>'[3]M.C UNPIV'!E658</f>
        <v>0</v>
      </c>
      <c r="E657" s="5">
        <f>'[3]M.C UNPIV'!F658</f>
        <v>0</v>
      </c>
      <c r="F657" s="5">
        <f>'[3]M.C UNPIV'!G658</f>
        <v>0</v>
      </c>
      <c r="G657" s="6">
        <f>'[3]M.C UNPIV'!H658</f>
        <v>0</v>
      </c>
      <c r="H657" s="5">
        <f>'[3]M.C UNPIV'!I658</f>
        <v>0</v>
      </c>
      <c r="I657" s="7">
        <f>'[3]M.C UNPIV'!J658</f>
        <v>0</v>
      </c>
      <c r="J657" s="7">
        <f>'[3]M.C UNPIV'!K658</f>
        <v>0</v>
      </c>
      <c r="K657" s="7">
        <f>'[3]M.C UNPIV'!L658</f>
        <v>0</v>
      </c>
      <c r="L657" s="7">
        <f>'[3]M.C UNPIV'!M658</f>
        <v>0</v>
      </c>
      <c r="M657" s="6">
        <f>'[3]M.C UNPIV'!N658</f>
        <v>0</v>
      </c>
      <c r="N657" s="5">
        <f>'[3]M.C UNPIV'!O658</f>
        <v>0</v>
      </c>
      <c r="O657" s="5">
        <f>'[3]M.C UNPIV'!P658</f>
        <v>0</v>
      </c>
    </row>
    <row r="658" spans="1:15" x14ac:dyDescent="0.25">
      <c r="A658" s="4">
        <f>'[3]M.C UNPIV'!B659</f>
        <v>0</v>
      </c>
      <c r="B658" s="5">
        <f>'[3]M.C UNPIV'!C659</f>
        <v>0</v>
      </c>
      <c r="C658" s="5">
        <f>'[3]M.C UNPIV'!D659</f>
        <v>0</v>
      </c>
      <c r="D658" s="5">
        <f>'[3]M.C UNPIV'!E659</f>
        <v>0</v>
      </c>
      <c r="E658" s="5">
        <f>'[3]M.C UNPIV'!F659</f>
        <v>0</v>
      </c>
      <c r="F658" s="5">
        <f>'[3]M.C UNPIV'!G659</f>
        <v>0</v>
      </c>
      <c r="G658" s="6">
        <f>'[3]M.C UNPIV'!H659</f>
        <v>0</v>
      </c>
      <c r="H658" s="5">
        <f>'[3]M.C UNPIV'!I659</f>
        <v>0</v>
      </c>
      <c r="I658" s="7">
        <f>'[3]M.C UNPIV'!J659</f>
        <v>0</v>
      </c>
      <c r="J658" s="7">
        <f>'[3]M.C UNPIV'!K659</f>
        <v>0</v>
      </c>
      <c r="K658" s="7">
        <f>'[3]M.C UNPIV'!L659</f>
        <v>0</v>
      </c>
      <c r="L658" s="7">
        <f>'[3]M.C UNPIV'!M659</f>
        <v>0</v>
      </c>
      <c r="M658" s="6">
        <f>'[3]M.C UNPIV'!N659</f>
        <v>0</v>
      </c>
      <c r="N658" s="5">
        <f>'[3]M.C UNPIV'!O659</f>
        <v>0</v>
      </c>
      <c r="O658" s="5">
        <f>'[3]M.C UNPIV'!P659</f>
        <v>0</v>
      </c>
    </row>
    <row r="659" spans="1:15" x14ac:dyDescent="0.25">
      <c r="A659" s="4">
        <f>'[3]M.C UNPIV'!B660</f>
        <v>0</v>
      </c>
      <c r="B659" s="5">
        <f>'[3]M.C UNPIV'!C660</f>
        <v>0</v>
      </c>
      <c r="C659" s="5">
        <f>'[3]M.C UNPIV'!D660</f>
        <v>0</v>
      </c>
      <c r="D659" s="5">
        <f>'[3]M.C UNPIV'!E660</f>
        <v>0</v>
      </c>
      <c r="E659" s="5">
        <f>'[3]M.C UNPIV'!F660</f>
        <v>0</v>
      </c>
      <c r="F659" s="5">
        <f>'[3]M.C UNPIV'!G660</f>
        <v>0</v>
      </c>
      <c r="G659" s="6">
        <f>'[3]M.C UNPIV'!H660</f>
        <v>0</v>
      </c>
      <c r="H659" s="5">
        <f>'[3]M.C UNPIV'!I660</f>
        <v>0</v>
      </c>
      <c r="I659" s="7">
        <f>'[3]M.C UNPIV'!J660</f>
        <v>0</v>
      </c>
      <c r="J659" s="7">
        <f>'[3]M.C UNPIV'!K660</f>
        <v>0</v>
      </c>
      <c r="K659" s="7">
        <f>'[3]M.C UNPIV'!L660</f>
        <v>0</v>
      </c>
      <c r="L659" s="7">
        <f>'[3]M.C UNPIV'!M660</f>
        <v>0</v>
      </c>
      <c r="M659" s="6">
        <f>'[3]M.C UNPIV'!N660</f>
        <v>0</v>
      </c>
      <c r="N659" s="5">
        <f>'[3]M.C UNPIV'!O660</f>
        <v>0</v>
      </c>
      <c r="O659" s="5">
        <f>'[3]M.C UNPIV'!P660</f>
        <v>0</v>
      </c>
    </row>
    <row r="660" spans="1:15" x14ac:dyDescent="0.25">
      <c r="A660" s="4">
        <f>'[3]M.C UNPIV'!B661</f>
        <v>0</v>
      </c>
      <c r="B660" s="5">
        <f>'[3]M.C UNPIV'!C661</f>
        <v>0</v>
      </c>
      <c r="C660" s="5">
        <f>'[3]M.C UNPIV'!D661</f>
        <v>0</v>
      </c>
      <c r="D660" s="5">
        <f>'[3]M.C UNPIV'!E661</f>
        <v>0</v>
      </c>
      <c r="E660" s="5">
        <f>'[3]M.C UNPIV'!F661</f>
        <v>0</v>
      </c>
      <c r="F660" s="5">
        <f>'[3]M.C UNPIV'!G661</f>
        <v>0</v>
      </c>
      <c r="G660" s="6">
        <f>'[3]M.C UNPIV'!H661</f>
        <v>0</v>
      </c>
      <c r="H660" s="5">
        <f>'[3]M.C UNPIV'!I661</f>
        <v>0</v>
      </c>
      <c r="I660" s="7">
        <f>'[3]M.C UNPIV'!J661</f>
        <v>0</v>
      </c>
      <c r="J660" s="7">
        <f>'[3]M.C UNPIV'!K661</f>
        <v>0</v>
      </c>
      <c r="K660" s="7">
        <f>'[3]M.C UNPIV'!L661</f>
        <v>0</v>
      </c>
      <c r="L660" s="7">
        <f>'[3]M.C UNPIV'!M661</f>
        <v>0</v>
      </c>
      <c r="M660" s="6">
        <f>'[3]M.C UNPIV'!N661</f>
        <v>0</v>
      </c>
      <c r="N660" s="5">
        <f>'[3]M.C UNPIV'!O661</f>
        <v>0</v>
      </c>
      <c r="O660" s="5">
        <f>'[3]M.C UNPIV'!P661</f>
        <v>0</v>
      </c>
    </row>
    <row r="661" spans="1:15" x14ac:dyDescent="0.25">
      <c r="A661" s="4">
        <f>'[3]M.C UNPIV'!B662</f>
        <v>0</v>
      </c>
      <c r="B661" s="5">
        <f>'[3]M.C UNPIV'!C662</f>
        <v>0</v>
      </c>
      <c r="C661" s="5">
        <f>'[3]M.C UNPIV'!D662</f>
        <v>0</v>
      </c>
      <c r="D661" s="5">
        <f>'[3]M.C UNPIV'!E662</f>
        <v>0</v>
      </c>
      <c r="E661" s="5">
        <f>'[3]M.C UNPIV'!F662</f>
        <v>0</v>
      </c>
      <c r="F661" s="5">
        <f>'[3]M.C UNPIV'!G662</f>
        <v>0</v>
      </c>
      <c r="G661" s="6">
        <f>'[3]M.C UNPIV'!H662</f>
        <v>0</v>
      </c>
      <c r="H661" s="5">
        <f>'[3]M.C UNPIV'!I662</f>
        <v>0</v>
      </c>
      <c r="I661" s="7">
        <f>'[3]M.C UNPIV'!J662</f>
        <v>0</v>
      </c>
      <c r="J661" s="7">
        <f>'[3]M.C UNPIV'!K662</f>
        <v>0</v>
      </c>
      <c r="K661" s="7">
        <f>'[3]M.C UNPIV'!L662</f>
        <v>0</v>
      </c>
      <c r="L661" s="7">
        <f>'[3]M.C UNPIV'!M662</f>
        <v>0</v>
      </c>
      <c r="M661" s="6">
        <f>'[3]M.C UNPIV'!N662</f>
        <v>0</v>
      </c>
      <c r="N661" s="5">
        <f>'[3]M.C UNPIV'!O662</f>
        <v>0</v>
      </c>
      <c r="O661" s="5">
        <f>'[3]M.C UNPIV'!P662</f>
        <v>0</v>
      </c>
    </row>
    <row r="662" spans="1:15" x14ac:dyDescent="0.25">
      <c r="A662" s="4">
        <f>'[3]M.C UNPIV'!B663</f>
        <v>0</v>
      </c>
      <c r="B662" s="5">
        <f>'[3]M.C UNPIV'!C663</f>
        <v>0</v>
      </c>
      <c r="C662" s="5">
        <f>'[3]M.C UNPIV'!D663</f>
        <v>0</v>
      </c>
      <c r="D662" s="5">
        <f>'[3]M.C UNPIV'!E663</f>
        <v>0</v>
      </c>
      <c r="E662" s="5">
        <f>'[3]M.C UNPIV'!F663</f>
        <v>0</v>
      </c>
      <c r="F662" s="5">
        <f>'[3]M.C UNPIV'!G663</f>
        <v>0</v>
      </c>
      <c r="G662" s="6">
        <f>'[3]M.C UNPIV'!H663</f>
        <v>0</v>
      </c>
      <c r="H662" s="5">
        <f>'[3]M.C UNPIV'!I663</f>
        <v>0</v>
      </c>
      <c r="I662" s="7">
        <f>'[3]M.C UNPIV'!J663</f>
        <v>0</v>
      </c>
      <c r="J662" s="7">
        <f>'[3]M.C UNPIV'!K663</f>
        <v>0</v>
      </c>
      <c r="K662" s="7">
        <f>'[3]M.C UNPIV'!L663</f>
        <v>0</v>
      </c>
      <c r="L662" s="7">
        <f>'[3]M.C UNPIV'!M663</f>
        <v>0</v>
      </c>
      <c r="M662" s="6">
        <f>'[3]M.C UNPIV'!N663</f>
        <v>0</v>
      </c>
      <c r="N662" s="5">
        <f>'[3]M.C UNPIV'!O663</f>
        <v>0</v>
      </c>
      <c r="O662" s="5">
        <f>'[3]M.C UNPIV'!P663</f>
        <v>0</v>
      </c>
    </row>
    <row r="663" spans="1:15" x14ac:dyDescent="0.25">
      <c r="A663" s="4">
        <f>'[3]M.C UNPIV'!B664</f>
        <v>0</v>
      </c>
      <c r="B663" s="5">
        <f>'[3]M.C UNPIV'!C664</f>
        <v>0</v>
      </c>
      <c r="C663" s="5">
        <f>'[3]M.C UNPIV'!D664</f>
        <v>0</v>
      </c>
      <c r="D663" s="5">
        <f>'[3]M.C UNPIV'!E664</f>
        <v>0</v>
      </c>
      <c r="E663" s="5">
        <f>'[3]M.C UNPIV'!F664</f>
        <v>0</v>
      </c>
      <c r="F663" s="5">
        <f>'[3]M.C UNPIV'!G664</f>
        <v>0</v>
      </c>
      <c r="G663" s="6">
        <f>'[3]M.C UNPIV'!H664</f>
        <v>0</v>
      </c>
      <c r="H663" s="5">
        <f>'[3]M.C UNPIV'!I664</f>
        <v>0</v>
      </c>
      <c r="I663" s="7">
        <f>'[3]M.C UNPIV'!J664</f>
        <v>0</v>
      </c>
      <c r="J663" s="7">
        <f>'[3]M.C UNPIV'!K664</f>
        <v>0</v>
      </c>
      <c r="K663" s="7">
        <f>'[3]M.C UNPIV'!L664</f>
        <v>0</v>
      </c>
      <c r="L663" s="7">
        <f>'[3]M.C UNPIV'!M664</f>
        <v>0</v>
      </c>
      <c r="M663" s="6">
        <f>'[3]M.C UNPIV'!N664</f>
        <v>0</v>
      </c>
      <c r="N663" s="5">
        <f>'[3]M.C UNPIV'!O664</f>
        <v>0</v>
      </c>
      <c r="O663" s="5">
        <f>'[3]M.C UNPIV'!P664</f>
        <v>0</v>
      </c>
    </row>
    <row r="664" spans="1:15" x14ac:dyDescent="0.25">
      <c r="A664" s="4">
        <f>'[3]M.C UNPIV'!B665</f>
        <v>0</v>
      </c>
      <c r="B664" s="5">
        <f>'[3]M.C UNPIV'!C665</f>
        <v>0</v>
      </c>
      <c r="C664" s="5">
        <f>'[3]M.C UNPIV'!D665</f>
        <v>0</v>
      </c>
      <c r="D664" s="5">
        <f>'[3]M.C UNPIV'!E665</f>
        <v>0</v>
      </c>
      <c r="E664" s="5">
        <f>'[3]M.C UNPIV'!F665</f>
        <v>0</v>
      </c>
      <c r="F664" s="5">
        <f>'[3]M.C UNPIV'!G665</f>
        <v>0</v>
      </c>
      <c r="G664" s="6">
        <f>'[3]M.C UNPIV'!H665</f>
        <v>0</v>
      </c>
      <c r="H664" s="5">
        <f>'[3]M.C UNPIV'!I665</f>
        <v>0</v>
      </c>
      <c r="I664" s="7">
        <f>'[3]M.C UNPIV'!J665</f>
        <v>0</v>
      </c>
      <c r="J664" s="7">
        <f>'[3]M.C UNPIV'!K665</f>
        <v>0</v>
      </c>
      <c r="K664" s="7">
        <f>'[3]M.C UNPIV'!L665</f>
        <v>0</v>
      </c>
      <c r="L664" s="7">
        <f>'[3]M.C UNPIV'!M665</f>
        <v>0</v>
      </c>
      <c r="M664" s="6">
        <f>'[3]M.C UNPIV'!N665</f>
        <v>0</v>
      </c>
      <c r="N664" s="5">
        <f>'[3]M.C UNPIV'!O665</f>
        <v>0</v>
      </c>
      <c r="O664" s="5">
        <f>'[3]M.C UNPIV'!P665</f>
        <v>0</v>
      </c>
    </row>
    <row r="665" spans="1:15" x14ac:dyDescent="0.25">
      <c r="A665" s="4">
        <f>'[3]M.C UNPIV'!B666</f>
        <v>0</v>
      </c>
      <c r="B665" s="5">
        <f>'[3]M.C UNPIV'!C666</f>
        <v>0</v>
      </c>
      <c r="C665" s="5">
        <f>'[3]M.C UNPIV'!D666</f>
        <v>0</v>
      </c>
      <c r="D665" s="5">
        <f>'[3]M.C UNPIV'!E666</f>
        <v>0</v>
      </c>
      <c r="E665" s="5">
        <f>'[3]M.C UNPIV'!F666</f>
        <v>0</v>
      </c>
      <c r="F665" s="5">
        <f>'[3]M.C UNPIV'!G666</f>
        <v>0</v>
      </c>
      <c r="G665" s="6">
        <f>'[3]M.C UNPIV'!H666</f>
        <v>0</v>
      </c>
      <c r="H665" s="5">
        <f>'[3]M.C UNPIV'!I666</f>
        <v>0</v>
      </c>
      <c r="I665" s="7">
        <f>'[3]M.C UNPIV'!J666</f>
        <v>0</v>
      </c>
      <c r="J665" s="7">
        <f>'[3]M.C UNPIV'!K666</f>
        <v>0</v>
      </c>
      <c r="K665" s="7">
        <f>'[3]M.C UNPIV'!L666</f>
        <v>0</v>
      </c>
      <c r="L665" s="7">
        <f>'[3]M.C UNPIV'!M666</f>
        <v>0</v>
      </c>
      <c r="M665" s="6">
        <f>'[3]M.C UNPIV'!N666</f>
        <v>0</v>
      </c>
      <c r="N665" s="5">
        <f>'[3]M.C UNPIV'!O666</f>
        <v>0</v>
      </c>
      <c r="O665" s="5">
        <f>'[3]M.C UNPIV'!P666</f>
        <v>0</v>
      </c>
    </row>
    <row r="666" spans="1:15" x14ac:dyDescent="0.25">
      <c r="A666" s="4">
        <f>'[3]M.C UNPIV'!B667</f>
        <v>0</v>
      </c>
      <c r="B666" s="5">
        <f>'[3]M.C UNPIV'!C667</f>
        <v>0</v>
      </c>
      <c r="C666" s="5">
        <f>'[3]M.C UNPIV'!D667</f>
        <v>0</v>
      </c>
      <c r="D666" s="5">
        <f>'[3]M.C UNPIV'!E667</f>
        <v>0</v>
      </c>
      <c r="E666" s="5">
        <f>'[3]M.C UNPIV'!F667</f>
        <v>0</v>
      </c>
      <c r="F666" s="5">
        <f>'[3]M.C UNPIV'!G667</f>
        <v>0</v>
      </c>
      <c r="G666" s="6">
        <f>'[3]M.C UNPIV'!H667</f>
        <v>0</v>
      </c>
      <c r="H666" s="5">
        <f>'[3]M.C UNPIV'!I667</f>
        <v>0</v>
      </c>
      <c r="I666" s="7">
        <f>'[3]M.C UNPIV'!J667</f>
        <v>0</v>
      </c>
      <c r="J666" s="7">
        <f>'[3]M.C UNPIV'!K667</f>
        <v>0</v>
      </c>
      <c r="K666" s="7">
        <f>'[3]M.C UNPIV'!L667</f>
        <v>0</v>
      </c>
      <c r="L666" s="7">
        <f>'[3]M.C UNPIV'!M667</f>
        <v>0</v>
      </c>
      <c r="M666" s="6">
        <f>'[3]M.C UNPIV'!N667</f>
        <v>0</v>
      </c>
      <c r="N666" s="5">
        <f>'[3]M.C UNPIV'!O667</f>
        <v>0</v>
      </c>
      <c r="O666" s="5">
        <f>'[3]M.C UNPIV'!P667</f>
        <v>0</v>
      </c>
    </row>
    <row r="667" spans="1:15" x14ac:dyDescent="0.25">
      <c r="A667" s="4">
        <f>'[3]M.C UNPIV'!B668</f>
        <v>0</v>
      </c>
      <c r="B667" s="5">
        <f>'[3]M.C UNPIV'!C668</f>
        <v>0</v>
      </c>
      <c r="C667" s="5">
        <f>'[3]M.C UNPIV'!D668</f>
        <v>0</v>
      </c>
      <c r="D667" s="5">
        <f>'[3]M.C UNPIV'!E668</f>
        <v>0</v>
      </c>
      <c r="E667" s="5">
        <f>'[3]M.C UNPIV'!F668</f>
        <v>0</v>
      </c>
      <c r="F667" s="5">
        <f>'[3]M.C UNPIV'!G668</f>
        <v>0</v>
      </c>
      <c r="G667" s="6">
        <f>'[3]M.C UNPIV'!H668</f>
        <v>0</v>
      </c>
      <c r="H667" s="5">
        <f>'[3]M.C UNPIV'!I668</f>
        <v>0</v>
      </c>
      <c r="I667" s="7">
        <f>'[3]M.C UNPIV'!J668</f>
        <v>0</v>
      </c>
      <c r="J667" s="7">
        <f>'[3]M.C UNPIV'!K668</f>
        <v>0</v>
      </c>
      <c r="K667" s="7">
        <f>'[3]M.C UNPIV'!L668</f>
        <v>0</v>
      </c>
      <c r="L667" s="7">
        <f>'[3]M.C UNPIV'!M668</f>
        <v>0</v>
      </c>
      <c r="M667" s="6">
        <f>'[3]M.C UNPIV'!N668</f>
        <v>0</v>
      </c>
      <c r="N667" s="5">
        <f>'[3]M.C UNPIV'!O668</f>
        <v>0</v>
      </c>
      <c r="O667" s="5">
        <f>'[3]M.C UNPIV'!P668</f>
        <v>0</v>
      </c>
    </row>
    <row r="668" spans="1:15" x14ac:dyDescent="0.25">
      <c r="A668" s="4">
        <f>'[3]M.C UNPIV'!B669</f>
        <v>0</v>
      </c>
      <c r="B668" s="5">
        <f>'[3]M.C UNPIV'!C669</f>
        <v>0</v>
      </c>
      <c r="C668" s="5">
        <f>'[3]M.C UNPIV'!D669</f>
        <v>0</v>
      </c>
      <c r="D668" s="5">
        <f>'[3]M.C UNPIV'!E669</f>
        <v>0</v>
      </c>
      <c r="E668" s="5">
        <f>'[3]M.C UNPIV'!F669</f>
        <v>0</v>
      </c>
      <c r="F668" s="5">
        <f>'[3]M.C UNPIV'!G669</f>
        <v>0</v>
      </c>
      <c r="G668" s="6">
        <f>'[3]M.C UNPIV'!H669</f>
        <v>0</v>
      </c>
      <c r="H668" s="5">
        <f>'[3]M.C UNPIV'!I669</f>
        <v>0</v>
      </c>
      <c r="I668" s="7">
        <f>'[3]M.C UNPIV'!J669</f>
        <v>0</v>
      </c>
      <c r="J668" s="7">
        <f>'[3]M.C UNPIV'!K669</f>
        <v>0</v>
      </c>
      <c r="K668" s="7">
        <f>'[3]M.C UNPIV'!L669</f>
        <v>0</v>
      </c>
      <c r="L668" s="7">
        <f>'[3]M.C UNPIV'!M669</f>
        <v>0</v>
      </c>
      <c r="M668" s="6">
        <f>'[3]M.C UNPIV'!N669</f>
        <v>0</v>
      </c>
      <c r="N668" s="5">
        <f>'[3]M.C UNPIV'!O669</f>
        <v>0</v>
      </c>
      <c r="O668" s="5">
        <f>'[3]M.C UNPIV'!P669</f>
        <v>0</v>
      </c>
    </row>
    <row r="669" spans="1:15" x14ac:dyDescent="0.25">
      <c r="A669" s="4">
        <f>'[3]M.C UNPIV'!B670</f>
        <v>0</v>
      </c>
      <c r="B669" s="5">
        <f>'[3]M.C UNPIV'!C670</f>
        <v>0</v>
      </c>
      <c r="C669" s="5">
        <f>'[3]M.C UNPIV'!D670</f>
        <v>0</v>
      </c>
      <c r="D669" s="5">
        <f>'[3]M.C UNPIV'!E670</f>
        <v>0</v>
      </c>
      <c r="E669" s="5">
        <f>'[3]M.C UNPIV'!F670</f>
        <v>0</v>
      </c>
      <c r="F669" s="5">
        <f>'[3]M.C UNPIV'!G670</f>
        <v>0</v>
      </c>
      <c r="G669" s="6">
        <f>'[3]M.C UNPIV'!H670</f>
        <v>0</v>
      </c>
      <c r="H669" s="5">
        <f>'[3]M.C UNPIV'!I670</f>
        <v>0</v>
      </c>
      <c r="I669" s="7">
        <f>'[3]M.C UNPIV'!J670</f>
        <v>0</v>
      </c>
      <c r="J669" s="7">
        <f>'[3]M.C UNPIV'!K670</f>
        <v>0</v>
      </c>
      <c r="K669" s="7">
        <f>'[3]M.C UNPIV'!L670</f>
        <v>0</v>
      </c>
      <c r="L669" s="7">
        <f>'[3]M.C UNPIV'!M670</f>
        <v>0</v>
      </c>
      <c r="M669" s="6">
        <f>'[3]M.C UNPIV'!N670</f>
        <v>0</v>
      </c>
      <c r="N669" s="5">
        <f>'[3]M.C UNPIV'!O670</f>
        <v>0</v>
      </c>
      <c r="O669" s="5">
        <f>'[3]M.C UNPIV'!P670</f>
        <v>0</v>
      </c>
    </row>
    <row r="670" spans="1:15" x14ac:dyDescent="0.25">
      <c r="A670" s="4">
        <f>'[3]M.C UNPIV'!B671</f>
        <v>0</v>
      </c>
      <c r="B670" s="5">
        <f>'[3]M.C UNPIV'!C671</f>
        <v>0</v>
      </c>
      <c r="C670" s="5">
        <f>'[3]M.C UNPIV'!D671</f>
        <v>0</v>
      </c>
      <c r="D670" s="5">
        <f>'[3]M.C UNPIV'!E671</f>
        <v>0</v>
      </c>
      <c r="E670" s="5">
        <f>'[3]M.C UNPIV'!F671</f>
        <v>0</v>
      </c>
      <c r="F670" s="5">
        <f>'[3]M.C UNPIV'!G671</f>
        <v>0</v>
      </c>
      <c r="G670" s="6">
        <f>'[3]M.C UNPIV'!H671</f>
        <v>0</v>
      </c>
      <c r="H670" s="5">
        <f>'[3]M.C UNPIV'!I671</f>
        <v>0</v>
      </c>
      <c r="I670" s="7">
        <f>'[3]M.C UNPIV'!J671</f>
        <v>0</v>
      </c>
      <c r="J670" s="7">
        <f>'[3]M.C UNPIV'!K671</f>
        <v>0</v>
      </c>
      <c r="K670" s="7">
        <f>'[3]M.C UNPIV'!L671</f>
        <v>0</v>
      </c>
      <c r="L670" s="7">
        <f>'[3]M.C UNPIV'!M671</f>
        <v>0</v>
      </c>
      <c r="M670" s="6">
        <f>'[3]M.C UNPIV'!N671</f>
        <v>0</v>
      </c>
      <c r="N670" s="5">
        <f>'[3]M.C UNPIV'!O671</f>
        <v>0</v>
      </c>
      <c r="O670" s="5">
        <f>'[3]M.C UNPIV'!P671</f>
        <v>0</v>
      </c>
    </row>
    <row r="671" spans="1:15" x14ac:dyDescent="0.25">
      <c r="A671" s="4">
        <f>'[3]M.C UNPIV'!B672</f>
        <v>0</v>
      </c>
      <c r="B671" s="5">
        <f>'[3]M.C UNPIV'!C672</f>
        <v>0</v>
      </c>
      <c r="C671" s="5">
        <f>'[3]M.C UNPIV'!D672</f>
        <v>0</v>
      </c>
      <c r="D671" s="5">
        <f>'[3]M.C UNPIV'!E672</f>
        <v>0</v>
      </c>
      <c r="E671" s="5">
        <f>'[3]M.C UNPIV'!F672</f>
        <v>0</v>
      </c>
      <c r="F671" s="5">
        <f>'[3]M.C UNPIV'!G672</f>
        <v>0</v>
      </c>
      <c r="G671" s="6">
        <f>'[3]M.C UNPIV'!H672</f>
        <v>0</v>
      </c>
      <c r="H671" s="5">
        <f>'[3]M.C UNPIV'!I672</f>
        <v>0</v>
      </c>
      <c r="I671" s="7">
        <f>'[3]M.C UNPIV'!J672</f>
        <v>0</v>
      </c>
      <c r="J671" s="7">
        <f>'[3]M.C UNPIV'!K672</f>
        <v>0</v>
      </c>
      <c r="K671" s="7">
        <f>'[3]M.C UNPIV'!L672</f>
        <v>0</v>
      </c>
      <c r="L671" s="7">
        <f>'[3]M.C UNPIV'!M672</f>
        <v>0</v>
      </c>
      <c r="M671" s="6">
        <f>'[3]M.C UNPIV'!N672</f>
        <v>0</v>
      </c>
      <c r="N671" s="5">
        <f>'[3]M.C UNPIV'!O672</f>
        <v>0</v>
      </c>
      <c r="O671" s="5">
        <f>'[3]M.C UNPIV'!P672</f>
        <v>0</v>
      </c>
    </row>
    <row r="672" spans="1:15" x14ac:dyDescent="0.25">
      <c r="A672" s="4">
        <f>'[3]M.C UNPIV'!B673</f>
        <v>0</v>
      </c>
      <c r="B672" s="5">
        <f>'[3]M.C UNPIV'!C673</f>
        <v>0</v>
      </c>
      <c r="C672" s="5">
        <f>'[3]M.C UNPIV'!D673</f>
        <v>0</v>
      </c>
      <c r="D672" s="5">
        <f>'[3]M.C UNPIV'!E673</f>
        <v>0</v>
      </c>
      <c r="E672" s="5">
        <f>'[3]M.C UNPIV'!F673</f>
        <v>0</v>
      </c>
      <c r="F672" s="5">
        <f>'[3]M.C UNPIV'!G673</f>
        <v>0</v>
      </c>
      <c r="G672" s="6">
        <f>'[3]M.C UNPIV'!H673</f>
        <v>0</v>
      </c>
      <c r="H672" s="5">
        <f>'[3]M.C UNPIV'!I673</f>
        <v>0</v>
      </c>
      <c r="I672" s="7">
        <f>'[3]M.C UNPIV'!J673</f>
        <v>0</v>
      </c>
      <c r="J672" s="7">
        <f>'[3]M.C UNPIV'!K673</f>
        <v>0</v>
      </c>
      <c r="K672" s="7">
        <f>'[3]M.C UNPIV'!L673</f>
        <v>0</v>
      </c>
      <c r="L672" s="7">
        <f>'[3]M.C UNPIV'!M673</f>
        <v>0</v>
      </c>
      <c r="M672" s="6">
        <f>'[3]M.C UNPIV'!N673</f>
        <v>0</v>
      </c>
      <c r="N672" s="5">
        <f>'[3]M.C UNPIV'!O673</f>
        <v>0</v>
      </c>
      <c r="O672" s="5">
        <f>'[3]M.C UNPIV'!P673</f>
        <v>0</v>
      </c>
    </row>
    <row r="673" spans="1:15" x14ac:dyDescent="0.25">
      <c r="A673" s="4">
        <f>'[3]M.C UNPIV'!B674</f>
        <v>0</v>
      </c>
      <c r="B673" s="5">
        <f>'[3]M.C UNPIV'!C674</f>
        <v>0</v>
      </c>
      <c r="C673" s="5">
        <f>'[3]M.C UNPIV'!D674</f>
        <v>0</v>
      </c>
      <c r="D673" s="5">
        <f>'[3]M.C UNPIV'!E674</f>
        <v>0</v>
      </c>
      <c r="E673" s="5">
        <f>'[3]M.C UNPIV'!F674</f>
        <v>0</v>
      </c>
      <c r="F673" s="5">
        <f>'[3]M.C UNPIV'!G674</f>
        <v>0</v>
      </c>
      <c r="G673" s="6">
        <f>'[3]M.C UNPIV'!H674</f>
        <v>0</v>
      </c>
      <c r="H673" s="5">
        <f>'[3]M.C UNPIV'!I674</f>
        <v>0</v>
      </c>
      <c r="I673" s="7">
        <f>'[3]M.C UNPIV'!J674</f>
        <v>0</v>
      </c>
      <c r="J673" s="7">
        <f>'[3]M.C UNPIV'!K674</f>
        <v>0</v>
      </c>
      <c r="K673" s="7">
        <f>'[3]M.C UNPIV'!L674</f>
        <v>0</v>
      </c>
      <c r="L673" s="7">
        <f>'[3]M.C UNPIV'!M674</f>
        <v>0</v>
      </c>
      <c r="M673" s="6">
        <f>'[3]M.C UNPIV'!N674</f>
        <v>0</v>
      </c>
      <c r="N673" s="5">
        <f>'[3]M.C UNPIV'!O674</f>
        <v>0</v>
      </c>
      <c r="O673" s="5">
        <f>'[3]M.C UNPIV'!P674</f>
        <v>0</v>
      </c>
    </row>
    <row r="674" spans="1:15" x14ac:dyDescent="0.25">
      <c r="A674" s="4">
        <f>'[3]M.C UNPIV'!B675</f>
        <v>0</v>
      </c>
      <c r="B674" s="5">
        <f>'[3]M.C UNPIV'!C675</f>
        <v>0</v>
      </c>
      <c r="C674" s="5">
        <f>'[3]M.C UNPIV'!D675</f>
        <v>0</v>
      </c>
      <c r="D674" s="5">
        <f>'[3]M.C UNPIV'!E675</f>
        <v>0</v>
      </c>
      <c r="E674" s="5">
        <f>'[3]M.C UNPIV'!F675</f>
        <v>0</v>
      </c>
      <c r="F674" s="5">
        <f>'[3]M.C UNPIV'!G675</f>
        <v>0</v>
      </c>
      <c r="G674" s="6">
        <f>'[3]M.C UNPIV'!H675</f>
        <v>0</v>
      </c>
      <c r="H674" s="5">
        <f>'[3]M.C UNPIV'!I675</f>
        <v>0</v>
      </c>
      <c r="I674" s="7">
        <f>'[3]M.C UNPIV'!J675</f>
        <v>0</v>
      </c>
      <c r="J674" s="7">
        <f>'[3]M.C UNPIV'!K675</f>
        <v>0</v>
      </c>
      <c r="K674" s="7">
        <f>'[3]M.C UNPIV'!L675</f>
        <v>0</v>
      </c>
      <c r="L674" s="7">
        <f>'[3]M.C UNPIV'!M675</f>
        <v>0</v>
      </c>
      <c r="M674" s="6">
        <f>'[3]M.C UNPIV'!N675</f>
        <v>0</v>
      </c>
      <c r="N674" s="5">
        <f>'[3]M.C UNPIV'!O675</f>
        <v>0</v>
      </c>
      <c r="O674" s="5">
        <f>'[3]M.C UNPIV'!P675</f>
        <v>0</v>
      </c>
    </row>
    <row r="675" spans="1:15" x14ac:dyDescent="0.25">
      <c r="A675" s="4">
        <f>'[3]M.C UNPIV'!B676</f>
        <v>0</v>
      </c>
      <c r="B675" s="5">
        <f>'[3]M.C UNPIV'!C676</f>
        <v>0</v>
      </c>
      <c r="C675" s="5">
        <f>'[3]M.C UNPIV'!D676</f>
        <v>0</v>
      </c>
      <c r="D675" s="5">
        <f>'[3]M.C UNPIV'!E676</f>
        <v>0</v>
      </c>
      <c r="E675" s="5">
        <f>'[3]M.C UNPIV'!F676</f>
        <v>0</v>
      </c>
      <c r="F675" s="5">
        <f>'[3]M.C UNPIV'!G676</f>
        <v>0</v>
      </c>
      <c r="G675" s="6">
        <f>'[3]M.C UNPIV'!H676</f>
        <v>0</v>
      </c>
      <c r="H675" s="5">
        <f>'[3]M.C UNPIV'!I676</f>
        <v>0</v>
      </c>
      <c r="I675" s="7">
        <f>'[3]M.C UNPIV'!J676</f>
        <v>0</v>
      </c>
      <c r="J675" s="7">
        <f>'[3]M.C UNPIV'!K676</f>
        <v>0</v>
      </c>
      <c r="K675" s="7">
        <f>'[3]M.C UNPIV'!L676</f>
        <v>0</v>
      </c>
      <c r="L675" s="7">
        <f>'[3]M.C UNPIV'!M676</f>
        <v>0</v>
      </c>
      <c r="M675" s="6">
        <f>'[3]M.C UNPIV'!N676</f>
        <v>0</v>
      </c>
      <c r="N675" s="5">
        <f>'[3]M.C UNPIV'!O676</f>
        <v>0</v>
      </c>
      <c r="O675" s="5">
        <f>'[3]M.C UNPIV'!P676</f>
        <v>0</v>
      </c>
    </row>
    <row r="676" spans="1:15" x14ac:dyDescent="0.25">
      <c r="A676" s="4">
        <f>'[3]M.C UNPIV'!B677</f>
        <v>0</v>
      </c>
      <c r="B676" s="5">
        <f>'[3]M.C UNPIV'!C677</f>
        <v>0</v>
      </c>
      <c r="C676" s="5">
        <f>'[3]M.C UNPIV'!D677</f>
        <v>0</v>
      </c>
      <c r="D676" s="5">
        <f>'[3]M.C UNPIV'!E677</f>
        <v>0</v>
      </c>
      <c r="E676" s="5">
        <f>'[3]M.C UNPIV'!F677</f>
        <v>0</v>
      </c>
      <c r="F676" s="5">
        <f>'[3]M.C UNPIV'!G677</f>
        <v>0</v>
      </c>
      <c r="G676" s="6">
        <f>'[3]M.C UNPIV'!H677</f>
        <v>0</v>
      </c>
      <c r="H676" s="5">
        <f>'[3]M.C UNPIV'!I677</f>
        <v>0</v>
      </c>
      <c r="I676" s="7">
        <f>'[3]M.C UNPIV'!J677</f>
        <v>0</v>
      </c>
      <c r="J676" s="7">
        <f>'[3]M.C UNPIV'!K677</f>
        <v>0</v>
      </c>
      <c r="K676" s="7">
        <f>'[3]M.C UNPIV'!L677</f>
        <v>0</v>
      </c>
      <c r="L676" s="7">
        <f>'[3]M.C UNPIV'!M677</f>
        <v>0</v>
      </c>
      <c r="M676" s="6">
        <f>'[3]M.C UNPIV'!N677</f>
        <v>0</v>
      </c>
      <c r="N676" s="5">
        <f>'[3]M.C UNPIV'!O677</f>
        <v>0</v>
      </c>
      <c r="O676" s="5">
        <f>'[3]M.C UNPIV'!P677</f>
        <v>0</v>
      </c>
    </row>
    <row r="677" spans="1:15" x14ac:dyDescent="0.25">
      <c r="A677" s="4">
        <f>'[3]M.C UNPIV'!B678</f>
        <v>0</v>
      </c>
      <c r="B677" s="5">
        <f>'[3]M.C UNPIV'!C678</f>
        <v>0</v>
      </c>
      <c r="C677" s="5">
        <f>'[3]M.C UNPIV'!D678</f>
        <v>0</v>
      </c>
      <c r="D677" s="5">
        <f>'[3]M.C UNPIV'!E678</f>
        <v>0</v>
      </c>
      <c r="E677" s="5">
        <f>'[3]M.C UNPIV'!F678</f>
        <v>0</v>
      </c>
      <c r="F677" s="5">
        <f>'[3]M.C UNPIV'!G678</f>
        <v>0</v>
      </c>
      <c r="G677" s="6">
        <f>'[3]M.C UNPIV'!H678</f>
        <v>0</v>
      </c>
      <c r="H677" s="5">
        <f>'[3]M.C UNPIV'!I678</f>
        <v>0</v>
      </c>
      <c r="I677" s="7">
        <f>'[3]M.C UNPIV'!J678</f>
        <v>0</v>
      </c>
      <c r="J677" s="7">
        <f>'[3]M.C UNPIV'!K678</f>
        <v>0</v>
      </c>
      <c r="K677" s="7">
        <f>'[3]M.C UNPIV'!L678</f>
        <v>0</v>
      </c>
      <c r="L677" s="7">
        <f>'[3]M.C UNPIV'!M678</f>
        <v>0</v>
      </c>
      <c r="M677" s="6">
        <f>'[3]M.C UNPIV'!N678</f>
        <v>0</v>
      </c>
      <c r="N677" s="5">
        <f>'[3]M.C UNPIV'!O678</f>
        <v>0</v>
      </c>
      <c r="O677" s="5">
        <f>'[3]M.C UNPIV'!P678</f>
        <v>0</v>
      </c>
    </row>
    <row r="678" spans="1:15" x14ac:dyDescent="0.25">
      <c r="A678" s="4">
        <f>'[3]M.C UNPIV'!B679</f>
        <v>0</v>
      </c>
      <c r="B678" s="5">
        <f>'[3]M.C UNPIV'!C679</f>
        <v>0</v>
      </c>
      <c r="C678" s="5">
        <f>'[3]M.C UNPIV'!D679</f>
        <v>0</v>
      </c>
      <c r="D678" s="5">
        <f>'[3]M.C UNPIV'!E679</f>
        <v>0</v>
      </c>
      <c r="E678" s="5">
        <f>'[3]M.C UNPIV'!F679</f>
        <v>0</v>
      </c>
      <c r="F678" s="5">
        <f>'[3]M.C UNPIV'!G679</f>
        <v>0</v>
      </c>
      <c r="G678" s="6">
        <f>'[3]M.C UNPIV'!H679</f>
        <v>0</v>
      </c>
      <c r="H678" s="5">
        <f>'[3]M.C UNPIV'!I679</f>
        <v>0</v>
      </c>
      <c r="I678" s="7">
        <f>'[3]M.C UNPIV'!J679</f>
        <v>0</v>
      </c>
      <c r="J678" s="7">
        <f>'[3]M.C UNPIV'!K679</f>
        <v>0</v>
      </c>
      <c r="K678" s="7">
        <f>'[3]M.C UNPIV'!L679</f>
        <v>0</v>
      </c>
      <c r="L678" s="7">
        <f>'[3]M.C UNPIV'!M679</f>
        <v>0</v>
      </c>
      <c r="M678" s="6">
        <f>'[3]M.C UNPIV'!N679</f>
        <v>0</v>
      </c>
      <c r="N678" s="5">
        <f>'[3]M.C UNPIV'!O679</f>
        <v>0</v>
      </c>
      <c r="O678" s="5">
        <f>'[3]M.C UNPIV'!P679</f>
        <v>0</v>
      </c>
    </row>
    <row r="679" spans="1:15" x14ac:dyDescent="0.25">
      <c r="A679" s="4">
        <f>'[3]M.C UNPIV'!B680</f>
        <v>0</v>
      </c>
      <c r="B679" s="5">
        <f>'[3]M.C UNPIV'!C680</f>
        <v>0</v>
      </c>
      <c r="C679" s="5">
        <f>'[3]M.C UNPIV'!D680</f>
        <v>0</v>
      </c>
      <c r="D679" s="5">
        <f>'[3]M.C UNPIV'!E680</f>
        <v>0</v>
      </c>
      <c r="E679" s="5">
        <f>'[3]M.C UNPIV'!F680</f>
        <v>0</v>
      </c>
      <c r="F679" s="5">
        <f>'[3]M.C UNPIV'!G680</f>
        <v>0</v>
      </c>
      <c r="G679" s="6">
        <f>'[3]M.C UNPIV'!H680</f>
        <v>0</v>
      </c>
      <c r="H679" s="5">
        <f>'[3]M.C UNPIV'!I680</f>
        <v>0</v>
      </c>
      <c r="I679" s="7">
        <f>'[3]M.C UNPIV'!J680</f>
        <v>0</v>
      </c>
      <c r="J679" s="7">
        <f>'[3]M.C UNPIV'!K680</f>
        <v>0</v>
      </c>
      <c r="K679" s="7">
        <f>'[3]M.C UNPIV'!L680</f>
        <v>0</v>
      </c>
      <c r="L679" s="7">
        <f>'[3]M.C UNPIV'!M680</f>
        <v>0</v>
      </c>
      <c r="M679" s="6">
        <f>'[3]M.C UNPIV'!N680</f>
        <v>0</v>
      </c>
      <c r="N679" s="5">
        <f>'[3]M.C UNPIV'!O680</f>
        <v>0</v>
      </c>
      <c r="O679" s="5">
        <f>'[3]M.C UNPIV'!P680</f>
        <v>0</v>
      </c>
    </row>
    <row r="680" spans="1:15" x14ac:dyDescent="0.25">
      <c r="A680" s="4">
        <f>'[3]M.C UNPIV'!B681</f>
        <v>0</v>
      </c>
      <c r="B680" s="5">
        <f>'[3]M.C UNPIV'!C681</f>
        <v>0</v>
      </c>
      <c r="C680" s="5">
        <f>'[3]M.C UNPIV'!D681</f>
        <v>0</v>
      </c>
      <c r="D680" s="5">
        <f>'[3]M.C UNPIV'!E681</f>
        <v>0</v>
      </c>
      <c r="E680" s="5">
        <f>'[3]M.C UNPIV'!F681</f>
        <v>0</v>
      </c>
      <c r="F680" s="5">
        <f>'[3]M.C UNPIV'!G681</f>
        <v>0</v>
      </c>
      <c r="G680" s="6">
        <f>'[3]M.C UNPIV'!H681</f>
        <v>0</v>
      </c>
      <c r="H680" s="5">
        <f>'[3]M.C UNPIV'!I681</f>
        <v>0</v>
      </c>
      <c r="I680" s="7">
        <f>'[3]M.C UNPIV'!J681</f>
        <v>0</v>
      </c>
      <c r="J680" s="7">
        <f>'[3]M.C UNPIV'!K681</f>
        <v>0</v>
      </c>
      <c r="K680" s="7">
        <f>'[3]M.C UNPIV'!L681</f>
        <v>0</v>
      </c>
      <c r="L680" s="7">
        <f>'[3]M.C UNPIV'!M681</f>
        <v>0</v>
      </c>
      <c r="M680" s="6">
        <f>'[3]M.C UNPIV'!N681</f>
        <v>0</v>
      </c>
      <c r="N680" s="5">
        <f>'[3]M.C UNPIV'!O681</f>
        <v>0</v>
      </c>
      <c r="O680" s="5">
        <f>'[3]M.C UNPIV'!P681</f>
        <v>0</v>
      </c>
    </row>
    <row r="681" spans="1:15" x14ac:dyDescent="0.25">
      <c r="A681" s="4">
        <f>'[3]M.C UNPIV'!B682</f>
        <v>0</v>
      </c>
      <c r="B681" s="5">
        <f>'[3]M.C UNPIV'!C682</f>
        <v>0</v>
      </c>
      <c r="C681" s="5">
        <f>'[3]M.C UNPIV'!D682</f>
        <v>0</v>
      </c>
      <c r="D681" s="5">
        <f>'[3]M.C UNPIV'!E682</f>
        <v>0</v>
      </c>
      <c r="E681" s="5">
        <f>'[3]M.C UNPIV'!F682</f>
        <v>0</v>
      </c>
      <c r="F681" s="5">
        <f>'[3]M.C UNPIV'!G682</f>
        <v>0</v>
      </c>
      <c r="G681" s="6">
        <f>'[3]M.C UNPIV'!H682</f>
        <v>0</v>
      </c>
      <c r="H681" s="5">
        <f>'[3]M.C UNPIV'!I682</f>
        <v>0</v>
      </c>
      <c r="I681" s="7">
        <f>'[3]M.C UNPIV'!J682</f>
        <v>0</v>
      </c>
      <c r="J681" s="7">
        <f>'[3]M.C UNPIV'!K682</f>
        <v>0</v>
      </c>
      <c r="K681" s="7">
        <f>'[3]M.C UNPIV'!L682</f>
        <v>0</v>
      </c>
      <c r="L681" s="7">
        <f>'[3]M.C UNPIV'!M682</f>
        <v>0</v>
      </c>
      <c r="M681" s="6">
        <f>'[3]M.C UNPIV'!N682</f>
        <v>0</v>
      </c>
      <c r="N681" s="5">
        <f>'[3]M.C UNPIV'!O682</f>
        <v>0</v>
      </c>
      <c r="O681" s="5">
        <f>'[3]M.C UNPIV'!P682</f>
        <v>0</v>
      </c>
    </row>
    <row r="682" spans="1:15" x14ac:dyDescent="0.25">
      <c r="A682" s="4">
        <f>'[3]M.C UNPIV'!B683</f>
        <v>0</v>
      </c>
      <c r="B682" s="5">
        <f>'[3]M.C UNPIV'!C683</f>
        <v>0</v>
      </c>
      <c r="C682" s="5">
        <f>'[3]M.C UNPIV'!D683</f>
        <v>0</v>
      </c>
      <c r="D682" s="5">
        <f>'[3]M.C UNPIV'!E683</f>
        <v>0</v>
      </c>
      <c r="E682" s="5">
        <f>'[3]M.C UNPIV'!F683</f>
        <v>0</v>
      </c>
      <c r="F682" s="5">
        <f>'[3]M.C UNPIV'!G683</f>
        <v>0</v>
      </c>
      <c r="G682" s="6">
        <f>'[3]M.C UNPIV'!H683</f>
        <v>0</v>
      </c>
      <c r="H682" s="5">
        <f>'[3]M.C UNPIV'!I683</f>
        <v>0</v>
      </c>
      <c r="I682" s="7">
        <f>'[3]M.C UNPIV'!J683</f>
        <v>0</v>
      </c>
      <c r="J682" s="7">
        <f>'[3]M.C UNPIV'!K683</f>
        <v>0</v>
      </c>
      <c r="K682" s="7">
        <f>'[3]M.C UNPIV'!L683</f>
        <v>0</v>
      </c>
      <c r="L682" s="7">
        <f>'[3]M.C UNPIV'!M683</f>
        <v>0</v>
      </c>
      <c r="M682" s="6">
        <f>'[3]M.C UNPIV'!N683</f>
        <v>0</v>
      </c>
      <c r="N682" s="5">
        <f>'[3]M.C UNPIV'!O683</f>
        <v>0</v>
      </c>
      <c r="O682" s="5">
        <f>'[3]M.C UNPIV'!P683</f>
        <v>0</v>
      </c>
    </row>
    <row r="683" spans="1:15" x14ac:dyDescent="0.25">
      <c r="A683" s="4">
        <f>'[3]M.C UNPIV'!B684</f>
        <v>0</v>
      </c>
      <c r="B683" s="5">
        <f>'[3]M.C UNPIV'!C684</f>
        <v>0</v>
      </c>
      <c r="C683" s="5">
        <f>'[3]M.C UNPIV'!D684</f>
        <v>0</v>
      </c>
      <c r="D683" s="5">
        <f>'[3]M.C UNPIV'!E684</f>
        <v>0</v>
      </c>
      <c r="E683" s="5">
        <f>'[3]M.C UNPIV'!F684</f>
        <v>0</v>
      </c>
      <c r="F683" s="5">
        <f>'[3]M.C UNPIV'!G684</f>
        <v>0</v>
      </c>
      <c r="G683" s="6">
        <f>'[3]M.C UNPIV'!H684</f>
        <v>0</v>
      </c>
      <c r="H683" s="5">
        <f>'[3]M.C UNPIV'!I684</f>
        <v>0</v>
      </c>
      <c r="I683" s="7">
        <f>'[3]M.C UNPIV'!J684</f>
        <v>0</v>
      </c>
      <c r="J683" s="7">
        <f>'[3]M.C UNPIV'!K684</f>
        <v>0</v>
      </c>
      <c r="K683" s="7">
        <f>'[3]M.C UNPIV'!L684</f>
        <v>0</v>
      </c>
      <c r="L683" s="7">
        <f>'[3]M.C UNPIV'!M684</f>
        <v>0</v>
      </c>
      <c r="M683" s="6">
        <f>'[3]M.C UNPIV'!N684</f>
        <v>0</v>
      </c>
      <c r="N683" s="5">
        <f>'[3]M.C UNPIV'!O684</f>
        <v>0</v>
      </c>
      <c r="O683" s="5">
        <f>'[3]M.C UNPIV'!P684</f>
        <v>0</v>
      </c>
    </row>
    <row r="684" spans="1:15" x14ac:dyDescent="0.25">
      <c r="A684" s="4">
        <f>'[3]M.C UNPIV'!B685</f>
        <v>0</v>
      </c>
      <c r="B684" s="5">
        <f>'[3]M.C UNPIV'!C685</f>
        <v>0</v>
      </c>
      <c r="C684" s="5">
        <f>'[3]M.C UNPIV'!D685</f>
        <v>0</v>
      </c>
      <c r="D684" s="5">
        <f>'[3]M.C UNPIV'!E685</f>
        <v>0</v>
      </c>
      <c r="E684" s="5">
        <f>'[3]M.C UNPIV'!F685</f>
        <v>0</v>
      </c>
      <c r="F684" s="5">
        <f>'[3]M.C UNPIV'!G685</f>
        <v>0</v>
      </c>
      <c r="G684" s="6">
        <f>'[3]M.C UNPIV'!H685</f>
        <v>0</v>
      </c>
      <c r="H684" s="5">
        <f>'[3]M.C UNPIV'!I685</f>
        <v>0</v>
      </c>
      <c r="I684" s="7">
        <f>'[3]M.C UNPIV'!J685</f>
        <v>0</v>
      </c>
      <c r="J684" s="7">
        <f>'[3]M.C UNPIV'!K685</f>
        <v>0</v>
      </c>
      <c r="K684" s="7">
        <f>'[3]M.C UNPIV'!L685</f>
        <v>0</v>
      </c>
      <c r="L684" s="7">
        <f>'[3]M.C UNPIV'!M685</f>
        <v>0</v>
      </c>
      <c r="M684" s="6">
        <f>'[3]M.C UNPIV'!N685</f>
        <v>0</v>
      </c>
      <c r="N684" s="5">
        <f>'[3]M.C UNPIV'!O685</f>
        <v>0</v>
      </c>
      <c r="O684" s="5">
        <f>'[3]M.C UNPIV'!P685</f>
        <v>0</v>
      </c>
    </row>
    <row r="685" spans="1:15" x14ac:dyDescent="0.25">
      <c r="A685" s="4">
        <f>'[3]M.C UNPIV'!B686</f>
        <v>0</v>
      </c>
      <c r="B685" s="5">
        <f>'[3]M.C UNPIV'!C686</f>
        <v>0</v>
      </c>
      <c r="C685" s="5">
        <f>'[3]M.C UNPIV'!D686</f>
        <v>0</v>
      </c>
      <c r="D685" s="5">
        <f>'[3]M.C UNPIV'!E686</f>
        <v>0</v>
      </c>
      <c r="E685" s="5">
        <f>'[3]M.C UNPIV'!F686</f>
        <v>0</v>
      </c>
      <c r="F685" s="5">
        <f>'[3]M.C UNPIV'!G686</f>
        <v>0</v>
      </c>
      <c r="G685" s="6">
        <f>'[3]M.C UNPIV'!H686</f>
        <v>0</v>
      </c>
      <c r="H685" s="5">
        <f>'[3]M.C UNPIV'!I686</f>
        <v>0</v>
      </c>
      <c r="I685" s="7">
        <f>'[3]M.C UNPIV'!J686</f>
        <v>0</v>
      </c>
      <c r="J685" s="7">
        <f>'[3]M.C UNPIV'!K686</f>
        <v>0</v>
      </c>
      <c r="K685" s="7">
        <f>'[3]M.C UNPIV'!L686</f>
        <v>0</v>
      </c>
      <c r="L685" s="7">
        <f>'[3]M.C UNPIV'!M686</f>
        <v>0</v>
      </c>
      <c r="M685" s="6">
        <f>'[3]M.C UNPIV'!N686</f>
        <v>0</v>
      </c>
      <c r="N685" s="5">
        <f>'[3]M.C UNPIV'!O686</f>
        <v>0</v>
      </c>
      <c r="O685" s="5">
        <f>'[3]M.C UNPIV'!P686</f>
        <v>0</v>
      </c>
    </row>
    <row r="686" spans="1:15" x14ac:dyDescent="0.25">
      <c r="A686" s="4">
        <f>'[3]M.C UNPIV'!B687</f>
        <v>0</v>
      </c>
      <c r="B686" s="5">
        <f>'[3]M.C UNPIV'!C687</f>
        <v>0</v>
      </c>
      <c r="C686" s="5">
        <f>'[3]M.C UNPIV'!D687</f>
        <v>0</v>
      </c>
      <c r="D686" s="5">
        <f>'[3]M.C UNPIV'!E687</f>
        <v>0</v>
      </c>
      <c r="E686" s="5">
        <f>'[3]M.C UNPIV'!F687</f>
        <v>0</v>
      </c>
      <c r="F686" s="5">
        <f>'[3]M.C UNPIV'!G687</f>
        <v>0</v>
      </c>
      <c r="G686" s="6">
        <f>'[3]M.C UNPIV'!H687</f>
        <v>0</v>
      </c>
      <c r="H686" s="5">
        <f>'[3]M.C UNPIV'!I687</f>
        <v>0</v>
      </c>
      <c r="I686" s="7">
        <f>'[3]M.C UNPIV'!J687</f>
        <v>0</v>
      </c>
      <c r="J686" s="7">
        <f>'[3]M.C UNPIV'!K687</f>
        <v>0</v>
      </c>
      <c r="K686" s="7">
        <f>'[3]M.C UNPIV'!L687</f>
        <v>0</v>
      </c>
      <c r="L686" s="7">
        <f>'[3]M.C UNPIV'!M687</f>
        <v>0</v>
      </c>
      <c r="M686" s="6">
        <f>'[3]M.C UNPIV'!N687</f>
        <v>0</v>
      </c>
      <c r="N686" s="5">
        <f>'[3]M.C UNPIV'!O687</f>
        <v>0</v>
      </c>
      <c r="O686" s="5">
        <f>'[3]M.C UNPIV'!P687</f>
        <v>0</v>
      </c>
    </row>
    <row r="687" spans="1:15" x14ac:dyDescent="0.25">
      <c r="A687" s="4">
        <f>'[3]M.C UNPIV'!B688</f>
        <v>0</v>
      </c>
      <c r="B687" s="5">
        <f>'[3]M.C UNPIV'!C688</f>
        <v>0</v>
      </c>
      <c r="C687" s="5">
        <f>'[3]M.C UNPIV'!D688</f>
        <v>0</v>
      </c>
      <c r="D687" s="5">
        <f>'[3]M.C UNPIV'!E688</f>
        <v>0</v>
      </c>
      <c r="E687" s="5">
        <f>'[3]M.C UNPIV'!F688</f>
        <v>0</v>
      </c>
      <c r="F687" s="5">
        <f>'[3]M.C UNPIV'!G688</f>
        <v>0</v>
      </c>
      <c r="G687" s="6">
        <f>'[3]M.C UNPIV'!H688</f>
        <v>0</v>
      </c>
      <c r="H687" s="5">
        <f>'[3]M.C UNPIV'!I688</f>
        <v>0</v>
      </c>
      <c r="I687" s="7">
        <f>'[3]M.C UNPIV'!J688</f>
        <v>0</v>
      </c>
      <c r="J687" s="7">
        <f>'[3]M.C UNPIV'!K688</f>
        <v>0</v>
      </c>
      <c r="K687" s="7">
        <f>'[3]M.C UNPIV'!L688</f>
        <v>0</v>
      </c>
      <c r="L687" s="7">
        <f>'[3]M.C UNPIV'!M688</f>
        <v>0</v>
      </c>
      <c r="M687" s="6">
        <f>'[3]M.C UNPIV'!N688</f>
        <v>0</v>
      </c>
      <c r="N687" s="5">
        <f>'[3]M.C UNPIV'!O688</f>
        <v>0</v>
      </c>
      <c r="O687" s="5">
        <f>'[3]M.C UNPIV'!P688</f>
        <v>0</v>
      </c>
    </row>
    <row r="688" spans="1:15" x14ac:dyDescent="0.25">
      <c r="A688" s="4">
        <f>'[3]M.C UNPIV'!B689</f>
        <v>0</v>
      </c>
      <c r="B688" s="5">
        <f>'[3]M.C UNPIV'!C689</f>
        <v>0</v>
      </c>
      <c r="C688" s="5">
        <f>'[3]M.C UNPIV'!D689</f>
        <v>0</v>
      </c>
      <c r="D688" s="5">
        <f>'[3]M.C UNPIV'!E689</f>
        <v>0</v>
      </c>
      <c r="E688" s="5">
        <f>'[3]M.C UNPIV'!F689</f>
        <v>0</v>
      </c>
      <c r="F688" s="5">
        <f>'[3]M.C UNPIV'!G689</f>
        <v>0</v>
      </c>
      <c r="G688" s="6">
        <f>'[3]M.C UNPIV'!H689</f>
        <v>0</v>
      </c>
      <c r="H688" s="5">
        <f>'[3]M.C UNPIV'!I689</f>
        <v>0</v>
      </c>
      <c r="I688" s="7">
        <f>'[3]M.C UNPIV'!J689</f>
        <v>0</v>
      </c>
      <c r="J688" s="7">
        <f>'[3]M.C UNPIV'!K689</f>
        <v>0</v>
      </c>
      <c r="K688" s="7">
        <f>'[3]M.C UNPIV'!L689</f>
        <v>0</v>
      </c>
      <c r="L688" s="7">
        <f>'[3]M.C UNPIV'!M689</f>
        <v>0</v>
      </c>
      <c r="M688" s="6">
        <f>'[3]M.C UNPIV'!N689</f>
        <v>0</v>
      </c>
      <c r="N688" s="5">
        <f>'[3]M.C UNPIV'!O689</f>
        <v>0</v>
      </c>
      <c r="O688" s="5">
        <f>'[3]M.C UNPIV'!P689</f>
        <v>0</v>
      </c>
    </row>
    <row r="689" spans="1:15" x14ac:dyDescent="0.25">
      <c r="A689" s="4">
        <f>'[3]M.C UNPIV'!B690</f>
        <v>0</v>
      </c>
      <c r="B689" s="5">
        <f>'[3]M.C UNPIV'!C690</f>
        <v>0</v>
      </c>
      <c r="C689" s="5">
        <f>'[3]M.C UNPIV'!D690</f>
        <v>0</v>
      </c>
      <c r="D689" s="5">
        <f>'[3]M.C UNPIV'!E690</f>
        <v>0</v>
      </c>
      <c r="E689" s="5">
        <f>'[3]M.C UNPIV'!F690</f>
        <v>0</v>
      </c>
      <c r="F689" s="5">
        <f>'[3]M.C UNPIV'!G690</f>
        <v>0</v>
      </c>
      <c r="G689" s="6">
        <f>'[3]M.C UNPIV'!H690</f>
        <v>0</v>
      </c>
      <c r="H689" s="5">
        <f>'[3]M.C UNPIV'!I690</f>
        <v>0</v>
      </c>
      <c r="I689" s="7">
        <f>'[3]M.C UNPIV'!J690</f>
        <v>0</v>
      </c>
      <c r="J689" s="7">
        <f>'[3]M.C UNPIV'!K690</f>
        <v>0</v>
      </c>
      <c r="K689" s="7">
        <f>'[3]M.C UNPIV'!L690</f>
        <v>0</v>
      </c>
      <c r="L689" s="7">
        <f>'[3]M.C UNPIV'!M690</f>
        <v>0</v>
      </c>
      <c r="M689" s="6">
        <f>'[3]M.C UNPIV'!N690</f>
        <v>0</v>
      </c>
      <c r="N689" s="5">
        <f>'[3]M.C UNPIV'!O690</f>
        <v>0</v>
      </c>
      <c r="O689" s="5">
        <f>'[3]M.C UNPIV'!P690</f>
        <v>0</v>
      </c>
    </row>
    <row r="690" spans="1:15" x14ac:dyDescent="0.25">
      <c r="A690" s="4">
        <f>'[3]M.C UNPIV'!B691</f>
        <v>0</v>
      </c>
      <c r="B690" s="5">
        <f>'[3]M.C UNPIV'!C691</f>
        <v>0</v>
      </c>
      <c r="C690" s="5">
        <f>'[3]M.C UNPIV'!D691</f>
        <v>0</v>
      </c>
      <c r="D690" s="5">
        <f>'[3]M.C UNPIV'!E691</f>
        <v>0</v>
      </c>
      <c r="E690" s="5">
        <f>'[3]M.C UNPIV'!F691</f>
        <v>0</v>
      </c>
      <c r="F690" s="5">
        <f>'[3]M.C UNPIV'!G691</f>
        <v>0</v>
      </c>
      <c r="G690" s="6">
        <f>'[3]M.C UNPIV'!H691</f>
        <v>0</v>
      </c>
      <c r="H690" s="5">
        <f>'[3]M.C UNPIV'!I691</f>
        <v>0</v>
      </c>
      <c r="I690" s="7">
        <f>'[3]M.C UNPIV'!J691</f>
        <v>0</v>
      </c>
      <c r="J690" s="7">
        <f>'[3]M.C UNPIV'!K691</f>
        <v>0</v>
      </c>
      <c r="K690" s="7">
        <f>'[3]M.C UNPIV'!L691</f>
        <v>0</v>
      </c>
      <c r="L690" s="7">
        <f>'[3]M.C UNPIV'!M691</f>
        <v>0</v>
      </c>
      <c r="M690" s="6">
        <f>'[3]M.C UNPIV'!N691</f>
        <v>0</v>
      </c>
      <c r="N690" s="5">
        <f>'[3]M.C UNPIV'!O691</f>
        <v>0</v>
      </c>
      <c r="O690" s="5">
        <f>'[3]M.C UNPIV'!P691</f>
        <v>0</v>
      </c>
    </row>
    <row r="691" spans="1:15" x14ac:dyDescent="0.25">
      <c r="A691" s="4">
        <f>'[3]M.C UNPIV'!B692</f>
        <v>0</v>
      </c>
      <c r="B691" s="5">
        <f>'[3]M.C UNPIV'!C692</f>
        <v>0</v>
      </c>
      <c r="C691" s="5">
        <f>'[3]M.C UNPIV'!D692</f>
        <v>0</v>
      </c>
      <c r="D691" s="5">
        <f>'[3]M.C UNPIV'!E692</f>
        <v>0</v>
      </c>
      <c r="E691" s="5">
        <f>'[3]M.C UNPIV'!F692</f>
        <v>0</v>
      </c>
      <c r="F691" s="5">
        <f>'[3]M.C UNPIV'!G692</f>
        <v>0</v>
      </c>
      <c r="G691" s="6">
        <f>'[3]M.C UNPIV'!H692</f>
        <v>0</v>
      </c>
      <c r="H691" s="5">
        <f>'[3]M.C UNPIV'!I692</f>
        <v>0</v>
      </c>
      <c r="I691" s="7">
        <f>'[3]M.C UNPIV'!J692</f>
        <v>0</v>
      </c>
      <c r="J691" s="7">
        <f>'[3]M.C UNPIV'!K692</f>
        <v>0</v>
      </c>
      <c r="K691" s="7">
        <f>'[3]M.C UNPIV'!L692</f>
        <v>0</v>
      </c>
      <c r="L691" s="7">
        <f>'[3]M.C UNPIV'!M692</f>
        <v>0</v>
      </c>
      <c r="M691" s="6">
        <f>'[3]M.C UNPIV'!N692</f>
        <v>0</v>
      </c>
      <c r="N691" s="5">
        <f>'[3]M.C UNPIV'!O692</f>
        <v>0</v>
      </c>
      <c r="O691" s="5">
        <f>'[3]M.C UNPIV'!P692</f>
        <v>0</v>
      </c>
    </row>
    <row r="692" spans="1:15" x14ac:dyDescent="0.25">
      <c r="A692" s="70"/>
      <c r="B692" s="70"/>
      <c r="C692" s="70"/>
      <c r="D692" s="70"/>
      <c r="E692" s="70"/>
      <c r="F692" s="70"/>
      <c r="G692" s="70"/>
      <c r="H692" s="70"/>
      <c r="I692" s="70"/>
      <c r="J692" s="71"/>
      <c r="K692" s="70"/>
      <c r="L692" s="70"/>
      <c r="M692" s="70"/>
      <c r="N692" s="70"/>
    </row>
    <row r="693" spans="1:15" x14ac:dyDescent="0.25">
      <c r="A693" s="70"/>
      <c r="B693" s="70"/>
      <c r="C693" s="70"/>
      <c r="D693" s="70"/>
      <c r="E693" s="70"/>
      <c r="F693" s="70"/>
      <c r="G693" s="70"/>
      <c r="H693" s="70"/>
      <c r="I693" s="70"/>
      <c r="J693" s="71"/>
      <c r="K693" s="70"/>
      <c r="L693" s="70"/>
      <c r="M693" s="70"/>
      <c r="N693" s="70"/>
    </row>
    <row r="694" spans="1:15" x14ac:dyDescent="0.25">
      <c r="A694" s="70"/>
      <c r="B694" s="70"/>
      <c r="C694" s="70"/>
      <c r="D694" s="70"/>
      <c r="E694" s="70"/>
      <c r="F694" s="70"/>
      <c r="G694" s="70"/>
      <c r="H694" s="70"/>
      <c r="I694" s="70"/>
      <c r="J694" s="71"/>
      <c r="K694" s="70"/>
      <c r="L694" s="70"/>
      <c r="M694" s="70"/>
      <c r="N694" s="70"/>
    </row>
    <row r="695" spans="1:15" x14ac:dyDescent="0.25">
      <c r="A695" s="70"/>
      <c r="B695" s="70"/>
      <c r="C695" s="70"/>
      <c r="D695" s="70"/>
      <c r="E695" s="70"/>
      <c r="F695" s="70"/>
      <c r="G695" s="70"/>
      <c r="H695" s="70"/>
      <c r="I695" s="70"/>
      <c r="J695" s="71"/>
      <c r="K695" s="70"/>
      <c r="L695" s="70"/>
      <c r="M695" s="70"/>
      <c r="N695" s="70"/>
    </row>
    <row r="696" spans="1:15" x14ac:dyDescent="0.25">
      <c r="A696" s="70"/>
      <c r="B696" s="70"/>
      <c r="C696" s="70"/>
      <c r="D696" s="70"/>
      <c r="E696" s="70"/>
      <c r="F696" s="70"/>
      <c r="G696" s="70"/>
      <c r="H696" s="70"/>
      <c r="I696" s="70"/>
      <c r="J696" s="71"/>
      <c r="K696" s="70"/>
      <c r="L696" s="70"/>
      <c r="M696" s="70"/>
      <c r="N696" s="70"/>
    </row>
    <row r="697" spans="1:15" x14ac:dyDescent="0.25">
      <c r="A697" s="70"/>
      <c r="B697" s="70"/>
      <c r="C697" s="70"/>
      <c r="D697" s="70"/>
      <c r="E697" s="70"/>
      <c r="F697" s="70"/>
      <c r="G697" s="70"/>
      <c r="H697" s="70"/>
      <c r="I697" s="70"/>
      <c r="J697" s="71"/>
      <c r="K697" s="70"/>
      <c r="L697" s="70"/>
      <c r="M697" s="70"/>
      <c r="N697" s="70"/>
    </row>
    <row r="698" spans="1:15" x14ac:dyDescent="0.25">
      <c r="A698" s="70"/>
      <c r="B698" s="70"/>
      <c r="C698" s="70"/>
      <c r="D698" s="70"/>
      <c r="E698" s="70"/>
      <c r="F698" s="70"/>
      <c r="G698" s="70"/>
      <c r="H698" s="70"/>
      <c r="I698" s="70"/>
      <c r="J698" s="71"/>
      <c r="K698" s="70"/>
      <c r="L698" s="70"/>
      <c r="M698" s="70"/>
      <c r="N698" s="70"/>
    </row>
    <row r="699" spans="1:15" x14ac:dyDescent="0.25">
      <c r="A699" s="70"/>
      <c r="B699" s="70"/>
      <c r="C699" s="70"/>
      <c r="D699" s="70"/>
      <c r="E699" s="70"/>
      <c r="F699" s="70"/>
      <c r="G699" s="70"/>
      <c r="H699" s="70"/>
      <c r="I699" s="70"/>
      <c r="J699" s="71"/>
      <c r="K699" s="70"/>
      <c r="L699" s="70"/>
      <c r="M699" s="70"/>
      <c r="N699" s="70"/>
    </row>
    <row r="700" spans="1:15" x14ac:dyDescent="0.25">
      <c r="A700" s="70"/>
      <c r="B700" s="70"/>
      <c r="C700" s="70"/>
      <c r="D700" s="70"/>
      <c r="E700" s="70"/>
      <c r="F700" s="70"/>
      <c r="G700" s="70"/>
      <c r="H700" s="70"/>
      <c r="I700" s="70"/>
      <c r="J700" s="71"/>
      <c r="K700" s="70"/>
      <c r="L700" s="70"/>
      <c r="M700" s="70"/>
      <c r="N700" s="70"/>
    </row>
    <row r="701" spans="1:15" x14ac:dyDescent="0.25">
      <c r="A701" s="70"/>
      <c r="B701" s="70"/>
      <c r="C701" s="70"/>
      <c r="D701" s="70"/>
      <c r="E701" s="70"/>
      <c r="F701" s="70"/>
      <c r="G701" s="70"/>
      <c r="H701" s="70"/>
      <c r="I701" s="70"/>
      <c r="J701" s="71"/>
      <c r="K701" s="70"/>
      <c r="L701" s="70"/>
      <c r="M701" s="70"/>
      <c r="N701" s="70"/>
    </row>
    <row r="702" spans="1:15" x14ac:dyDescent="0.25">
      <c r="A702" s="70"/>
      <c r="B702" s="70"/>
      <c r="C702" s="70"/>
      <c r="D702" s="70"/>
      <c r="E702" s="70"/>
      <c r="F702" s="70"/>
      <c r="G702" s="70"/>
      <c r="H702" s="70"/>
      <c r="I702" s="70"/>
      <c r="J702" s="71"/>
      <c r="K702" s="70"/>
      <c r="L702" s="70"/>
      <c r="M702" s="70"/>
      <c r="N702" s="70"/>
    </row>
    <row r="703" spans="1:15" x14ac:dyDescent="0.25">
      <c r="A703" s="70"/>
      <c r="B703" s="70"/>
      <c r="C703" s="70"/>
      <c r="D703" s="70"/>
      <c r="E703" s="70"/>
      <c r="F703" s="70"/>
      <c r="G703" s="70"/>
      <c r="H703" s="70"/>
      <c r="I703" s="70"/>
      <c r="J703" s="71"/>
      <c r="K703" s="70"/>
      <c r="L703" s="70"/>
      <c r="M703" s="70"/>
      <c r="N703" s="70"/>
    </row>
    <row r="704" spans="1:15" x14ac:dyDescent="0.25">
      <c r="A704" s="70"/>
      <c r="B704" s="70"/>
      <c r="C704" s="70"/>
      <c r="D704" s="70"/>
      <c r="E704" s="70"/>
      <c r="F704" s="70"/>
      <c r="G704" s="70"/>
      <c r="H704" s="70"/>
      <c r="I704" s="70"/>
      <c r="J704" s="71"/>
      <c r="K704" s="70"/>
      <c r="L704" s="70"/>
      <c r="M704" s="70"/>
      <c r="N704" s="70"/>
    </row>
    <row r="705" spans="1:14" x14ac:dyDescent="0.25">
      <c r="A705" s="70"/>
      <c r="B705" s="70"/>
      <c r="C705" s="70"/>
      <c r="D705" s="70"/>
      <c r="E705" s="70"/>
      <c r="F705" s="70"/>
      <c r="G705" s="70"/>
      <c r="H705" s="70"/>
      <c r="I705" s="70"/>
      <c r="J705" s="71"/>
      <c r="K705" s="70"/>
      <c r="L705" s="70"/>
      <c r="M705" s="70"/>
      <c r="N705" s="70"/>
    </row>
    <row r="706" spans="1:14" x14ac:dyDescent="0.25">
      <c r="A706" s="70"/>
      <c r="B706" s="70"/>
      <c r="C706" s="70"/>
      <c r="D706" s="70"/>
      <c r="E706" s="70"/>
      <c r="F706" s="70"/>
      <c r="G706" s="70"/>
      <c r="H706" s="70"/>
      <c r="I706" s="70"/>
      <c r="J706" s="71"/>
      <c r="K706" s="70"/>
      <c r="L706" s="70"/>
      <c r="M706" s="70"/>
      <c r="N706" s="70"/>
    </row>
    <row r="707" spans="1:14" x14ac:dyDescent="0.25">
      <c r="A707" s="70"/>
      <c r="B707" s="70"/>
      <c r="C707" s="70"/>
      <c r="D707" s="70"/>
      <c r="E707" s="70"/>
      <c r="F707" s="70"/>
      <c r="G707" s="70"/>
      <c r="H707" s="70"/>
      <c r="I707" s="70"/>
      <c r="J707" s="71"/>
      <c r="K707" s="70"/>
      <c r="L707" s="70"/>
      <c r="M707" s="70"/>
      <c r="N707" s="70"/>
    </row>
    <row r="708" spans="1:14" x14ac:dyDescent="0.25">
      <c r="A708" s="70"/>
      <c r="B708" s="70"/>
      <c r="C708" s="70"/>
      <c r="D708" s="70"/>
      <c r="E708" s="70"/>
      <c r="F708" s="70"/>
      <c r="G708" s="70"/>
      <c r="H708" s="70"/>
      <c r="I708" s="70"/>
      <c r="J708" s="71"/>
      <c r="K708" s="70"/>
      <c r="L708" s="70"/>
      <c r="M708" s="70"/>
      <c r="N708" s="70"/>
    </row>
    <row r="709" spans="1:14" x14ac:dyDescent="0.25">
      <c r="A709" s="70"/>
      <c r="B709" s="70"/>
      <c r="C709" s="70"/>
      <c r="D709" s="70"/>
      <c r="E709" s="70"/>
      <c r="F709" s="70"/>
      <c r="G709" s="70"/>
      <c r="H709" s="70"/>
      <c r="I709" s="70"/>
      <c r="J709" s="71"/>
      <c r="K709" s="70"/>
      <c r="L709" s="70"/>
      <c r="M709" s="70"/>
      <c r="N709" s="70"/>
    </row>
    <row r="710" spans="1:14" x14ac:dyDescent="0.25">
      <c r="A710" s="70"/>
      <c r="B710" s="70"/>
      <c r="C710" s="70"/>
      <c r="D710" s="70"/>
      <c r="E710" s="70"/>
      <c r="F710" s="70"/>
      <c r="G710" s="70"/>
      <c r="H710" s="70"/>
      <c r="I710" s="70"/>
      <c r="J710" s="71"/>
      <c r="K710" s="70"/>
      <c r="L710" s="70"/>
      <c r="M710" s="70"/>
      <c r="N710" s="70"/>
    </row>
    <row r="711" spans="1:14" x14ac:dyDescent="0.25">
      <c r="A711" s="70"/>
      <c r="B711" s="70"/>
      <c r="C711" s="70"/>
      <c r="D711" s="70"/>
      <c r="E711" s="70"/>
      <c r="F711" s="70"/>
      <c r="G711" s="70"/>
      <c r="H711" s="70"/>
      <c r="I711" s="70"/>
      <c r="J711" s="71"/>
      <c r="K711" s="70"/>
      <c r="L711" s="70"/>
      <c r="M711" s="70"/>
      <c r="N711" s="70"/>
    </row>
    <row r="712" spans="1:14" x14ac:dyDescent="0.25">
      <c r="A712" s="70"/>
      <c r="B712" s="70"/>
      <c r="C712" s="70"/>
      <c r="D712" s="70"/>
      <c r="E712" s="70"/>
      <c r="F712" s="70"/>
      <c r="G712" s="70"/>
      <c r="H712" s="70"/>
      <c r="I712" s="70"/>
      <c r="J712" s="71"/>
      <c r="K712" s="70"/>
      <c r="L712" s="70"/>
      <c r="M712" s="70"/>
      <c r="N712" s="70"/>
    </row>
    <row r="713" spans="1:14" x14ac:dyDescent="0.25">
      <c r="A713" s="70"/>
      <c r="B713" s="70"/>
      <c r="C713" s="70"/>
      <c r="D713" s="70"/>
      <c r="E713" s="70"/>
      <c r="F713" s="70"/>
      <c r="G713" s="70"/>
      <c r="H713" s="70"/>
      <c r="I713" s="70"/>
      <c r="J713" s="71"/>
      <c r="K713" s="70"/>
      <c r="L713" s="70"/>
      <c r="M713" s="70"/>
      <c r="N713" s="70"/>
    </row>
    <row r="714" spans="1:14" x14ac:dyDescent="0.25">
      <c r="A714" s="70"/>
      <c r="B714" s="70"/>
      <c r="C714" s="70"/>
      <c r="D714" s="70"/>
      <c r="E714" s="70"/>
      <c r="F714" s="70"/>
      <c r="G714" s="70"/>
      <c r="H714" s="70"/>
      <c r="I714" s="70"/>
      <c r="J714" s="71"/>
      <c r="K714" s="70"/>
      <c r="L714" s="70"/>
      <c r="M714" s="70"/>
      <c r="N714" s="70"/>
    </row>
    <row r="715" spans="1:14" x14ac:dyDescent="0.25">
      <c r="A715" s="70"/>
      <c r="B715" s="70"/>
      <c r="C715" s="70"/>
      <c r="D715" s="70"/>
      <c r="E715" s="70"/>
      <c r="F715" s="70"/>
      <c r="G715" s="70"/>
      <c r="H715" s="70"/>
      <c r="I715" s="70"/>
      <c r="J715" s="71"/>
      <c r="K715" s="70"/>
      <c r="L715" s="70"/>
      <c r="M715" s="70"/>
      <c r="N715" s="70"/>
    </row>
    <row r="716" spans="1:14" x14ac:dyDescent="0.25">
      <c r="A716" s="70"/>
      <c r="B716" s="70"/>
      <c r="C716" s="70"/>
      <c r="D716" s="70"/>
      <c r="E716" s="70"/>
      <c r="F716" s="70"/>
      <c r="G716" s="70"/>
      <c r="H716" s="70"/>
      <c r="I716" s="70"/>
      <c r="J716" s="71"/>
      <c r="K716" s="70"/>
      <c r="L716" s="70"/>
      <c r="M716" s="70"/>
      <c r="N716" s="70"/>
    </row>
    <row r="717" spans="1:14" x14ac:dyDescent="0.25">
      <c r="A717" s="70"/>
      <c r="B717" s="70"/>
      <c r="C717" s="70"/>
      <c r="D717" s="70"/>
      <c r="E717" s="70"/>
      <c r="F717" s="70"/>
      <c r="G717" s="70"/>
      <c r="H717" s="70"/>
      <c r="I717" s="70"/>
      <c r="J717" s="71"/>
      <c r="K717" s="70"/>
      <c r="L717" s="70"/>
      <c r="M717" s="70"/>
      <c r="N717" s="70"/>
    </row>
    <row r="718" spans="1:14" x14ac:dyDescent="0.25">
      <c r="A718" s="70"/>
      <c r="B718" s="70"/>
      <c r="C718" s="70"/>
      <c r="D718" s="70"/>
      <c r="E718" s="70"/>
      <c r="F718" s="70"/>
      <c r="G718" s="70"/>
      <c r="H718" s="70"/>
      <c r="I718" s="70"/>
      <c r="J718" s="71"/>
      <c r="K718" s="70"/>
      <c r="L718" s="70"/>
      <c r="M718" s="70"/>
      <c r="N718" s="70"/>
    </row>
    <row r="719" spans="1:14" x14ac:dyDescent="0.25">
      <c r="A719" s="70"/>
      <c r="B719" s="70"/>
      <c r="C719" s="70"/>
      <c r="D719" s="70"/>
      <c r="E719" s="70"/>
      <c r="F719" s="70"/>
      <c r="G719" s="70"/>
      <c r="H719" s="70"/>
      <c r="I719" s="70"/>
      <c r="J719" s="71"/>
      <c r="K719" s="70"/>
      <c r="L719" s="70"/>
      <c r="M719" s="70"/>
      <c r="N719" s="70"/>
    </row>
    <row r="720" spans="1:14" x14ac:dyDescent="0.25">
      <c r="A720" s="70"/>
      <c r="B720" s="70"/>
      <c r="C720" s="70"/>
      <c r="D720" s="70"/>
      <c r="E720" s="70"/>
      <c r="F720" s="70"/>
      <c r="G720" s="70"/>
      <c r="H720" s="70"/>
      <c r="I720" s="70"/>
      <c r="J720" s="71"/>
      <c r="K720" s="70"/>
      <c r="L720" s="70"/>
      <c r="M720" s="70"/>
      <c r="N720" s="70"/>
    </row>
    <row r="721" spans="1:14" x14ac:dyDescent="0.25">
      <c r="A721" s="70"/>
      <c r="B721" s="70"/>
      <c r="C721" s="70"/>
      <c r="D721" s="70"/>
      <c r="E721" s="70"/>
      <c r="F721" s="70"/>
      <c r="G721" s="70"/>
      <c r="H721" s="70"/>
      <c r="I721" s="70"/>
      <c r="J721" s="71"/>
      <c r="K721" s="70"/>
      <c r="L721" s="70"/>
      <c r="M721" s="70"/>
      <c r="N721" s="70"/>
    </row>
    <row r="722" spans="1:14" x14ac:dyDescent="0.25">
      <c r="A722" s="70"/>
      <c r="B722" s="70"/>
      <c r="C722" s="70"/>
      <c r="D722" s="70"/>
      <c r="E722" s="70"/>
      <c r="F722" s="70"/>
      <c r="G722" s="70"/>
      <c r="H722" s="70"/>
      <c r="I722" s="70"/>
      <c r="J722" s="71"/>
      <c r="K722" s="70"/>
      <c r="L722" s="70"/>
      <c r="M722" s="70"/>
      <c r="N722" s="70"/>
    </row>
    <row r="723" spans="1:14" x14ac:dyDescent="0.25">
      <c r="A723" s="70"/>
      <c r="B723" s="70"/>
      <c r="C723" s="70"/>
      <c r="D723" s="70"/>
      <c r="E723" s="70"/>
      <c r="F723" s="70"/>
      <c r="G723" s="70"/>
      <c r="H723" s="70"/>
      <c r="I723" s="70"/>
      <c r="J723" s="71"/>
      <c r="K723" s="70"/>
      <c r="L723" s="70"/>
      <c r="M723" s="70"/>
      <c r="N723" s="70"/>
    </row>
    <row r="724" spans="1:14" x14ac:dyDescent="0.25">
      <c r="A724" s="70"/>
      <c r="B724" s="70"/>
      <c r="C724" s="70"/>
      <c r="D724" s="70"/>
      <c r="E724" s="70"/>
      <c r="F724" s="70"/>
      <c r="G724" s="70"/>
      <c r="H724" s="70"/>
      <c r="I724" s="70"/>
      <c r="J724" s="71"/>
      <c r="K724" s="70"/>
      <c r="L724" s="70"/>
      <c r="M724" s="70"/>
      <c r="N724" s="70"/>
    </row>
    <row r="725" spans="1:14" x14ac:dyDescent="0.25">
      <c r="A725" s="70"/>
      <c r="B725" s="70"/>
      <c r="C725" s="70"/>
      <c r="D725" s="70"/>
      <c r="E725" s="70"/>
      <c r="F725" s="70"/>
      <c r="G725" s="70"/>
      <c r="H725" s="70"/>
      <c r="I725" s="70"/>
      <c r="J725" s="71"/>
      <c r="K725" s="70"/>
      <c r="L725" s="70"/>
      <c r="M725" s="70"/>
      <c r="N725" s="70"/>
    </row>
    <row r="726" spans="1:14" x14ac:dyDescent="0.25">
      <c r="A726" s="70"/>
      <c r="B726" s="70"/>
      <c r="C726" s="70"/>
      <c r="D726" s="70"/>
      <c r="E726" s="70"/>
      <c r="F726" s="70"/>
      <c r="G726" s="70"/>
      <c r="H726" s="70"/>
      <c r="I726" s="70"/>
      <c r="J726" s="71"/>
      <c r="K726" s="70"/>
      <c r="L726" s="70"/>
      <c r="M726" s="70"/>
      <c r="N726" s="70"/>
    </row>
    <row r="727" spans="1:14" x14ac:dyDescent="0.25">
      <c r="A727" s="70"/>
      <c r="B727" s="70"/>
      <c r="C727" s="70"/>
      <c r="D727" s="70"/>
      <c r="E727" s="70"/>
      <c r="F727" s="70"/>
      <c r="G727" s="70"/>
      <c r="H727" s="70"/>
      <c r="I727" s="70"/>
      <c r="J727" s="71"/>
      <c r="K727" s="70"/>
      <c r="L727" s="70"/>
      <c r="M727" s="70"/>
      <c r="N727" s="70"/>
    </row>
    <row r="728" spans="1:14" x14ac:dyDescent="0.25">
      <c r="A728" s="70"/>
      <c r="B728" s="70"/>
      <c r="C728" s="70"/>
      <c r="D728" s="70"/>
      <c r="E728" s="70"/>
      <c r="F728" s="70"/>
      <c r="G728" s="70"/>
      <c r="H728" s="70"/>
      <c r="I728" s="70"/>
      <c r="J728" s="71"/>
      <c r="K728" s="70"/>
      <c r="L728" s="70"/>
      <c r="M728" s="70"/>
      <c r="N728" s="70"/>
    </row>
    <row r="729" spans="1:14" x14ac:dyDescent="0.25">
      <c r="A729" s="70"/>
      <c r="B729" s="70"/>
      <c r="C729" s="70"/>
      <c r="D729" s="70"/>
      <c r="E729" s="70"/>
      <c r="F729" s="70"/>
      <c r="G729" s="70"/>
      <c r="H729" s="70"/>
      <c r="I729" s="70"/>
      <c r="J729" s="71"/>
      <c r="K729" s="70"/>
      <c r="L729" s="70"/>
      <c r="M729" s="70"/>
      <c r="N729" s="70"/>
    </row>
    <row r="730" spans="1:14" x14ac:dyDescent="0.25">
      <c r="A730" s="70"/>
      <c r="B730" s="70"/>
      <c r="C730" s="70"/>
      <c r="D730" s="70"/>
      <c r="E730" s="70"/>
      <c r="F730" s="70"/>
      <c r="G730" s="70"/>
      <c r="H730" s="70"/>
      <c r="I730" s="70"/>
      <c r="J730" s="71"/>
      <c r="K730" s="70"/>
      <c r="L730" s="70"/>
      <c r="M730" s="70"/>
      <c r="N730" s="70"/>
    </row>
    <row r="731" spans="1:14" x14ac:dyDescent="0.25">
      <c r="A731" s="70"/>
      <c r="B731" s="70"/>
      <c r="C731" s="70"/>
      <c r="D731" s="70"/>
      <c r="E731" s="70"/>
      <c r="F731" s="70"/>
      <c r="G731" s="70"/>
      <c r="H731" s="70"/>
      <c r="I731" s="70"/>
      <c r="J731" s="71"/>
      <c r="K731" s="70"/>
      <c r="L731" s="70"/>
      <c r="M731" s="70"/>
      <c r="N731" s="70"/>
    </row>
    <row r="732" spans="1:14" x14ac:dyDescent="0.25">
      <c r="A732" s="70"/>
      <c r="B732" s="70"/>
      <c r="C732" s="70"/>
      <c r="D732" s="70"/>
      <c r="E732" s="70"/>
      <c r="F732" s="70"/>
      <c r="G732" s="70"/>
      <c r="H732" s="70"/>
      <c r="I732" s="70"/>
      <c r="J732" s="71"/>
      <c r="K732" s="70"/>
      <c r="L732" s="70"/>
      <c r="M732" s="70"/>
      <c r="N732" s="70"/>
    </row>
    <row r="733" spans="1:14" x14ac:dyDescent="0.25">
      <c r="A733" s="70"/>
      <c r="B733" s="70"/>
      <c r="C733" s="70"/>
      <c r="D733" s="70"/>
      <c r="E733" s="70"/>
      <c r="F733" s="70"/>
      <c r="G733" s="70"/>
      <c r="H733" s="70"/>
      <c r="I733" s="70"/>
      <c r="J733" s="71"/>
      <c r="K733" s="70"/>
      <c r="L733" s="70"/>
      <c r="M733" s="70"/>
      <c r="N733" s="70"/>
    </row>
    <row r="734" spans="1:14" x14ac:dyDescent="0.25">
      <c r="A734" s="70"/>
      <c r="B734" s="70"/>
      <c r="C734" s="70"/>
      <c r="D734" s="70"/>
      <c r="E734" s="70"/>
      <c r="F734" s="70"/>
      <c r="G734" s="70"/>
      <c r="H734" s="70"/>
      <c r="I734" s="70"/>
      <c r="J734" s="71"/>
      <c r="K734" s="70"/>
      <c r="L734" s="70"/>
      <c r="M734" s="70"/>
      <c r="N734" s="70"/>
    </row>
    <row r="735" spans="1:14" x14ac:dyDescent="0.25">
      <c r="A735" s="70"/>
      <c r="B735" s="70"/>
      <c r="C735" s="70"/>
      <c r="D735" s="70"/>
      <c r="E735" s="70"/>
      <c r="F735" s="70"/>
      <c r="G735" s="70"/>
      <c r="H735" s="70"/>
      <c r="I735" s="70"/>
      <c r="J735" s="71"/>
      <c r="K735" s="70"/>
      <c r="L735" s="70"/>
      <c r="M735" s="70"/>
      <c r="N735" s="70"/>
    </row>
    <row r="736" spans="1:14" x14ac:dyDescent="0.25">
      <c r="A736" s="70"/>
      <c r="B736" s="70"/>
      <c r="C736" s="70"/>
      <c r="D736" s="70"/>
      <c r="E736" s="70"/>
      <c r="F736" s="70"/>
      <c r="G736" s="70"/>
      <c r="H736" s="70"/>
      <c r="I736" s="70"/>
      <c r="J736" s="71"/>
      <c r="K736" s="70"/>
      <c r="L736" s="70"/>
      <c r="M736" s="70"/>
      <c r="N736" s="70"/>
    </row>
    <row r="737" spans="1:14" x14ac:dyDescent="0.25">
      <c r="A737" s="70"/>
      <c r="B737" s="70"/>
      <c r="C737" s="70"/>
      <c r="D737" s="70"/>
      <c r="E737" s="70"/>
      <c r="F737" s="70"/>
      <c r="G737" s="70"/>
      <c r="H737" s="70"/>
      <c r="I737" s="70"/>
      <c r="J737" s="71"/>
      <c r="K737" s="70"/>
      <c r="L737" s="70"/>
      <c r="M737" s="70"/>
      <c r="N737" s="70"/>
    </row>
    <row r="738" spans="1:14" x14ac:dyDescent="0.25">
      <c r="A738" s="70"/>
      <c r="B738" s="70"/>
      <c r="C738" s="70"/>
      <c r="D738" s="70"/>
      <c r="E738" s="70"/>
      <c r="F738" s="70"/>
      <c r="G738" s="70"/>
      <c r="H738" s="70"/>
      <c r="I738" s="70"/>
      <c r="J738" s="71"/>
      <c r="K738" s="70"/>
      <c r="L738" s="70"/>
      <c r="M738" s="70"/>
      <c r="N738" s="70"/>
    </row>
    <row r="739" spans="1:14" x14ac:dyDescent="0.25">
      <c r="A739" s="70"/>
      <c r="B739" s="70"/>
      <c r="C739" s="70"/>
      <c r="D739" s="70"/>
      <c r="E739" s="70"/>
      <c r="F739" s="70"/>
      <c r="G739" s="70"/>
      <c r="H739" s="70"/>
      <c r="I739" s="70"/>
      <c r="J739" s="71"/>
      <c r="K739" s="70"/>
      <c r="L739" s="70"/>
      <c r="M739" s="70"/>
      <c r="N739" s="70"/>
    </row>
    <row r="740" spans="1:14" x14ac:dyDescent="0.25">
      <c r="A740" s="70"/>
      <c r="B740" s="70"/>
      <c r="C740" s="70"/>
      <c r="D740" s="70"/>
      <c r="E740" s="70"/>
      <c r="F740" s="70"/>
      <c r="G740" s="70"/>
      <c r="H740" s="70"/>
      <c r="I740" s="70"/>
      <c r="J740" s="71"/>
      <c r="K740" s="70"/>
      <c r="L740" s="70"/>
      <c r="M740" s="70"/>
      <c r="N740" s="70"/>
    </row>
    <row r="741" spans="1:14" x14ac:dyDescent="0.25">
      <c r="A741" s="70"/>
      <c r="B741" s="70"/>
      <c r="C741" s="70"/>
      <c r="D741" s="70"/>
      <c r="E741" s="70"/>
      <c r="F741" s="70"/>
      <c r="G741" s="70"/>
      <c r="H741" s="70"/>
      <c r="I741" s="70"/>
      <c r="J741" s="71"/>
      <c r="K741" s="70"/>
      <c r="L741" s="70"/>
      <c r="M741" s="70"/>
      <c r="N741" s="70"/>
    </row>
    <row r="742" spans="1:14" x14ac:dyDescent="0.25">
      <c r="A742" s="70"/>
      <c r="B742" s="70"/>
      <c r="C742" s="70"/>
      <c r="D742" s="70"/>
      <c r="E742" s="70"/>
      <c r="F742" s="70"/>
      <c r="G742" s="70"/>
      <c r="H742" s="70"/>
      <c r="I742" s="70"/>
      <c r="J742" s="71"/>
      <c r="K742" s="70"/>
      <c r="L742" s="70"/>
      <c r="M742" s="70"/>
      <c r="N742" s="70"/>
    </row>
    <row r="743" spans="1:14" x14ac:dyDescent="0.25">
      <c r="A743" s="70"/>
      <c r="B743" s="70"/>
      <c r="C743" s="70"/>
      <c r="D743" s="70"/>
      <c r="E743" s="70"/>
      <c r="F743" s="70"/>
      <c r="G743" s="70"/>
      <c r="H743" s="70"/>
      <c r="I743" s="70"/>
      <c r="J743" s="71"/>
      <c r="K743" s="70"/>
      <c r="L743" s="70"/>
      <c r="M743" s="70"/>
      <c r="N743" s="70"/>
    </row>
    <row r="744" spans="1:14" x14ac:dyDescent="0.25">
      <c r="A744" s="70"/>
      <c r="B744" s="70"/>
      <c r="C744" s="70"/>
      <c r="D744" s="70"/>
      <c r="E744" s="70"/>
      <c r="F744" s="70"/>
      <c r="G744" s="70"/>
      <c r="H744" s="70"/>
      <c r="I744" s="70"/>
      <c r="J744" s="71"/>
      <c r="K744" s="70"/>
      <c r="L744" s="70"/>
      <c r="M744" s="70"/>
      <c r="N744" s="70"/>
    </row>
    <row r="745" spans="1:14" x14ac:dyDescent="0.25">
      <c r="A745" s="70"/>
      <c r="B745" s="70"/>
      <c r="C745" s="70"/>
      <c r="D745" s="70"/>
      <c r="E745" s="70"/>
      <c r="F745" s="70"/>
      <c r="G745" s="70"/>
      <c r="H745" s="70"/>
      <c r="I745" s="70"/>
      <c r="J745" s="71"/>
      <c r="K745" s="70"/>
      <c r="L745" s="70"/>
      <c r="M745" s="70"/>
      <c r="N745" s="70"/>
    </row>
    <row r="746" spans="1:14" x14ac:dyDescent="0.25">
      <c r="A746" s="70"/>
      <c r="B746" s="70"/>
      <c r="C746" s="70"/>
      <c r="D746" s="70"/>
      <c r="E746" s="70"/>
      <c r="F746" s="70"/>
      <c r="G746" s="70"/>
      <c r="H746" s="70"/>
      <c r="I746" s="70"/>
      <c r="J746" s="71"/>
      <c r="K746" s="70"/>
      <c r="L746" s="70"/>
      <c r="M746" s="70"/>
      <c r="N746" s="70"/>
    </row>
    <row r="747" spans="1:14" x14ac:dyDescent="0.25">
      <c r="A747" s="70"/>
      <c r="B747" s="70"/>
      <c r="C747" s="70"/>
      <c r="D747" s="70"/>
      <c r="E747" s="70"/>
      <c r="F747" s="70"/>
      <c r="G747" s="70"/>
      <c r="H747" s="70"/>
      <c r="I747" s="70"/>
      <c r="J747" s="71"/>
      <c r="K747" s="70"/>
      <c r="L747" s="70"/>
      <c r="M747" s="70"/>
      <c r="N747" s="70"/>
    </row>
    <row r="748" spans="1:14" x14ac:dyDescent="0.25">
      <c r="A748" s="70"/>
      <c r="B748" s="70"/>
      <c r="C748" s="70"/>
      <c r="D748" s="70"/>
      <c r="E748" s="70"/>
      <c r="F748" s="70"/>
      <c r="G748" s="70"/>
      <c r="H748" s="70"/>
      <c r="I748" s="70"/>
      <c r="J748" s="71"/>
      <c r="K748" s="70"/>
      <c r="L748" s="70"/>
      <c r="M748" s="70"/>
      <c r="N748" s="70"/>
    </row>
    <row r="749" spans="1:14" x14ac:dyDescent="0.25">
      <c r="A749" s="70"/>
      <c r="B749" s="70"/>
      <c r="C749" s="70"/>
      <c r="D749" s="70"/>
      <c r="E749" s="70"/>
      <c r="F749" s="70"/>
      <c r="G749" s="70"/>
      <c r="H749" s="70"/>
      <c r="I749" s="70"/>
      <c r="J749" s="71"/>
      <c r="K749" s="70"/>
      <c r="L749" s="70"/>
      <c r="M749" s="70"/>
      <c r="N749" s="70"/>
    </row>
    <row r="750" spans="1:14" x14ac:dyDescent="0.25">
      <c r="A750" s="70"/>
      <c r="B750" s="70"/>
      <c r="C750" s="70"/>
      <c r="D750" s="70"/>
      <c r="E750" s="70"/>
      <c r="F750" s="70"/>
      <c r="G750" s="70"/>
      <c r="H750" s="70"/>
      <c r="I750" s="70"/>
      <c r="J750" s="71"/>
      <c r="K750" s="70"/>
      <c r="L750" s="70"/>
      <c r="M750" s="70"/>
      <c r="N750" s="70"/>
    </row>
    <row r="751" spans="1:14" x14ac:dyDescent="0.25">
      <c r="A751" s="70"/>
      <c r="B751" s="70"/>
      <c r="C751" s="70"/>
      <c r="D751" s="70"/>
      <c r="E751" s="70"/>
      <c r="F751" s="70"/>
      <c r="G751" s="70"/>
      <c r="H751" s="70"/>
      <c r="I751" s="70"/>
      <c r="J751" s="71"/>
      <c r="K751" s="70"/>
      <c r="L751" s="70"/>
      <c r="M751" s="70"/>
      <c r="N751" s="70"/>
    </row>
    <row r="752" spans="1:14" x14ac:dyDescent="0.25">
      <c r="A752" s="70"/>
      <c r="B752" s="70"/>
      <c r="C752" s="70"/>
      <c r="D752" s="70"/>
      <c r="E752" s="70"/>
      <c r="F752" s="70"/>
      <c r="G752" s="70"/>
      <c r="H752" s="70"/>
      <c r="I752" s="70"/>
      <c r="J752" s="71"/>
      <c r="K752" s="70"/>
      <c r="L752" s="70"/>
      <c r="M752" s="70"/>
      <c r="N752" s="70"/>
    </row>
    <row r="753" spans="1:14" x14ac:dyDescent="0.25">
      <c r="A753" s="70"/>
      <c r="B753" s="70"/>
      <c r="C753" s="70"/>
      <c r="D753" s="70"/>
      <c r="E753" s="70"/>
      <c r="F753" s="70"/>
      <c r="G753" s="70"/>
      <c r="H753" s="70"/>
      <c r="I753" s="70"/>
      <c r="J753" s="71"/>
      <c r="K753" s="70"/>
      <c r="L753" s="70"/>
      <c r="M753" s="70"/>
      <c r="N753" s="70"/>
    </row>
    <row r="754" spans="1:14" x14ac:dyDescent="0.25">
      <c r="A754" s="70"/>
      <c r="B754" s="70"/>
      <c r="C754" s="70"/>
      <c r="D754" s="70"/>
      <c r="E754" s="70"/>
      <c r="F754" s="70"/>
      <c r="G754" s="70"/>
      <c r="H754" s="70"/>
      <c r="I754" s="70"/>
      <c r="J754" s="71"/>
      <c r="K754" s="70"/>
      <c r="L754" s="70"/>
      <c r="M754" s="70"/>
      <c r="N754" s="70"/>
    </row>
    <row r="755" spans="1:14" x14ac:dyDescent="0.25">
      <c r="A755" s="70"/>
      <c r="B755" s="70"/>
      <c r="C755" s="70"/>
      <c r="D755" s="70"/>
      <c r="E755" s="70"/>
      <c r="F755" s="70"/>
      <c r="G755" s="70"/>
      <c r="H755" s="70"/>
      <c r="I755" s="70"/>
      <c r="J755" s="71"/>
      <c r="K755" s="70"/>
      <c r="L755" s="70"/>
      <c r="M755" s="70"/>
      <c r="N755" s="70"/>
    </row>
    <row r="756" spans="1:14" x14ac:dyDescent="0.25">
      <c r="A756" s="70"/>
      <c r="B756" s="70"/>
      <c r="C756" s="70"/>
      <c r="D756" s="70"/>
      <c r="E756" s="70"/>
      <c r="F756" s="70"/>
      <c r="G756" s="70"/>
      <c r="H756" s="70"/>
      <c r="I756" s="70"/>
      <c r="J756" s="71"/>
      <c r="K756" s="70"/>
      <c r="L756" s="70"/>
      <c r="M756" s="70"/>
      <c r="N756" s="70"/>
    </row>
    <row r="757" spans="1:14" x14ac:dyDescent="0.25">
      <c r="A757" s="70"/>
      <c r="B757" s="70"/>
      <c r="C757" s="70"/>
      <c r="D757" s="70"/>
      <c r="E757" s="70"/>
      <c r="F757" s="70"/>
      <c r="G757" s="70"/>
      <c r="H757" s="70"/>
      <c r="I757" s="70"/>
      <c r="J757" s="71"/>
      <c r="K757" s="70"/>
      <c r="L757" s="70"/>
      <c r="M757" s="70"/>
      <c r="N757" s="70"/>
    </row>
    <row r="758" spans="1:14" x14ac:dyDescent="0.25">
      <c r="A758" s="70"/>
      <c r="B758" s="70"/>
      <c r="C758" s="70"/>
      <c r="D758" s="70"/>
      <c r="E758" s="70"/>
      <c r="F758" s="70"/>
      <c r="G758" s="70"/>
      <c r="H758" s="70"/>
      <c r="I758" s="70"/>
      <c r="J758" s="71"/>
      <c r="K758" s="70"/>
      <c r="L758" s="70"/>
      <c r="M758" s="70"/>
      <c r="N758" s="70"/>
    </row>
    <row r="759" spans="1:14" x14ac:dyDescent="0.25">
      <c r="A759" s="70"/>
      <c r="B759" s="70"/>
      <c r="C759" s="70"/>
      <c r="D759" s="70"/>
      <c r="E759" s="70"/>
      <c r="F759" s="70"/>
      <c r="G759" s="70"/>
      <c r="H759" s="70"/>
      <c r="I759" s="70"/>
      <c r="J759" s="71"/>
      <c r="K759" s="70"/>
      <c r="L759" s="70"/>
      <c r="M759" s="70"/>
      <c r="N759" s="70"/>
    </row>
    <row r="760" spans="1:14" x14ac:dyDescent="0.25">
      <c r="A760" s="70"/>
      <c r="B760" s="70"/>
      <c r="C760" s="70"/>
      <c r="D760" s="70"/>
      <c r="E760" s="70"/>
      <c r="F760" s="70"/>
      <c r="G760" s="70"/>
      <c r="H760" s="70"/>
      <c r="I760" s="70"/>
      <c r="J760" s="71"/>
      <c r="K760" s="70"/>
      <c r="L760" s="70"/>
      <c r="M760" s="70"/>
      <c r="N760" s="70"/>
    </row>
    <row r="761" spans="1:14" x14ac:dyDescent="0.25">
      <c r="A761" s="70"/>
      <c r="B761" s="70"/>
      <c r="C761" s="70"/>
      <c r="D761" s="70"/>
      <c r="E761" s="70"/>
      <c r="F761" s="70"/>
      <c r="G761" s="70"/>
      <c r="H761" s="70"/>
      <c r="I761" s="70"/>
      <c r="J761" s="71"/>
      <c r="K761" s="70"/>
      <c r="L761" s="70"/>
      <c r="M761" s="70"/>
      <c r="N761" s="70"/>
    </row>
    <row r="762" spans="1:14" x14ac:dyDescent="0.25">
      <c r="A762" s="70"/>
      <c r="B762" s="70"/>
      <c r="C762" s="70"/>
      <c r="D762" s="70"/>
      <c r="E762" s="70"/>
      <c r="F762" s="70"/>
      <c r="G762" s="70"/>
      <c r="H762" s="70"/>
      <c r="I762" s="70"/>
      <c r="J762" s="71"/>
      <c r="K762" s="70"/>
      <c r="L762" s="70"/>
      <c r="M762" s="70"/>
      <c r="N762" s="70"/>
    </row>
    <row r="763" spans="1:14" x14ac:dyDescent="0.25">
      <c r="A763" s="70"/>
      <c r="B763" s="70"/>
      <c r="C763" s="70"/>
      <c r="D763" s="70"/>
      <c r="E763" s="70"/>
      <c r="F763" s="70"/>
      <c r="G763" s="70"/>
      <c r="H763" s="70"/>
      <c r="I763" s="70"/>
      <c r="J763" s="71"/>
      <c r="K763" s="70"/>
      <c r="L763" s="70"/>
      <c r="M763" s="70"/>
      <c r="N763" s="70"/>
    </row>
    <row r="764" spans="1:14" x14ac:dyDescent="0.25">
      <c r="A764" s="70"/>
      <c r="B764" s="70"/>
      <c r="C764" s="70"/>
      <c r="D764" s="70"/>
      <c r="E764" s="70"/>
      <c r="F764" s="70"/>
      <c r="G764" s="70"/>
      <c r="H764" s="70"/>
      <c r="I764" s="70"/>
      <c r="J764" s="71"/>
      <c r="K764" s="70"/>
      <c r="L764" s="70"/>
      <c r="M764" s="70"/>
      <c r="N764" s="70"/>
    </row>
    <row r="765" spans="1:14" x14ac:dyDescent="0.25">
      <c r="A765" s="70"/>
      <c r="B765" s="70"/>
      <c r="C765" s="70"/>
      <c r="D765" s="70"/>
      <c r="E765" s="70"/>
      <c r="F765" s="70"/>
      <c r="G765" s="70"/>
      <c r="H765" s="70"/>
      <c r="I765" s="70"/>
      <c r="J765" s="71"/>
      <c r="K765" s="70"/>
      <c r="L765" s="70"/>
      <c r="M765" s="70"/>
      <c r="N765" s="70"/>
    </row>
    <row r="766" spans="1:14" x14ac:dyDescent="0.25">
      <c r="A766" s="70"/>
      <c r="B766" s="70"/>
      <c r="C766" s="70"/>
      <c r="D766" s="70"/>
      <c r="E766" s="70"/>
      <c r="F766" s="70"/>
      <c r="G766" s="70"/>
      <c r="H766" s="70"/>
      <c r="I766" s="70"/>
      <c r="J766" s="71"/>
      <c r="K766" s="70"/>
      <c r="L766" s="70"/>
      <c r="M766" s="70"/>
      <c r="N766" s="70"/>
    </row>
    <row r="767" spans="1:14" x14ac:dyDescent="0.25">
      <c r="A767" s="70"/>
      <c r="B767" s="70"/>
      <c r="C767" s="70"/>
      <c r="D767" s="70"/>
      <c r="E767" s="70"/>
      <c r="F767" s="70"/>
      <c r="G767" s="70"/>
      <c r="H767" s="70"/>
      <c r="I767" s="70"/>
      <c r="J767" s="71"/>
      <c r="K767" s="70"/>
      <c r="L767" s="70"/>
      <c r="M767" s="70"/>
      <c r="N767" s="70"/>
    </row>
    <row r="768" spans="1:14" x14ac:dyDescent="0.25">
      <c r="A768" s="70"/>
      <c r="B768" s="70"/>
      <c r="C768" s="70"/>
      <c r="D768" s="70"/>
      <c r="E768" s="70"/>
      <c r="F768" s="70"/>
      <c r="G768" s="70"/>
      <c r="H768" s="70"/>
      <c r="I768" s="70"/>
      <c r="J768" s="71"/>
      <c r="K768" s="70"/>
      <c r="L768" s="70"/>
      <c r="M768" s="70"/>
      <c r="N768" s="70"/>
    </row>
    <row r="769" spans="1:14" x14ac:dyDescent="0.25">
      <c r="A769" s="70"/>
      <c r="B769" s="70"/>
      <c r="C769" s="70"/>
      <c r="D769" s="70"/>
      <c r="E769" s="70"/>
      <c r="F769" s="70"/>
      <c r="G769" s="70"/>
      <c r="H769" s="70"/>
      <c r="I769" s="70"/>
      <c r="J769" s="71"/>
      <c r="K769" s="70"/>
      <c r="L769" s="70"/>
      <c r="M769" s="70"/>
      <c r="N769" s="70"/>
    </row>
    <row r="770" spans="1:14" x14ac:dyDescent="0.25">
      <c r="A770" s="70"/>
      <c r="B770" s="70"/>
      <c r="C770" s="70"/>
      <c r="D770" s="70"/>
      <c r="E770" s="70"/>
      <c r="F770" s="70"/>
      <c r="G770" s="70"/>
      <c r="H770" s="70"/>
      <c r="I770" s="70"/>
      <c r="J770" s="71"/>
      <c r="K770" s="70"/>
      <c r="L770" s="70"/>
      <c r="M770" s="70"/>
      <c r="N770" s="70"/>
    </row>
    <row r="771" spans="1:14" x14ac:dyDescent="0.25">
      <c r="A771" s="70"/>
      <c r="B771" s="70"/>
      <c r="C771" s="70"/>
      <c r="D771" s="70"/>
      <c r="E771" s="70"/>
      <c r="F771" s="70"/>
      <c r="G771" s="70"/>
      <c r="H771" s="70"/>
      <c r="I771" s="70"/>
      <c r="J771" s="71"/>
      <c r="K771" s="70"/>
      <c r="L771" s="70"/>
      <c r="M771" s="70"/>
      <c r="N771" s="70"/>
    </row>
    <row r="772" spans="1:14" x14ac:dyDescent="0.25">
      <c r="A772" s="70"/>
      <c r="B772" s="70"/>
      <c r="C772" s="70"/>
      <c r="D772" s="70"/>
      <c r="E772" s="70"/>
      <c r="F772" s="70"/>
      <c r="G772" s="70"/>
      <c r="H772" s="70"/>
      <c r="I772" s="70"/>
      <c r="J772" s="71"/>
      <c r="K772" s="70"/>
      <c r="L772" s="70"/>
      <c r="M772" s="70"/>
      <c r="N772" s="70"/>
    </row>
    <row r="773" spans="1:14" x14ac:dyDescent="0.25">
      <c r="A773" s="70"/>
      <c r="B773" s="70"/>
      <c r="C773" s="70"/>
      <c r="D773" s="70"/>
      <c r="E773" s="70"/>
      <c r="F773" s="70"/>
      <c r="G773" s="70"/>
      <c r="H773" s="70"/>
      <c r="I773" s="70"/>
      <c r="J773" s="71"/>
      <c r="K773" s="70"/>
      <c r="L773" s="70"/>
      <c r="M773" s="70"/>
      <c r="N773" s="70"/>
    </row>
    <row r="774" spans="1:14" x14ac:dyDescent="0.25">
      <c r="A774" s="70"/>
      <c r="B774" s="70"/>
      <c r="C774" s="70"/>
      <c r="D774" s="70"/>
      <c r="E774" s="70"/>
      <c r="F774" s="70"/>
      <c r="G774" s="70"/>
      <c r="H774" s="70"/>
      <c r="I774" s="70"/>
      <c r="J774" s="71"/>
      <c r="K774" s="70"/>
      <c r="L774" s="70"/>
      <c r="M774" s="70"/>
      <c r="N774" s="70"/>
    </row>
    <row r="775" spans="1:14" x14ac:dyDescent="0.25">
      <c r="A775" s="70"/>
      <c r="B775" s="70"/>
      <c r="C775" s="70"/>
      <c r="D775" s="70"/>
      <c r="E775" s="70"/>
      <c r="F775" s="70"/>
      <c r="G775" s="70"/>
      <c r="H775" s="70"/>
      <c r="I775" s="70"/>
      <c r="J775" s="71"/>
      <c r="K775" s="70"/>
      <c r="L775" s="70"/>
      <c r="M775" s="70"/>
      <c r="N775" s="70"/>
    </row>
    <row r="776" spans="1:14" x14ac:dyDescent="0.25">
      <c r="A776" s="70"/>
      <c r="B776" s="70"/>
      <c r="C776" s="70"/>
      <c r="D776" s="70"/>
      <c r="E776" s="70"/>
      <c r="F776" s="70"/>
      <c r="G776" s="70"/>
      <c r="H776" s="70"/>
      <c r="I776" s="70"/>
      <c r="J776" s="71"/>
      <c r="K776" s="70"/>
      <c r="L776" s="70"/>
      <c r="M776" s="70"/>
      <c r="N776" s="70"/>
    </row>
    <row r="777" spans="1:14" x14ac:dyDescent="0.25">
      <c r="A777" s="70"/>
      <c r="B777" s="70"/>
      <c r="C777" s="70"/>
      <c r="D777" s="70"/>
      <c r="E777" s="70"/>
      <c r="F777" s="70"/>
      <c r="G777" s="70"/>
      <c r="H777" s="70"/>
      <c r="I777" s="70"/>
      <c r="J777" s="71"/>
      <c r="K777" s="70"/>
      <c r="L777" s="70"/>
      <c r="M777" s="70"/>
      <c r="N777" s="70"/>
    </row>
    <row r="778" spans="1:14" x14ac:dyDescent="0.25">
      <c r="A778" s="70"/>
      <c r="B778" s="70"/>
      <c r="C778" s="70"/>
      <c r="D778" s="70"/>
      <c r="E778" s="70"/>
      <c r="F778" s="70"/>
      <c r="G778" s="70"/>
      <c r="H778" s="70"/>
      <c r="I778" s="70"/>
      <c r="J778" s="71"/>
      <c r="K778" s="70"/>
      <c r="L778" s="70"/>
      <c r="M778" s="70"/>
      <c r="N778" s="70"/>
    </row>
    <row r="779" spans="1:14" x14ac:dyDescent="0.25">
      <c r="A779" s="70"/>
      <c r="B779" s="70"/>
      <c r="C779" s="70"/>
      <c r="D779" s="70"/>
      <c r="E779" s="70"/>
      <c r="F779" s="70"/>
      <c r="G779" s="70"/>
      <c r="H779" s="70"/>
      <c r="I779" s="70"/>
      <c r="J779" s="71"/>
      <c r="K779" s="70"/>
      <c r="L779" s="70"/>
      <c r="M779" s="70"/>
      <c r="N779" s="70"/>
    </row>
    <row r="780" spans="1:14" x14ac:dyDescent="0.25">
      <c r="A780" s="70"/>
      <c r="B780" s="70"/>
      <c r="C780" s="70"/>
      <c r="D780" s="70"/>
      <c r="E780" s="70"/>
      <c r="F780" s="70"/>
      <c r="G780" s="70"/>
      <c r="H780" s="70"/>
      <c r="I780" s="70"/>
      <c r="J780" s="71"/>
      <c r="K780" s="70"/>
      <c r="L780" s="70"/>
      <c r="M780" s="70"/>
      <c r="N780" s="70"/>
    </row>
    <row r="781" spans="1:14" x14ac:dyDescent="0.25">
      <c r="A781" s="70"/>
      <c r="B781" s="70"/>
      <c r="C781" s="70"/>
      <c r="D781" s="70"/>
      <c r="E781" s="70"/>
      <c r="F781" s="70"/>
      <c r="G781" s="70"/>
      <c r="H781" s="70"/>
      <c r="I781" s="70"/>
      <c r="J781" s="71"/>
      <c r="K781" s="70"/>
      <c r="L781" s="70"/>
      <c r="M781" s="70"/>
      <c r="N781" s="70"/>
    </row>
    <row r="782" spans="1:14" x14ac:dyDescent="0.25">
      <c r="A782" s="70"/>
      <c r="B782" s="70"/>
      <c r="C782" s="70"/>
      <c r="D782" s="70"/>
      <c r="E782" s="70"/>
      <c r="F782" s="70"/>
      <c r="G782" s="70"/>
      <c r="H782" s="70"/>
      <c r="I782" s="70"/>
      <c r="J782" s="71"/>
      <c r="K782" s="70"/>
      <c r="L782" s="70"/>
      <c r="M782" s="70"/>
      <c r="N782" s="70"/>
    </row>
    <row r="783" spans="1:14" x14ac:dyDescent="0.25">
      <c r="A783" s="70"/>
      <c r="B783" s="70"/>
      <c r="C783" s="70"/>
      <c r="D783" s="70"/>
      <c r="E783" s="70"/>
      <c r="F783" s="70"/>
      <c r="G783" s="70"/>
      <c r="H783" s="70"/>
      <c r="I783" s="70"/>
      <c r="J783" s="71"/>
      <c r="K783" s="70"/>
      <c r="L783" s="70"/>
      <c r="M783" s="70"/>
      <c r="N783" s="70"/>
    </row>
    <row r="784" spans="1:14" x14ac:dyDescent="0.25">
      <c r="A784" s="70"/>
      <c r="B784" s="70"/>
      <c r="C784" s="70"/>
      <c r="D784" s="70"/>
      <c r="E784" s="70"/>
      <c r="F784" s="70"/>
      <c r="G784" s="70"/>
      <c r="H784" s="70"/>
      <c r="I784" s="70"/>
      <c r="J784" s="71"/>
      <c r="K784" s="70"/>
      <c r="L784" s="70"/>
      <c r="M784" s="70"/>
      <c r="N784" s="70"/>
    </row>
    <row r="785" spans="1:14" x14ac:dyDescent="0.25">
      <c r="A785" s="70"/>
      <c r="B785" s="70"/>
      <c r="C785" s="70"/>
      <c r="D785" s="70"/>
      <c r="E785" s="70"/>
      <c r="F785" s="70"/>
      <c r="G785" s="70"/>
      <c r="H785" s="70"/>
      <c r="I785" s="70"/>
      <c r="J785" s="71"/>
      <c r="K785" s="70"/>
      <c r="L785" s="70"/>
      <c r="M785" s="70"/>
      <c r="N785" s="70"/>
    </row>
    <row r="786" spans="1:14" x14ac:dyDescent="0.25">
      <c r="A786" s="70"/>
      <c r="B786" s="70"/>
      <c r="C786" s="70"/>
      <c r="D786" s="70"/>
      <c r="E786" s="70"/>
      <c r="F786" s="70"/>
      <c r="G786" s="70"/>
      <c r="H786" s="70"/>
      <c r="I786" s="70"/>
      <c r="J786" s="71"/>
      <c r="K786" s="70"/>
      <c r="L786" s="70"/>
      <c r="M786" s="70"/>
      <c r="N786" s="70"/>
    </row>
    <row r="787" spans="1:14" x14ac:dyDescent="0.25">
      <c r="A787" s="70"/>
      <c r="B787" s="70"/>
      <c r="C787" s="70"/>
      <c r="D787" s="70"/>
      <c r="E787" s="70"/>
      <c r="F787" s="70"/>
      <c r="G787" s="70"/>
      <c r="H787" s="70"/>
      <c r="I787" s="70"/>
      <c r="J787" s="71"/>
      <c r="K787" s="70"/>
      <c r="L787" s="70"/>
      <c r="M787" s="70"/>
      <c r="N787" s="70"/>
    </row>
    <row r="788" spans="1:14" x14ac:dyDescent="0.25">
      <c r="A788" s="70"/>
      <c r="B788" s="70"/>
      <c r="C788" s="70"/>
      <c r="D788" s="70"/>
      <c r="E788" s="70"/>
      <c r="F788" s="70"/>
      <c r="G788" s="70"/>
      <c r="H788" s="70"/>
      <c r="I788" s="70"/>
      <c r="J788" s="71"/>
      <c r="K788" s="70"/>
      <c r="L788" s="70"/>
      <c r="M788" s="70"/>
      <c r="N788" s="70"/>
    </row>
    <row r="789" spans="1:14" x14ac:dyDescent="0.25">
      <c r="A789" s="70"/>
      <c r="B789" s="70"/>
      <c r="C789" s="70"/>
      <c r="D789" s="70"/>
      <c r="E789" s="70"/>
      <c r="F789" s="70"/>
      <c r="G789" s="70"/>
      <c r="H789" s="70"/>
      <c r="I789" s="70"/>
      <c r="J789" s="71"/>
      <c r="K789" s="70"/>
      <c r="L789" s="70"/>
      <c r="M789" s="70"/>
      <c r="N789" s="70"/>
    </row>
    <row r="790" spans="1:14" x14ac:dyDescent="0.25">
      <c r="A790" s="70"/>
      <c r="B790" s="70"/>
      <c r="C790" s="70"/>
      <c r="D790" s="70"/>
      <c r="E790" s="70"/>
      <c r="F790" s="70"/>
      <c r="G790" s="70"/>
      <c r="H790" s="70"/>
      <c r="I790" s="70"/>
      <c r="J790" s="71"/>
      <c r="K790" s="70"/>
      <c r="L790" s="70"/>
      <c r="M790" s="70"/>
      <c r="N790" s="70"/>
    </row>
    <row r="791" spans="1:14" x14ac:dyDescent="0.25">
      <c r="A791" s="70"/>
      <c r="B791" s="70"/>
      <c r="C791" s="70"/>
      <c r="D791" s="70"/>
      <c r="E791" s="70"/>
      <c r="F791" s="70"/>
      <c r="G791" s="70"/>
      <c r="H791" s="70"/>
      <c r="I791" s="70"/>
      <c r="J791" s="71"/>
      <c r="K791" s="70"/>
      <c r="L791" s="70"/>
      <c r="M791" s="70"/>
      <c r="N791" s="70"/>
    </row>
    <row r="792" spans="1:14" x14ac:dyDescent="0.25">
      <c r="A792" s="70"/>
      <c r="B792" s="70"/>
      <c r="C792" s="70"/>
      <c r="D792" s="70"/>
      <c r="E792" s="70"/>
      <c r="F792" s="70"/>
      <c r="G792" s="70"/>
      <c r="H792" s="70"/>
      <c r="I792" s="70"/>
      <c r="J792" s="71"/>
      <c r="K792" s="70"/>
      <c r="L792" s="70"/>
      <c r="M792" s="70"/>
      <c r="N792" s="70"/>
    </row>
    <row r="793" spans="1:14" x14ac:dyDescent="0.25">
      <c r="A793" s="70"/>
      <c r="B793" s="70"/>
      <c r="C793" s="70"/>
      <c r="D793" s="70"/>
      <c r="E793" s="70"/>
      <c r="F793" s="70"/>
      <c r="G793" s="70"/>
      <c r="H793" s="70"/>
      <c r="I793" s="70"/>
      <c r="J793" s="71"/>
      <c r="K793" s="70"/>
      <c r="L793" s="70"/>
      <c r="M793" s="70"/>
      <c r="N793" s="70"/>
    </row>
    <row r="794" spans="1:14" x14ac:dyDescent="0.25">
      <c r="A794" s="70"/>
      <c r="B794" s="70"/>
      <c r="C794" s="70"/>
      <c r="D794" s="70"/>
      <c r="E794" s="70"/>
      <c r="F794" s="70"/>
      <c r="G794" s="70"/>
      <c r="H794" s="70"/>
      <c r="I794" s="70"/>
      <c r="J794" s="71"/>
      <c r="K794" s="70"/>
      <c r="L794" s="70"/>
      <c r="M794" s="70"/>
      <c r="N794" s="70"/>
    </row>
    <row r="795" spans="1:14" x14ac:dyDescent="0.25">
      <c r="A795" s="70"/>
      <c r="B795" s="70"/>
      <c r="C795" s="70"/>
      <c r="D795" s="70"/>
      <c r="E795" s="70"/>
      <c r="F795" s="70"/>
      <c r="G795" s="70"/>
      <c r="H795" s="70"/>
      <c r="I795" s="70"/>
      <c r="J795" s="71"/>
      <c r="K795" s="70"/>
      <c r="L795" s="70"/>
      <c r="M795" s="70"/>
      <c r="N795" s="70"/>
    </row>
    <row r="796" spans="1:14" x14ac:dyDescent="0.25">
      <c r="A796" s="70"/>
      <c r="B796" s="70"/>
      <c r="C796" s="70"/>
      <c r="D796" s="70"/>
      <c r="E796" s="70"/>
      <c r="F796" s="70"/>
      <c r="G796" s="70"/>
      <c r="H796" s="70"/>
      <c r="I796" s="70"/>
      <c r="J796" s="71"/>
      <c r="K796" s="70"/>
      <c r="L796" s="70"/>
      <c r="M796" s="70"/>
      <c r="N796" s="70"/>
    </row>
    <row r="797" spans="1:14" x14ac:dyDescent="0.25">
      <c r="A797" s="70"/>
      <c r="B797" s="70"/>
      <c r="C797" s="70"/>
      <c r="D797" s="70"/>
      <c r="E797" s="70"/>
      <c r="F797" s="70"/>
      <c r="G797" s="70"/>
      <c r="H797" s="70"/>
      <c r="I797" s="70"/>
      <c r="J797" s="71"/>
      <c r="K797" s="70"/>
      <c r="L797" s="70"/>
      <c r="M797" s="70"/>
      <c r="N797" s="70"/>
    </row>
    <row r="798" spans="1:14" x14ac:dyDescent="0.25">
      <c r="A798" s="70"/>
      <c r="B798" s="70"/>
      <c r="C798" s="70"/>
      <c r="D798" s="70"/>
      <c r="E798" s="70"/>
      <c r="F798" s="70"/>
      <c r="G798" s="70"/>
      <c r="H798" s="70"/>
      <c r="I798" s="70"/>
      <c r="J798" s="71"/>
      <c r="K798" s="70"/>
      <c r="L798" s="70"/>
      <c r="M798" s="70"/>
      <c r="N798" s="70"/>
    </row>
    <row r="799" spans="1:14" x14ac:dyDescent="0.25">
      <c r="A799" s="70"/>
      <c r="B799" s="70"/>
      <c r="C799" s="70"/>
      <c r="D799" s="70"/>
      <c r="E799" s="70"/>
      <c r="F799" s="70"/>
      <c r="G799" s="70"/>
      <c r="H799" s="70"/>
      <c r="I799" s="70"/>
      <c r="J799" s="71"/>
      <c r="K799" s="70"/>
      <c r="L799" s="70"/>
      <c r="M799" s="70"/>
      <c r="N799" s="70"/>
    </row>
    <row r="800" spans="1:14" x14ac:dyDescent="0.25">
      <c r="A800" s="70"/>
      <c r="B800" s="70"/>
      <c r="C800" s="70"/>
      <c r="D800" s="70"/>
      <c r="E800" s="70"/>
      <c r="F800" s="70"/>
      <c r="G800" s="70"/>
      <c r="H800" s="70"/>
      <c r="I800" s="70"/>
      <c r="J800" s="71"/>
      <c r="K800" s="70"/>
      <c r="L800" s="70"/>
      <c r="M800" s="70"/>
      <c r="N800" s="70"/>
    </row>
    <row r="801" spans="1:14" x14ac:dyDescent="0.25">
      <c r="A801" s="70"/>
      <c r="B801" s="70"/>
      <c r="C801" s="70"/>
      <c r="D801" s="70"/>
      <c r="E801" s="70"/>
      <c r="F801" s="70"/>
      <c r="G801" s="70"/>
      <c r="H801" s="70"/>
      <c r="I801" s="70"/>
      <c r="J801" s="71"/>
      <c r="K801" s="70"/>
      <c r="L801" s="70"/>
      <c r="M801" s="70"/>
      <c r="N801" s="70"/>
    </row>
    <row r="802" spans="1:14" x14ac:dyDescent="0.25">
      <c r="A802" s="70"/>
      <c r="B802" s="70"/>
      <c r="C802" s="70"/>
      <c r="D802" s="70"/>
      <c r="E802" s="70"/>
      <c r="F802" s="70"/>
      <c r="G802" s="70"/>
      <c r="H802" s="70"/>
      <c r="I802" s="70"/>
      <c r="J802" s="71"/>
      <c r="K802" s="70"/>
      <c r="L802" s="70"/>
      <c r="M802" s="70"/>
      <c r="N802" s="70"/>
    </row>
    <row r="803" spans="1:14" x14ac:dyDescent="0.25">
      <c r="A803" s="70"/>
      <c r="B803" s="70"/>
      <c r="C803" s="70"/>
      <c r="D803" s="70"/>
      <c r="E803" s="70"/>
      <c r="F803" s="70"/>
      <c r="G803" s="70"/>
      <c r="H803" s="70"/>
      <c r="I803" s="70"/>
      <c r="J803" s="71"/>
      <c r="K803" s="70"/>
      <c r="L803" s="70"/>
      <c r="M803" s="70"/>
      <c r="N803" s="70"/>
    </row>
    <row r="804" spans="1:14" x14ac:dyDescent="0.25">
      <c r="A804" s="70"/>
      <c r="B804" s="70"/>
      <c r="C804" s="70"/>
      <c r="D804" s="70"/>
      <c r="E804" s="70"/>
      <c r="F804" s="70"/>
      <c r="G804" s="70"/>
      <c r="H804" s="70"/>
      <c r="I804" s="70"/>
      <c r="J804" s="71"/>
      <c r="K804" s="70"/>
      <c r="L804" s="70"/>
      <c r="M804" s="70"/>
      <c r="N804" s="70"/>
    </row>
    <row r="805" spans="1:14" x14ac:dyDescent="0.25">
      <c r="A805" s="70"/>
      <c r="B805" s="70"/>
      <c r="C805" s="70"/>
      <c r="D805" s="70"/>
      <c r="E805" s="70"/>
      <c r="F805" s="70"/>
      <c r="G805" s="70"/>
      <c r="H805" s="70"/>
      <c r="I805" s="70"/>
      <c r="J805" s="71"/>
      <c r="K805" s="70"/>
      <c r="L805" s="70"/>
      <c r="M805" s="70"/>
      <c r="N805" s="70"/>
    </row>
    <row r="806" spans="1:14" x14ac:dyDescent="0.25">
      <c r="A806" s="70"/>
      <c r="B806" s="70"/>
      <c r="C806" s="70"/>
      <c r="D806" s="70"/>
      <c r="E806" s="70"/>
      <c r="F806" s="70"/>
      <c r="G806" s="70"/>
      <c r="H806" s="70"/>
      <c r="I806" s="70"/>
      <c r="J806" s="71"/>
      <c r="K806" s="70"/>
      <c r="L806" s="70"/>
      <c r="M806" s="70"/>
      <c r="N806" s="70"/>
    </row>
    <row r="807" spans="1:14" x14ac:dyDescent="0.25">
      <c r="A807" s="70"/>
      <c r="B807" s="70"/>
      <c r="C807" s="70"/>
      <c r="D807" s="70"/>
      <c r="E807" s="70"/>
      <c r="F807" s="70"/>
      <c r="G807" s="70"/>
      <c r="H807" s="70"/>
      <c r="I807" s="70"/>
      <c r="J807" s="71"/>
      <c r="K807" s="70"/>
      <c r="L807" s="70"/>
      <c r="M807" s="70"/>
      <c r="N807" s="70"/>
    </row>
    <row r="808" spans="1:14" x14ac:dyDescent="0.25">
      <c r="A808" s="70"/>
      <c r="B808" s="70"/>
      <c r="C808" s="70"/>
      <c r="D808" s="70"/>
      <c r="E808" s="70"/>
      <c r="F808" s="70"/>
      <c r="G808" s="70"/>
      <c r="H808" s="70"/>
      <c r="I808" s="70"/>
      <c r="J808" s="71"/>
      <c r="K808" s="70"/>
      <c r="L808" s="70"/>
      <c r="M808" s="70"/>
      <c r="N808" s="70"/>
    </row>
    <row r="809" spans="1:14" x14ac:dyDescent="0.25">
      <c r="A809" s="70"/>
      <c r="B809" s="70"/>
      <c r="C809" s="70"/>
      <c r="D809" s="70"/>
      <c r="E809" s="70"/>
      <c r="F809" s="70"/>
      <c r="G809" s="70"/>
      <c r="H809" s="70"/>
      <c r="I809" s="70"/>
      <c r="J809" s="71"/>
      <c r="K809" s="70"/>
      <c r="L809" s="70"/>
      <c r="M809" s="70"/>
      <c r="N809" s="70"/>
    </row>
    <row r="810" spans="1:14" x14ac:dyDescent="0.25">
      <c r="A810" s="70"/>
      <c r="B810" s="70"/>
      <c r="C810" s="70"/>
      <c r="D810" s="70"/>
      <c r="E810" s="70"/>
      <c r="F810" s="70"/>
      <c r="G810" s="70"/>
      <c r="H810" s="70"/>
      <c r="I810" s="70"/>
      <c r="J810" s="71"/>
      <c r="K810" s="70"/>
      <c r="L810" s="70"/>
      <c r="M810" s="70"/>
      <c r="N810" s="70"/>
    </row>
    <row r="811" spans="1:14" x14ac:dyDescent="0.25">
      <c r="A811" s="70"/>
      <c r="B811" s="70"/>
      <c r="C811" s="70"/>
      <c r="D811" s="70"/>
      <c r="E811" s="70"/>
      <c r="F811" s="70"/>
      <c r="G811" s="70"/>
      <c r="H811" s="70"/>
      <c r="I811" s="70"/>
      <c r="J811" s="71"/>
      <c r="K811" s="70"/>
      <c r="L811" s="70"/>
      <c r="M811" s="70"/>
      <c r="N811" s="70"/>
    </row>
    <row r="812" spans="1:14" x14ac:dyDescent="0.25">
      <c r="A812" s="70"/>
      <c r="B812" s="70"/>
      <c r="C812" s="70"/>
      <c r="D812" s="70"/>
      <c r="E812" s="70"/>
      <c r="F812" s="70"/>
      <c r="G812" s="70"/>
      <c r="H812" s="70"/>
      <c r="I812" s="70"/>
      <c r="J812" s="71"/>
      <c r="K812" s="70"/>
      <c r="L812" s="70"/>
      <c r="M812" s="70"/>
      <c r="N812" s="70"/>
    </row>
    <row r="813" spans="1:14" x14ac:dyDescent="0.25">
      <c r="A813" s="70"/>
      <c r="B813" s="70"/>
      <c r="C813" s="70"/>
      <c r="D813" s="70"/>
      <c r="E813" s="70"/>
      <c r="F813" s="70"/>
      <c r="G813" s="70"/>
      <c r="H813" s="70"/>
      <c r="I813" s="70"/>
      <c r="J813" s="71"/>
      <c r="K813" s="70"/>
      <c r="L813" s="70"/>
      <c r="M813" s="70"/>
      <c r="N813" s="70"/>
    </row>
    <row r="814" spans="1:14" x14ac:dyDescent="0.25">
      <c r="A814" s="70"/>
      <c r="B814" s="70"/>
      <c r="C814" s="70"/>
      <c r="D814" s="70"/>
      <c r="E814" s="70"/>
      <c r="F814" s="70"/>
      <c r="G814" s="70"/>
      <c r="H814" s="70"/>
      <c r="I814" s="70"/>
      <c r="J814" s="71"/>
      <c r="K814" s="70"/>
      <c r="L814" s="70"/>
      <c r="M814" s="70"/>
      <c r="N814" s="70"/>
    </row>
    <row r="815" spans="1:14" x14ac:dyDescent="0.25">
      <c r="A815" s="70"/>
      <c r="B815" s="70"/>
      <c r="C815" s="70"/>
      <c r="D815" s="70"/>
      <c r="E815" s="70"/>
      <c r="F815" s="70"/>
      <c r="G815" s="70"/>
      <c r="H815" s="70"/>
      <c r="I815" s="70"/>
      <c r="J815" s="71"/>
      <c r="K815" s="70"/>
      <c r="L815" s="70"/>
      <c r="M815" s="70"/>
      <c r="N815" s="70"/>
    </row>
    <row r="816" spans="1:14" x14ac:dyDescent="0.25">
      <c r="A816" s="70"/>
      <c r="B816" s="70"/>
      <c r="C816" s="70"/>
      <c r="D816" s="70"/>
      <c r="E816" s="70"/>
      <c r="F816" s="70"/>
      <c r="G816" s="70"/>
      <c r="H816" s="70"/>
      <c r="I816" s="70"/>
      <c r="J816" s="71"/>
      <c r="K816" s="70"/>
      <c r="L816" s="70"/>
      <c r="M816" s="70"/>
      <c r="N816" s="70"/>
    </row>
  </sheetData>
  <autoFilter ref="A1:AG816" xr:uid="{D3322EAA-BE98-440F-813B-241598C67C60}"/>
  <mergeCells count="1">
    <mergeCell ref="AF2:AG2"/>
  </mergeCells>
  <conditionalFormatting sqref="Q4:Q7">
    <cfRule type="cellIs" dxfId="4" priority="5" operator="equal">
      <formula>0</formula>
    </cfRule>
  </conditionalFormatting>
  <conditionalFormatting sqref="Q4:Q7 AD4:AG7">
    <cfRule type="cellIs" dxfId="3" priority="4" operator="equal">
      <formula>0</formula>
    </cfRule>
  </conditionalFormatting>
  <conditionalFormatting sqref="Q3:AG3 Q4:Q7 AD4:AG7">
    <cfRule type="cellIs" dxfId="2" priority="3" operator="equal">
      <formula>0</formula>
    </cfRule>
  </conditionalFormatting>
  <conditionalFormatting sqref="Q3:AG3 Q4:Q7 AD4:AG7">
    <cfRule type="cellIs" dxfId="1" priority="2" operator="equal">
      <formula>0</formula>
    </cfRule>
  </conditionalFormatting>
  <conditionalFormatting sqref="R4:AC7">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Schedule</vt:lpstr>
      <vt:lpstr>DAM</vt:lpstr>
      <vt:lpstr>BLQ</vt:lpstr>
      <vt:lpstr>AGA</vt:lpstr>
      <vt:lpstr>Dakahlia</vt:lpstr>
      <vt:lpstr>مديونية</vt:lpstr>
      <vt:lpstr>M.C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Ibrahim ElSamnoudi</dc:creator>
  <cp:lastModifiedBy>Ahmed Ibrahim ElSamnoudi</cp:lastModifiedBy>
  <dcterms:created xsi:type="dcterms:W3CDTF">2025-05-14T11:17:34Z</dcterms:created>
  <dcterms:modified xsi:type="dcterms:W3CDTF">2026-06-29T01:56:51Z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